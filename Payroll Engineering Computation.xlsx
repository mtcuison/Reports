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uanzon\Reports\"/>
    </mc:Choice>
  </mc:AlternateContent>
  <bookViews>
    <workbookView xWindow="0" yWindow="0" windowWidth="15330" windowHeight="78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1" l="1"/>
  <c r="F8" i="1"/>
  <c r="D22" i="1"/>
  <c r="D23" i="1"/>
  <c r="D24" i="1"/>
  <c r="D25" i="1"/>
  <c r="D21" i="1"/>
  <c r="D18" i="1"/>
  <c r="D19" i="1"/>
  <c r="D20" i="1"/>
  <c r="D17" i="1"/>
  <c r="C23" i="1" l="1"/>
  <c r="C24" i="1"/>
  <c r="C25" i="1"/>
  <c r="C22" i="1"/>
  <c r="B18" i="1"/>
  <c r="B19" i="1"/>
  <c r="B20" i="1"/>
  <c r="B21" i="1"/>
  <c r="C21" i="1"/>
  <c r="B17" i="1"/>
</calcChain>
</file>

<file path=xl/sharedStrings.xml><?xml version="1.0" encoding="utf-8"?>
<sst xmlns="http://schemas.openxmlformats.org/spreadsheetml/2006/main" count="25" uniqueCount="18">
  <si>
    <t>Regular OT Rate</t>
  </si>
  <si>
    <t>Special OT Rate</t>
  </si>
  <si>
    <t>Hours OT</t>
  </si>
  <si>
    <t>Regular</t>
  </si>
  <si>
    <t>Special</t>
  </si>
  <si>
    <t>Day Pay</t>
  </si>
  <si>
    <t>Sample OT</t>
  </si>
  <si>
    <t>Daily Pay</t>
  </si>
  <si>
    <t>Net</t>
  </si>
  <si>
    <t>Coverage</t>
  </si>
  <si>
    <t>Period</t>
  </si>
  <si>
    <t>FRI</t>
  </si>
  <si>
    <t>SAT</t>
  </si>
  <si>
    <t>SUN</t>
  </si>
  <si>
    <t>MON</t>
  </si>
  <si>
    <t>TUE</t>
  </si>
  <si>
    <t>WED</t>
  </si>
  <si>
    <t>THU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</si>
</sst>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ourier New"/>
      <family val="3"/>
    </font>
    <font>
      <sz val="11"/>
      <color theme="1"/>
      <name val="Calibri"/>
      <family val="2"/>
      <scheme val="minor"/>
    </font>
    <font>
      <b/>
      <sz val="11"/>
      <color theme="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43" fontId="1" fillId="0" borderId="0" xfId="1" applyFont="1"/>
    <xf numFmtId="4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tabSelected="1" workbookViewId="0">
      <selection activeCell="G16" sqref="G16"/>
    </sheetView>
  </sheetViews>
  <sheetFormatPr defaultRowHeight="15" x14ac:dyDescent="0.25"/>
  <cols>
    <col min="1" max="1" width="20.85546875" style="1" bestFit="1" customWidth="1"/>
    <col min="2" max="4" width="11.5703125" style="1" bestFit="1" customWidth="1"/>
    <col min="5" max="6" width="14.28515625" style="1" bestFit="1" customWidth="1"/>
    <col min="7" max="16384" width="9.140625" style="1"/>
  </cols>
  <sheetData>
    <row r="1" spans="1:14" x14ac:dyDescent="0.25">
      <c r="A1" s="1" t="s">
        <v>0</v>
      </c>
      <c r="B1" s="1">
        <v>1.3</v>
      </c>
    </row>
    <row r="2" spans="1:14" x14ac:dyDescent="0.25">
      <c r="A2" s="1" t="s">
        <v>1</v>
      </c>
      <c r="B2" s="1">
        <v>1.5</v>
      </c>
      <c r="F2" s="3">
        <f>350+196.88</f>
        <v>546.88</v>
      </c>
    </row>
    <row r="3" spans="1:14" x14ac:dyDescent="0.25">
      <c r="A3" s="1" t="s">
        <v>7</v>
      </c>
      <c r="B3" s="1">
        <v>350</v>
      </c>
      <c r="F3" s="1">
        <v>350</v>
      </c>
    </row>
    <row r="4" spans="1:14" x14ac:dyDescent="0.25">
      <c r="A4" s="1" t="s">
        <v>5</v>
      </c>
      <c r="B4" s="3">
        <v>350</v>
      </c>
      <c r="F4" s="1">
        <v>463.75</v>
      </c>
    </row>
    <row r="5" spans="1:14" x14ac:dyDescent="0.25">
      <c r="F5" s="1">
        <v>350</v>
      </c>
    </row>
    <row r="6" spans="1:14" x14ac:dyDescent="0.25">
      <c r="F6" s="1">
        <v>350</v>
      </c>
    </row>
    <row r="7" spans="1:14" x14ac:dyDescent="0.25">
      <c r="F7" s="1">
        <v>350</v>
      </c>
    </row>
    <row r="8" spans="1:14" x14ac:dyDescent="0.25">
      <c r="F8" s="3">
        <f>350+196.88</f>
        <v>546.88</v>
      </c>
    </row>
    <row r="9" spans="1:14" x14ac:dyDescent="0.25">
      <c r="D9" s="3"/>
    </row>
    <row r="13" spans="1:14" x14ac:dyDescent="0.25">
      <c r="F13" s="1" t="s">
        <v>10</v>
      </c>
      <c r="H13" s="6" t="s">
        <v>12</v>
      </c>
      <c r="I13" s="6" t="s">
        <v>13</v>
      </c>
      <c r="J13" s="6" t="s">
        <v>14</v>
      </c>
      <c r="K13" s="6" t="s">
        <v>15</v>
      </c>
      <c r="L13" s="6" t="s">
        <v>16</v>
      </c>
      <c r="M13" s="6" t="s">
        <v>17</v>
      </c>
      <c r="N13" s="1" t="s">
        <v>11</v>
      </c>
    </row>
    <row r="14" spans="1:14" x14ac:dyDescent="0.25">
      <c r="F14" s="1" t="s">
        <v>9</v>
      </c>
      <c r="G14" s="1" t="s">
        <v>11</v>
      </c>
      <c r="H14" s="6" t="s">
        <v>12</v>
      </c>
      <c r="I14" s="6" t="s">
        <v>13</v>
      </c>
      <c r="J14" s="6" t="s">
        <v>14</v>
      </c>
      <c r="K14" s="6" t="s">
        <v>15</v>
      </c>
      <c r="L14" s="6" t="s">
        <v>16</v>
      </c>
      <c r="M14" s="6" t="s">
        <v>17</v>
      </c>
    </row>
    <row r="15" spans="1:14" ht="15.75" x14ac:dyDescent="0.3">
      <c r="A15" s="4" t="s">
        <v>6</v>
      </c>
    </row>
    <row r="16" spans="1:14" x14ac:dyDescent="0.25">
      <c r="A16" s="5" t="s">
        <v>2</v>
      </c>
      <c r="B16" s="1" t="s">
        <v>3</v>
      </c>
      <c r="C16" s="1" t="s">
        <v>4</v>
      </c>
      <c r="D16" s="1" t="s">
        <v>8</v>
      </c>
    </row>
    <row r="17" spans="1:5" x14ac:dyDescent="0.25">
      <c r="A17" s="1">
        <v>1</v>
      </c>
      <c r="B17" s="2">
        <f>(B$3/8*A17)*B$1</f>
        <v>56.875</v>
      </c>
      <c r="C17" s="2"/>
      <c r="D17" s="3">
        <f>B$4+B17</f>
        <v>406.875</v>
      </c>
    </row>
    <row r="18" spans="1:5" x14ac:dyDescent="0.25">
      <c r="A18" s="1">
        <v>1.5</v>
      </c>
      <c r="B18" s="2">
        <f t="shared" ref="B18:B21" si="0">(B$3/8*A18)*B$1</f>
        <v>85.3125</v>
      </c>
      <c r="C18" s="2"/>
      <c r="D18" s="3">
        <f t="shared" ref="D18:D21" si="1">B$4+B18</f>
        <v>435.3125</v>
      </c>
    </row>
    <row r="19" spans="1:5" x14ac:dyDescent="0.25">
      <c r="A19" s="1">
        <v>2</v>
      </c>
      <c r="B19" s="2">
        <f t="shared" si="0"/>
        <v>113.75</v>
      </c>
      <c r="C19" s="2"/>
      <c r="D19" s="3">
        <f t="shared" si="1"/>
        <v>463.75</v>
      </c>
    </row>
    <row r="20" spans="1:5" x14ac:dyDescent="0.25">
      <c r="A20" s="1">
        <v>2.5</v>
      </c>
      <c r="B20" s="2">
        <f t="shared" si="0"/>
        <v>142.1875</v>
      </c>
      <c r="C20" s="2"/>
      <c r="D20" s="3">
        <f t="shared" si="1"/>
        <v>492.1875</v>
      </c>
    </row>
    <row r="21" spans="1:5" x14ac:dyDescent="0.25">
      <c r="A21" s="1">
        <v>3</v>
      </c>
      <c r="B21" s="2">
        <f t="shared" si="0"/>
        <v>170.625</v>
      </c>
      <c r="C21" s="2">
        <f>(B$3/8*A21)*B$2</f>
        <v>196.875</v>
      </c>
      <c r="D21" s="3">
        <f>B$4+C21</f>
        <v>546.875</v>
      </c>
      <c r="E21" s="3"/>
    </row>
    <row r="22" spans="1:5" x14ac:dyDescent="0.25">
      <c r="A22" s="1">
        <v>3.5</v>
      </c>
      <c r="B22" s="2"/>
      <c r="C22" s="3">
        <f>((B$3/8*(A22-3))*B$1) +C$21</f>
        <v>225.3125</v>
      </c>
      <c r="D22" s="3">
        <f t="shared" ref="D22:D25" si="2">B$4+C22</f>
        <v>575.3125</v>
      </c>
    </row>
    <row r="23" spans="1:5" x14ac:dyDescent="0.25">
      <c r="A23" s="1">
        <v>4</v>
      </c>
      <c r="B23" s="2"/>
      <c r="C23" s="3">
        <f t="shared" ref="C23:C25" si="3">((B$3/8*(A23-3))*B$1) +C$21</f>
        <v>253.75</v>
      </c>
      <c r="D23" s="3">
        <f t="shared" si="2"/>
        <v>603.75</v>
      </c>
    </row>
    <row r="24" spans="1:5" x14ac:dyDescent="0.25">
      <c r="A24" s="1">
        <v>4.5</v>
      </c>
      <c r="B24" s="2"/>
      <c r="C24" s="3">
        <f t="shared" si="3"/>
        <v>282.1875</v>
      </c>
      <c r="D24" s="3">
        <f t="shared" si="2"/>
        <v>632.1875</v>
      </c>
    </row>
    <row r="25" spans="1:5" x14ac:dyDescent="0.25">
      <c r="A25" s="1">
        <v>5</v>
      </c>
      <c r="B25" s="2"/>
      <c r="C25" s="3">
        <f t="shared" si="3"/>
        <v>310.625</v>
      </c>
      <c r="D25" s="3">
        <f t="shared" si="2"/>
        <v>660.625</v>
      </c>
    </row>
  </sheetData>
  <pageMargins left="0.7" right="0.7" top="0.75" bottom="0.75" header="0.3" footer="0.3"/>
  <pageSetup paperSize="1000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MTC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Cuison</dc:creator>
  <cp:lastModifiedBy>Michael Cuison</cp:lastModifiedBy>
  <dcterms:created xsi:type="dcterms:W3CDTF">2019-03-04T05:34:11Z</dcterms:created>
  <dcterms:modified xsi:type="dcterms:W3CDTF">2019-03-05T09:06:31Z</dcterms:modified>
</cp:coreProperties>
</file>