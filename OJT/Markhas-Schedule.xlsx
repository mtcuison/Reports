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wel Cerezo\Download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" i="1" l="1"/>
  <c r="J53" i="1"/>
  <c r="M30" i="1"/>
  <c r="L18" i="1"/>
  <c r="M19" i="1"/>
  <c r="L19" i="1"/>
  <c r="M82" i="1"/>
  <c r="M75" i="1"/>
  <c r="M73" i="1"/>
  <c r="M70" i="1"/>
  <c r="M69" i="1"/>
  <c r="M67" i="1"/>
  <c r="M66" i="1"/>
  <c r="M62" i="1"/>
  <c r="M59" i="1"/>
  <c r="M55" i="1"/>
  <c r="M54" i="1"/>
  <c r="M52" i="1"/>
  <c r="M50" i="1"/>
  <c r="M49" i="1"/>
  <c r="M48" i="1"/>
  <c r="M33" i="1"/>
  <c r="M32" i="1"/>
  <c r="M31" i="1"/>
  <c r="M29" i="1"/>
  <c r="M26" i="1"/>
  <c r="M25" i="1"/>
  <c r="M24" i="1"/>
  <c r="M23" i="1"/>
  <c r="M22" i="1"/>
  <c r="M18" i="1"/>
  <c r="M17" i="1"/>
  <c r="M16" i="1"/>
  <c r="M15" i="1"/>
  <c r="M9" i="1"/>
  <c r="M8" i="1"/>
  <c r="M7" i="1"/>
  <c r="M6" i="1"/>
  <c r="L82" i="1"/>
  <c r="L75" i="1"/>
  <c r="L73" i="1"/>
  <c r="L70" i="1"/>
  <c r="L69" i="1"/>
  <c r="L67" i="1"/>
  <c r="L66" i="1"/>
  <c r="L62" i="1"/>
  <c r="L59" i="1"/>
  <c r="L55" i="1"/>
  <c r="L54" i="1"/>
  <c r="L52" i="1"/>
  <c r="L50" i="1"/>
  <c r="L49" i="1"/>
  <c r="L48" i="1"/>
  <c r="L33" i="1"/>
  <c r="L32" i="1"/>
  <c r="L31" i="1"/>
  <c r="L30" i="1"/>
  <c r="L29" i="1"/>
  <c r="L26" i="1"/>
  <c r="L25" i="1"/>
  <c r="L24" i="1"/>
  <c r="L23" i="1"/>
  <c r="L22" i="1"/>
  <c r="L17" i="1"/>
  <c r="L16" i="1"/>
  <c r="L15" i="1"/>
  <c r="L9" i="1"/>
  <c r="L8" i="1"/>
  <c r="L7" i="1"/>
  <c r="L6" i="1"/>
  <c r="K82" i="1"/>
  <c r="K75" i="1"/>
  <c r="K73" i="1"/>
  <c r="K70" i="1"/>
  <c r="K69" i="1"/>
  <c r="K67" i="1"/>
  <c r="K66" i="1"/>
  <c r="K62" i="1"/>
  <c r="K59" i="1"/>
  <c r="K55" i="1"/>
  <c r="K54" i="1"/>
  <c r="K52" i="1"/>
  <c r="J52" i="1"/>
  <c r="K50" i="1"/>
  <c r="K49" i="1"/>
  <c r="K48" i="1"/>
  <c r="K33" i="1"/>
  <c r="K32" i="1"/>
  <c r="K31" i="1"/>
  <c r="K30" i="1"/>
  <c r="K29" i="1"/>
  <c r="K26" i="1"/>
  <c r="K25" i="1"/>
  <c r="K24" i="1"/>
  <c r="K23" i="1"/>
  <c r="K22" i="1"/>
  <c r="K19" i="1"/>
  <c r="K18" i="1"/>
  <c r="K17" i="1"/>
  <c r="K16" i="1"/>
  <c r="K15" i="1"/>
  <c r="J82" i="1"/>
  <c r="J75" i="1"/>
  <c r="J73" i="1"/>
  <c r="I82" i="1"/>
  <c r="I75" i="1"/>
  <c r="I73" i="1"/>
  <c r="H82" i="1"/>
  <c r="H75" i="1"/>
  <c r="H73" i="1"/>
  <c r="J70" i="1"/>
  <c r="J69" i="1"/>
  <c r="J67" i="1"/>
  <c r="J66" i="1"/>
  <c r="J62" i="1"/>
  <c r="J59" i="1"/>
  <c r="I70" i="1"/>
  <c r="I69" i="1"/>
  <c r="I67" i="1"/>
  <c r="I66" i="1"/>
  <c r="I63" i="1"/>
  <c r="I62" i="1"/>
  <c r="I59" i="1"/>
  <c r="H70" i="1"/>
  <c r="H69" i="1"/>
  <c r="H67" i="1"/>
  <c r="H66" i="1"/>
  <c r="H63" i="1"/>
  <c r="H62" i="1"/>
  <c r="H59" i="1"/>
  <c r="J55" i="1"/>
  <c r="J54" i="1"/>
  <c r="J50" i="1"/>
  <c r="J49" i="1"/>
  <c r="J48" i="1"/>
  <c r="I55" i="1"/>
  <c r="I54" i="1"/>
  <c r="I53" i="1"/>
  <c r="I52" i="1"/>
  <c r="I50" i="1"/>
  <c r="I49" i="1"/>
  <c r="I48" i="1"/>
  <c r="H55" i="1"/>
  <c r="H54" i="1"/>
  <c r="H53" i="1"/>
  <c r="H52" i="1"/>
  <c r="H50" i="1"/>
  <c r="H49" i="1"/>
  <c r="H48" i="1"/>
  <c r="J33" i="1"/>
  <c r="J32" i="1"/>
  <c r="J31" i="1"/>
  <c r="J30" i="1"/>
  <c r="J29" i="1"/>
  <c r="I33" i="1"/>
  <c r="I32" i="1"/>
  <c r="I31" i="1"/>
  <c r="I30" i="1"/>
  <c r="I29" i="1"/>
  <c r="H33" i="1"/>
  <c r="H32" i="1"/>
  <c r="H31" i="1"/>
  <c r="H30" i="1"/>
  <c r="H29" i="1"/>
  <c r="J26" i="1"/>
  <c r="J25" i="1"/>
  <c r="J24" i="1"/>
  <c r="J23" i="1"/>
  <c r="J22" i="1"/>
  <c r="I26" i="1"/>
  <c r="I25" i="1"/>
  <c r="I24" i="1"/>
  <c r="I23" i="1"/>
  <c r="I22" i="1"/>
  <c r="H26" i="1"/>
  <c r="H25" i="1"/>
  <c r="H24" i="1"/>
  <c r="H23" i="1"/>
  <c r="H22" i="1"/>
  <c r="J19" i="1"/>
  <c r="J18" i="1"/>
  <c r="J17" i="1"/>
  <c r="J16" i="1"/>
  <c r="J15" i="1"/>
  <c r="I19" i="1"/>
  <c r="I18" i="1"/>
  <c r="I17" i="1"/>
  <c r="I16" i="1"/>
  <c r="H19" i="1"/>
  <c r="H18" i="1"/>
  <c r="H17" i="1"/>
  <c r="H16" i="1"/>
  <c r="I15" i="1"/>
  <c r="H15" i="1"/>
  <c r="K9" i="1"/>
  <c r="K8" i="1"/>
  <c r="J9" i="1"/>
  <c r="I9" i="1"/>
  <c r="H9" i="1"/>
  <c r="I8" i="1"/>
  <c r="J8" i="1"/>
  <c r="H8" i="1"/>
  <c r="K7" i="1"/>
  <c r="J7" i="1"/>
  <c r="J6" i="1"/>
  <c r="I7" i="1"/>
  <c r="H7" i="1"/>
  <c r="I6" i="1"/>
  <c r="K6" i="1" s="1"/>
  <c r="H6" i="1"/>
  <c r="M53" i="1" l="1"/>
  <c r="M84" i="1" s="1"/>
  <c r="L53" i="1"/>
  <c r="L84" i="1" s="1"/>
  <c r="N84" i="1" l="1"/>
</calcChain>
</file>

<file path=xl/sharedStrings.xml><?xml version="1.0" encoding="utf-8"?>
<sst xmlns="http://schemas.openxmlformats.org/spreadsheetml/2006/main" count="77" uniqueCount="24">
  <si>
    <t>Markhas A. Velda</t>
  </si>
  <si>
    <t>NOVEMBER</t>
  </si>
  <si>
    <t>Status</t>
  </si>
  <si>
    <t>Present</t>
  </si>
  <si>
    <t>Absent</t>
  </si>
  <si>
    <t>xx</t>
  </si>
  <si>
    <t>DECEMBER</t>
  </si>
  <si>
    <t>STI - (IT OJT)</t>
  </si>
  <si>
    <t>Date</t>
  </si>
  <si>
    <t>JANUARY</t>
  </si>
  <si>
    <t>FEBRUARY</t>
  </si>
  <si>
    <r>
      <t xml:space="preserve">AM </t>
    </r>
    <r>
      <rPr>
        <i/>
        <sz val="11"/>
        <color theme="1"/>
        <rFont val="Calibri"/>
        <family val="2"/>
        <scheme val="minor"/>
      </rPr>
      <t>(in)</t>
    </r>
  </si>
  <si>
    <r>
      <t xml:space="preserve">AM </t>
    </r>
    <r>
      <rPr>
        <i/>
        <sz val="11"/>
        <color theme="1"/>
        <rFont val="Calibri"/>
        <family val="2"/>
        <scheme val="minor"/>
      </rPr>
      <t>(out)</t>
    </r>
  </si>
  <si>
    <r>
      <rPr>
        <b/>
        <i/>
        <sz val="11"/>
        <color theme="1"/>
        <rFont val="Calibri"/>
        <family val="2"/>
        <scheme val="minor"/>
      </rPr>
      <t>PM</t>
    </r>
    <r>
      <rPr>
        <i/>
        <sz val="11"/>
        <color theme="1"/>
        <rFont val="Calibri"/>
        <family val="2"/>
        <scheme val="minor"/>
      </rPr>
      <t xml:space="preserve"> (out)</t>
    </r>
  </si>
  <si>
    <r>
      <t xml:space="preserve">PM </t>
    </r>
    <r>
      <rPr>
        <i/>
        <sz val="11"/>
        <color theme="1"/>
        <rFont val="Calibri"/>
        <family val="2"/>
        <scheme val="minor"/>
      </rPr>
      <t>(in)</t>
    </r>
  </si>
  <si>
    <t>Total AM</t>
  </si>
  <si>
    <t>Total PM</t>
  </si>
  <si>
    <t>Total Hours</t>
  </si>
  <si>
    <t>Minutes</t>
  </si>
  <si>
    <t>Whole Day</t>
  </si>
  <si>
    <t>Undertime</t>
  </si>
  <si>
    <t>DAYS</t>
  </si>
  <si>
    <t>UNDERTIME</t>
  </si>
  <si>
    <t>TOTAL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</si>
</sst>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tabSelected="1" topLeftCell="A68" workbookViewId="0">
      <selection activeCell="M84" sqref="M84"/>
    </sheetView>
  </sheetViews>
  <sheetFormatPr defaultRowHeight="15" x14ac:dyDescent="0.25"/>
  <cols>
    <col min="1" max="1" width="16.42578125" bestFit="1" customWidth="1"/>
    <col min="2" max="2" width="10.28515625" customWidth="1"/>
    <col min="3" max="4" width="9.7109375" customWidth="1"/>
    <col min="5" max="5" width="9.85546875" customWidth="1"/>
    <col min="8" max="8" width="8.85546875" customWidth="1"/>
    <col min="10" max="10" width="11.5703125" customWidth="1"/>
    <col min="11" max="11" width="9.140625" customWidth="1"/>
    <col min="12" max="12" width="12.42578125" customWidth="1"/>
    <col min="13" max="13" width="13.85546875" customWidth="1"/>
    <col min="14" max="14" width="17.7109375" customWidth="1"/>
  </cols>
  <sheetData>
    <row r="1" spans="1:17" x14ac:dyDescent="0.25">
      <c r="A1" s="2" t="s">
        <v>0</v>
      </c>
    </row>
    <row r="2" spans="1:17" x14ac:dyDescent="0.25">
      <c r="A2" t="s">
        <v>7</v>
      </c>
    </row>
    <row r="4" spans="1:17" x14ac:dyDescent="0.25">
      <c r="A4" s="2" t="s">
        <v>1</v>
      </c>
    </row>
    <row r="5" spans="1:17" x14ac:dyDescent="0.25">
      <c r="A5" s="4" t="s">
        <v>8</v>
      </c>
      <c r="B5" s="4" t="s">
        <v>2</v>
      </c>
      <c r="C5" s="4" t="s">
        <v>11</v>
      </c>
      <c r="D5" s="4" t="s">
        <v>12</v>
      </c>
      <c r="E5" s="4" t="s">
        <v>14</v>
      </c>
      <c r="F5" s="5" t="s">
        <v>13</v>
      </c>
      <c r="G5" s="6"/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P5" s="3"/>
      <c r="Q5" s="2"/>
    </row>
    <row r="6" spans="1:17" x14ac:dyDescent="0.25">
      <c r="A6" s="6">
        <v>26</v>
      </c>
      <c r="B6" t="s">
        <v>3</v>
      </c>
      <c r="C6" s="1">
        <v>0.35347222222222219</v>
      </c>
      <c r="D6" s="1">
        <v>0.5</v>
      </c>
      <c r="E6" s="1">
        <v>0.54166666666666663</v>
      </c>
      <c r="F6" s="1">
        <v>0.73611111111111116</v>
      </c>
      <c r="H6" t="str">
        <f>TEXT(D6-C6, "h:mm")</f>
        <v>3:31</v>
      </c>
      <c r="I6" s="1" t="str">
        <f>TEXT(F6-E6, "h:mm")</f>
        <v>4:40</v>
      </c>
      <c r="J6" t="str">
        <f>TEXT(H6+I6, "h:mm")</f>
        <v>8:11</v>
      </c>
      <c r="K6">
        <f>J6*1440</f>
        <v>491</v>
      </c>
      <c r="L6">
        <f>IF(K6&gt;=480, 1, 0)</f>
        <v>1</v>
      </c>
      <c r="M6">
        <f>IF(K6&gt;=480, 0, K6*0.1458)</f>
        <v>0</v>
      </c>
      <c r="P6" s="1"/>
    </row>
    <row r="7" spans="1:17" x14ac:dyDescent="0.25">
      <c r="A7" s="6">
        <v>27</v>
      </c>
      <c r="B7" t="s">
        <v>3</v>
      </c>
      <c r="C7" s="1">
        <v>0.3611111111111111</v>
      </c>
      <c r="D7" s="1">
        <v>0.5</v>
      </c>
      <c r="E7" s="1">
        <v>0.53888888888888886</v>
      </c>
      <c r="F7" s="1">
        <v>0.7319444444444444</v>
      </c>
      <c r="H7" t="str">
        <f>TEXT(D7-C7, "h:mm")</f>
        <v>3:20</v>
      </c>
      <c r="I7" s="1" t="str">
        <f>TEXT(F7-E7, "h:mm")</f>
        <v>4:38</v>
      </c>
      <c r="J7" t="str">
        <f>TEXT(H7+I7, "h:mm")</f>
        <v>7:58</v>
      </c>
      <c r="K7">
        <f>J7*1440</f>
        <v>478</v>
      </c>
      <c r="L7">
        <f>IF(K7&gt;=480, 1, 0)</f>
        <v>0</v>
      </c>
      <c r="M7">
        <f>IF(K7&gt;=480, 0, K7*0.145)</f>
        <v>69.31</v>
      </c>
    </row>
    <row r="8" spans="1:17" x14ac:dyDescent="0.25">
      <c r="A8" s="6">
        <v>28</v>
      </c>
      <c r="B8" t="s">
        <v>3</v>
      </c>
      <c r="C8" s="1">
        <v>0.34375</v>
      </c>
      <c r="D8" s="1">
        <v>0.5</v>
      </c>
      <c r="H8" t="str">
        <f>TEXT(D8-C8, "h:mm")</f>
        <v>3:45</v>
      </c>
      <c r="I8" t="str">
        <f>TEXT(F8-E8, "h:mm")</f>
        <v>0:00</v>
      </c>
      <c r="J8" t="str">
        <f>TEXT(H8+I8, "h:mm")</f>
        <v>3:45</v>
      </c>
      <c r="K8">
        <f>J8*1440</f>
        <v>225</v>
      </c>
      <c r="L8">
        <f>IF(K8&gt;=480, 1, 0)</f>
        <v>0</v>
      </c>
      <c r="M8">
        <f>IF(K8&gt;=480, 0, K8*0.145)</f>
        <v>32.625</v>
      </c>
    </row>
    <row r="9" spans="1:17" x14ac:dyDescent="0.25">
      <c r="A9" s="6">
        <v>29</v>
      </c>
      <c r="B9" t="s">
        <v>3</v>
      </c>
      <c r="C9" s="1">
        <v>0.34652777777777777</v>
      </c>
      <c r="D9" s="1">
        <v>0.5</v>
      </c>
      <c r="H9" t="str">
        <f>TEXT(D9-C9, "h:mm")</f>
        <v>3:41</v>
      </c>
      <c r="I9" t="str">
        <f>TEXT(E9+F9, "h:mm")</f>
        <v>0:00</v>
      </c>
      <c r="J9" t="str">
        <f>TEXT(H9+I9, "h:mm")</f>
        <v>3:41</v>
      </c>
      <c r="K9">
        <f>J9*1440</f>
        <v>221</v>
      </c>
      <c r="L9">
        <f>IF(K9&gt;=480, 1, 0)</f>
        <v>0</v>
      </c>
      <c r="M9">
        <f>IF(K9&gt;=480, 0, K9*0.145)</f>
        <v>32.044999999999995</v>
      </c>
    </row>
    <row r="10" spans="1:17" x14ac:dyDescent="0.25">
      <c r="A10" s="6">
        <v>30</v>
      </c>
      <c r="B10" t="s">
        <v>4</v>
      </c>
    </row>
    <row r="11" spans="1:17" x14ac:dyDescent="0.25">
      <c r="A11" s="6"/>
      <c r="P11" s="2"/>
      <c r="Q11" s="2"/>
    </row>
    <row r="12" spans="1:17" x14ac:dyDescent="0.25">
      <c r="A12" s="7" t="s">
        <v>6</v>
      </c>
    </row>
    <row r="13" spans="1:17" x14ac:dyDescent="0.25">
      <c r="A13" s="6">
        <v>1</v>
      </c>
      <c r="B13" t="s">
        <v>4</v>
      </c>
    </row>
    <row r="14" spans="1:17" x14ac:dyDescent="0.25">
      <c r="A14" s="6">
        <v>2</v>
      </c>
    </row>
    <row r="15" spans="1:17" x14ac:dyDescent="0.25">
      <c r="A15" s="6">
        <v>3</v>
      </c>
      <c r="B15" t="s">
        <v>3</v>
      </c>
      <c r="C15" s="1">
        <v>0.34166666666666662</v>
      </c>
      <c r="D15" s="1">
        <v>0.5</v>
      </c>
      <c r="E15" s="1">
        <v>0.52222222222222225</v>
      </c>
      <c r="F15" s="1">
        <v>0.73125000000000007</v>
      </c>
      <c r="H15" t="str">
        <f>TEXT(D15-C15, "h:mm")</f>
        <v>3:48</v>
      </c>
      <c r="I15" t="str">
        <f>TEXT(F15-E15, "h:mm")</f>
        <v>5:01</v>
      </c>
      <c r="J15" t="str">
        <f>TEXT(H15+I15,"h:mm")</f>
        <v>8:49</v>
      </c>
      <c r="K15">
        <f>J15*1440</f>
        <v>529</v>
      </c>
      <c r="L15">
        <f>IF(K15&gt;=480, 1, 0)</f>
        <v>1</v>
      </c>
      <c r="M15">
        <f>IF(K15&gt;=480, 0, K15*0.145)</f>
        <v>0</v>
      </c>
    </row>
    <row r="16" spans="1:17" x14ac:dyDescent="0.25">
      <c r="A16" s="6">
        <v>4</v>
      </c>
      <c r="B16" t="s">
        <v>3</v>
      </c>
      <c r="C16" s="1">
        <v>0.34722222222222227</v>
      </c>
      <c r="D16" s="1">
        <v>0.5</v>
      </c>
      <c r="E16" s="1">
        <v>0.52083333333333337</v>
      </c>
      <c r="F16" s="1">
        <v>0.73125000000000007</v>
      </c>
      <c r="H16" t="str">
        <f>TEXT(D16-C16,"h:mm")</f>
        <v>3:40</v>
      </c>
      <c r="I16" t="str">
        <f>TEXT(F16-E16,"h:mm")</f>
        <v>5:03</v>
      </c>
      <c r="J16" t="str">
        <f>TEXT(H16+I16,"h:mm")</f>
        <v>8:43</v>
      </c>
      <c r="K16">
        <f>J16*1440</f>
        <v>523</v>
      </c>
      <c r="L16">
        <f>IF(K16&gt;=480, 1, 0)</f>
        <v>1</v>
      </c>
      <c r="M16">
        <f>IF(K16&gt;=480, 0, K16*0.145)</f>
        <v>0</v>
      </c>
    </row>
    <row r="17" spans="1:13" x14ac:dyDescent="0.25">
      <c r="A17" s="6">
        <v>5</v>
      </c>
      <c r="B17" t="s">
        <v>3</v>
      </c>
      <c r="C17" s="1">
        <v>0.3430555555555555</v>
      </c>
      <c r="D17" s="1">
        <v>0.5</v>
      </c>
      <c r="E17" s="1">
        <v>0.52083333333333337</v>
      </c>
      <c r="F17" s="1">
        <v>0.73055555555555562</v>
      </c>
      <c r="H17" t="str">
        <f>TEXT(D17-C17,"h:mm")</f>
        <v>3:46</v>
      </c>
      <c r="I17" t="str">
        <f>TEXT(F17-E17,"h:mm")</f>
        <v>5:02</v>
      </c>
      <c r="J17" t="str">
        <f>TEXT(H17+I17,"h:mm")</f>
        <v>8:48</v>
      </c>
      <c r="K17">
        <f>J17*1440</f>
        <v>528</v>
      </c>
      <c r="L17">
        <f>IF(K17&gt;=480, 1, 0)</f>
        <v>1</v>
      </c>
      <c r="M17">
        <f>IF(K17&gt;=480, 0, K17*0.145)</f>
        <v>0</v>
      </c>
    </row>
    <row r="18" spans="1:13" x14ac:dyDescent="0.25">
      <c r="A18" s="6">
        <v>6</v>
      </c>
      <c r="B18" t="s">
        <v>3</v>
      </c>
      <c r="C18" s="1">
        <v>0.3520833333333333</v>
      </c>
      <c r="D18" s="1">
        <v>0.5</v>
      </c>
      <c r="E18" s="1">
        <v>0.52083333333333337</v>
      </c>
      <c r="F18" s="1">
        <v>0.72986111111111107</v>
      </c>
      <c r="H18" t="str">
        <f>TEXT(D18-C18,"h:mm")</f>
        <v>3:33</v>
      </c>
      <c r="I18" t="str">
        <f>TEXT(F18-E18, "h:mm")</f>
        <v>5:01</v>
      </c>
      <c r="J18" t="str">
        <f>TEXT(H18+I18,"h:mm")</f>
        <v>8:34</v>
      </c>
      <c r="K18">
        <f>J18*1440</f>
        <v>514</v>
      </c>
      <c r="L18">
        <f>IF(K18&gt;=480, 1, 0)</f>
        <v>1</v>
      </c>
      <c r="M18">
        <f>IF(K18&gt;=480, 0, K18*0.145)</f>
        <v>0</v>
      </c>
    </row>
    <row r="19" spans="1:13" x14ac:dyDescent="0.25">
      <c r="A19" s="6">
        <v>7</v>
      </c>
      <c r="B19" t="s">
        <v>3</v>
      </c>
      <c r="C19" s="1">
        <v>0.35069444444444442</v>
      </c>
      <c r="D19" s="1">
        <v>0.5</v>
      </c>
      <c r="E19" s="1">
        <v>0.5</v>
      </c>
      <c r="F19" s="1">
        <v>0.72916666666666663</v>
      </c>
      <c r="H19" t="str">
        <f>TEXT(D19-C19,"h:mm")</f>
        <v>3:35</v>
      </c>
      <c r="I19" t="str">
        <f>TEXT(F19-E19,"h:mm")</f>
        <v>5:30</v>
      </c>
      <c r="J19" t="str">
        <f>TEXT(H19+I19,"h:mm")</f>
        <v>9:05</v>
      </c>
      <c r="K19">
        <f>J19*1440</f>
        <v>545.00000000000011</v>
      </c>
      <c r="L19">
        <f>IF(K19&gt;=480, 1, 0)</f>
        <v>1</v>
      </c>
      <c r="M19">
        <f>IF(K19&gt;=480, 0, K19*0.1458)</f>
        <v>0</v>
      </c>
    </row>
    <row r="20" spans="1:13" x14ac:dyDescent="0.25">
      <c r="A20" s="6">
        <v>8</v>
      </c>
      <c r="B20" t="s">
        <v>4</v>
      </c>
    </row>
    <row r="21" spans="1:13" x14ac:dyDescent="0.25">
      <c r="A21" s="6">
        <v>9</v>
      </c>
    </row>
    <row r="22" spans="1:13" x14ac:dyDescent="0.25">
      <c r="A22" s="6">
        <v>10</v>
      </c>
      <c r="B22" t="s">
        <v>3</v>
      </c>
      <c r="C22" s="1">
        <v>0.34583333333333338</v>
      </c>
      <c r="D22" s="1">
        <v>0.5</v>
      </c>
      <c r="E22" s="1">
        <v>0.51388888888888895</v>
      </c>
      <c r="F22" s="1">
        <v>0.7319444444444444</v>
      </c>
      <c r="H22" t="str">
        <f>TEXT(D22-C22,"h:mm")</f>
        <v>3:42</v>
      </c>
      <c r="I22" t="str">
        <f>TEXT(F22-E22,"h:mm")</f>
        <v>5:14</v>
      </c>
      <c r="J22" t="str">
        <f>TEXT(H22+I22,"h:mm")</f>
        <v>8:56</v>
      </c>
      <c r="K22">
        <f>J22*1440</f>
        <v>536</v>
      </c>
      <c r="L22">
        <f>IF(K22&gt;=480, 1, 0)</f>
        <v>1</v>
      </c>
      <c r="M22">
        <f>IF(K22&gt;=480, 0, K22*0.145)</f>
        <v>0</v>
      </c>
    </row>
    <row r="23" spans="1:13" x14ac:dyDescent="0.25">
      <c r="A23" s="6">
        <v>11</v>
      </c>
      <c r="B23" t="s">
        <v>3</v>
      </c>
      <c r="C23" s="1">
        <v>0.34722222222222227</v>
      </c>
      <c r="D23" s="1">
        <v>0.50208333333333333</v>
      </c>
      <c r="E23" s="1">
        <v>0.51736111111111105</v>
      </c>
      <c r="F23" s="1">
        <v>0.73055555555555562</v>
      </c>
      <c r="H23" t="str">
        <f>TEXT(D23-C23,"h:mm")</f>
        <v>3:43</v>
      </c>
      <c r="I23" t="str">
        <f>TEXT(F23-E23,"h:mm")</f>
        <v>5:07</v>
      </c>
      <c r="J23" t="str">
        <f>TEXT(H23+I23,"h:mm")</f>
        <v>8:50</v>
      </c>
      <c r="K23">
        <f>J23*1440</f>
        <v>530</v>
      </c>
      <c r="L23">
        <f>IF(K23&gt;=480, 1, 0)</f>
        <v>1</v>
      </c>
      <c r="M23">
        <f>IF(K23&gt;=480, 0, K23*0.145)</f>
        <v>0</v>
      </c>
    </row>
    <row r="24" spans="1:13" x14ac:dyDescent="0.25">
      <c r="A24" s="6">
        <v>12</v>
      </c>
      <c r="B24" t="s">
        <v>3</v>
      </c>
      <c r="C24" s="1">
        <v>0.34652777777777777</v>
      </c>
      <c r="D24" s="1">
        <v>0.50277777777777777</v>
      </c>
      <c r="E24" s="1">
        <v>0.51736111111111105</v>
      </c>
      <c r="F24" s="1">
        <v>0.73055555555555562</v>
      </c>
      <c r="H24" t="str">
        <f>TEXT(D24-C24,"h:mm")</f>
        <v>3:45</v>
      </c>
      <c r="I24" t="str">
        <f>TEXT(F24-E24,"h:mm")</f>
        <v>5:07</v>
      </c>
      <c r="J24" t="str">
        <f>TEXT(H24+I24,"h:mm")</f>
        <v>8:52</v>
      </c>
      <c r="K24">
        <f>J24*1440</f>
        <v>532</v>
      </c>
      <c r="L24">
        <f>IF(K24&gt;=480, 1, 0)</f>
        <v>1</v>
      </c>
      <c r="M24">
        <f>IF(K24&gt;=480, 0, K24*0.145)</f>
        <v>0</v>
      </c>
    </row>
    <row r="25" spans="1:13" x14ac:dyDescent="0.25">
      <c r="A25" s="6">
        <v>13</v>
      </c>
      <c r="B25" t="s">
        <v>3</v>
      </c>
      <c r="C25" s="1">
        <v>0.3444444444444445</v>
      </c>
      <c r="D25" s="1">
        <v>0.50347222222222221</v>
      </c>
      <c r="E25" s="1">
        <v>0.51874999999999993</v>
      </c>
      <c r="F25" s="1">
        <v>0.71388888888888891</v>
      </c>
      <c r="H25" t="str">
        <f>TEXT(D25-C25,"h:mm")</f>
        <v>3:49</v>
      </c>
      <c r="I25" t="str">
        <f>TEXT(F25-E25,"h:mm")</f>
        <v>4:41</v>
      </c>
      <c r="J25" t="str">
        <f>TEXT(H25+I25,"h:mm")</f>
        <v>8:30</v>
      </c>
      <c r="K25">
        <f>J25*1440</f>
        <v>510</v>
      </c>
      <c r="L25">
        <f>IF(K25&gt;=480, 1, 0)</f>
        <v>1</v>
      </c>
      <c r="M25">
        <f>IF(K25&gt;=480, 0, K25*0.145)</f>
        <v>0</v>
      </c>
    </row>
    <row r="26" spans="1:13" x14ac:dyDescent="0.25">
      <c r="A26" s="6">
        <v>14</v>
      </c>
      <c r="B26" t="s">
        <v>3</v>
      </c>
      <c r="C26" s="1">
        <v>0.34722222222222227</v>
      </c>
      <c r="D26" s="1">
        <v>0.50347222222222221</v>
      </c>
      <c r="E26" s="1">
        <v>0.51527777777777783</v>
      </c>
      <c r="F26" s="1">
        <v>0.73055555555555562</v>
      </c>
      <c r="H26" t="str">
        <f>TEXT(D26-C26,"h:mm")</f>
        <v>3:45</v>
      </c>
      <c r="I26" t="str">
        <f>TEXT(F26-E26,"h:mm")</f>
        <v>5:10</v>
      </c>
      <c r="J26" t="str">
        <f>TEXT(H26+I26,"h:mm")</f>
        <v>8:55</v>
      </c>
      <c r="K26">
        <f>J26*1440</f>
        <v>534.99999999999989</v>
      </c>
      <c r="L26">
        <f>IF(K26&gt;=480, 1, 0)</f>
        <v>1</v>
      </c>
      <c r="M26">
        <f>IF(K26&gt;=480, 0, K26*0.145)</f>
        <v>0</v>
      </c>
    </row>
    <row r="27" spans="1:13" x14ac:dyDescent="0.25">
      <c r="A27" s="6">
        <v>15</v>
      </c>
      <c r="B27" t="s">
        <v>4</v>
      </c>
    </row>
    <row r="28" spans="1:13" x14ac:dyDescent="0.25">
      <c r="A28" s="6">
        <v>16</v>
      </c>
    </row>
    <row r="29" spans="1:13" x14ac:dyDescent="0.25">
      <c r="A29" s="6">
        <v>17</v>
      </c>
      <c r="B29" t="s">
        <v>3</v>
      </c>
      <c r="C29" s="1">
        <v>0.34861111111111115</v>
      </c>
      <c r="D29" s="1">
        <v>0.5</v>
      </c>
      <c r="E29" s="1">
        <v>0.52083333333333337</v>
      </c>
      <c r="F29" s="1">
        <v>0.72916666666666663</v>
      </c>
      <c r="H29" t="str">
        <f>TEXT(D29-C29,"h:mm")</f>
        <v>3:38</v>
      </c>
      <c r="I29" t="str">
        <f>TEXT(F29-E29,"h:mm")</f>
        <v>5:00</v>
      </c>
      <c r="J29" t="str">
        <f>TEXT(H29+I29,"h:mm")</f>
        <v>8:38</v>
      </c>
      <c r="K29">
        <f>J29*1440</f>
        <v>518</v>
      </c>
      <c r="L29">
        <f>IF(K29&gt;=480, 1, 0)</f>
        <v>1</v>
      </c>
      <c r="M29">
        <f>IF(K29&gt;=480, 0, K29*0.145)</f>
        <v>0</v>
      </c>
    </row>
    <row r="30" spans="1:13" x14ac:dyDescent="0.25">
      <c r="A30" s="6">
        <v>18</v>
      </c>
      <c r="B30" t="s">
        <v>3</v>
      </c>
      <c r="C30" s="1">
        <v>0.34861111111111115</v>
      </c>
      <c r="D30" s="1">
        <v>0.5</v>
      </c>
      <c r="E30" s="1">
        <v>0.52083333333333337</v>
      </c>
      <c r="F30" s="1">
        <v>0.72916666666666663</v>
      </c>
      <c r="H30" t="str">
        <f>TEXT(D30-C30,"h:mm")</f>
        <v>3:38</v>
      </c>
      <c r="I30" t="str">
        <f>TEXT(F30-E30,"h:mm")</f>
        <v>5:00</v>
      </c>
      <c r="J30" t="str">
        <f>TEXT(H30+I30,"h:mm")</f>
        <v>8:38</v>
      </c>
      <c r="K30">
        <f>J30*1440</f>
        <v>518</v>
      </c>
      <c r="L30">
        <f>IF(K30&gt;=480, 1, 0)</f>
        <v>1</v>
      </c>
      <c r="M30">
        <f>IF(K30&gt;=480, 0, K30*0.145)</f>
        <v>0</v>
      </c>
    </row>
    <row r="31" spans="1:13" x14ac:dyDescent="0.25">
      <c r="A31" s="6">
        <v>19</v>
      </c>
      <c r="B31" t="s">
        <v>3</v>
      </c>
      <c r="C31" s="1">
        <v>0.3430555555555555</v>
      </c>
      <c r="D31" s="1">
        <v>0.5</v>
      </c>
      <c r="E31" s="1">
        <v>0.52777777777777779</v>
      </c>
      <c r="F31" s="1">
        <v>0.73125000000000007</v>
      </c>
      <c r="H31" t="str">
        <f>TEXT(D31-C31,"h:mm")</f>
        <v>3:46</v>
      </c>
      <c r="I31" t="str">
        <f>TEXT(F31-E31,"h:mm")</f>
        <v>4:53</v>
      </c>
      <c r="J31" t="str">
        <f>TEXT(H31+I31,"h:mm")</f>
        <v>8:39</v>
      </c>
      <c r="K31">
        <f>J31*1440</f>
        <v>519</v>
      </c>
      <c r="L31">
        <f>IF(K31&gt;=480, 1, 0)</f>
        <v>1</v>
      </c>
      <c r="M31">
        <f>IF(K31&gt;=480, 0, K31*0.145)</f>
        <v>0</v>
      </c>
    </row>
    <row r="32" spans="1:13" x14ac:dyDescent="0.25">
      <c r="A32" s="6">
        <v>20</v>
      </c>
      <c r="B32" t="s">
        <v>3</v>
      </c>
      <c r="C32" s="1">
        <v>0.35416666666666669</v>
      </c>
      <c r="D32" s="1">
        <v>0.5</v>
      </c>
      <c r="E32" s="1">
        <v>0.51666666666666672</v>
      </c>
      <c r="F32" s="1">
        <v>0.73055555555555562</v>
      </c>
      <c r="H32" t="str">
        <f>TEXT(D32-C32,"h:mm")</f>
        <v>3:30</v>
      </c>
      <c r="I32" t="str">
        <f>TEXT(F32-E32,"h:mm")</f>
        <v>5:08</v>
      </c>
      <c r="J32" t="str">
        <f>TEXT(H32+I32,"h:mm")</f>
        <v>8:38</v>
      </c>
      <c r="K32">
        <f>J32*1440</f>
        <v>518</v>
      </c>
      <c r="L32">
        <f>IF(K32&gt;=480, 1, 0)</f>
        <v>1</v>
      </c>
      <c r="M32">
        <f>IF(K32&gt;=480, 0, K32*0.145)</f>
        <v>0</v>
      </c>
    </row>
    <row r="33" spans="1:17" x14ac:dyDescent="0.25">
      <c r="A33" s="6">
        <v>21</v>
      </c>
      <c r="B33" t="s">
        <v>3</v>
      </c>
      <c r="C33" s="1">
        <v>0.3527777777777778</v>
      </c>
      <c r="D33" s="1">
        <v>0.5</v>
      </c>
      <c r="E33" s="1">
        <v>0.52083333333333337</v>
      </c>
      <c r="F33" s="1">
        <v>0.72986111111111107</v>
      </c>
      <c r="H33" t="str">
        <f>TEXT(D33-C33,"h:mm")</f>
        <v>3:32</v>
      </c>
      <c r="I33" t="str">
        <f>TEXT(F33-E33,"h:mm")</f>
        <v>5:01</v>
      </c>
      <c r="J33" t="str">
        <f>TEXT(H33+I33,"h:mm")</f>
        <v>8:33</v>
      </c>
      <c r="K33">
        <f>J33*1440</f>
        <v>513</v>
      </c>
      <c r="L33">
        <f>IF(K33&gt;=480, 1, 0)</f>
        <v>1</v>
      </c>
      <c r="M33">
        <f>IF(K33&gt;=480, 0, K33*0.145)</f>
        <v>0</v>
      </c>
    </row>
    <row r="34" spans="1:17" x14ac:dyDescent="0.25">
      <c r="A34" s="6">
        <v>22</v>
      </c>
    </row>
    <row r="35" spans="1:17" x14ac:dyDescent="0.25">
      <c r="A35" s="6">
        <v>23</v>
      </c>
    </row>
    <row r="36" spans="1:17" x14ac:dyDescent="0.25">
      <c r="A36" s="6">
        <v>24</v>
      </c>
    </row>
    <row r="37" spans="1:17" x14ac:dyDescent="0.25">
      <c r="A37" s="6">
        <v>25</v>
      </c>
    </row>
    <row r="38" spans="1:17" x14ac:dyDescent="0.25">
      <c r="A38" s="6">
        <v>26</v>
      </c>
      <c r="B38" t="s">
        <v>4</v>
      </c>
    </row>
    <row r="39" spans="1:17" x14ac:dyDescent="0.25">
      <c r="A39" s="6">
        <v>27</v>
      </c>
      <c r="B39" t="s">
        <v>4</v>
      </c>
    </row>
    <row r="40" spans="1:17" x14ac:dyDescent="0.25">
      <c r="A40" s="6">
        <v>28</v>
      </c>
      <c r="B40" t="s">
        <v>4</v>
      </c>
    </row>
    <row r="41" spans="1:17" x14ac:dyDescent="0.25">
      <c r="A41" s="6">
        <v>29</v>
      </c>
    </row>
    <row r="42" spans="1:17" x14ac:dyDescent="0.25">
      <c r="A42" s="6">
        <v>30</v>
      </c>
    </row>
    <row r="43" spans="1:17" x14ac:dyDescent="0.25">
      <c r="A43" s="6">
        <v>31</v>
      </c>
    </row>
    <row r="44" spans="1:17" x14ac:dyDescent="0.25">
      <c r="A44" s="6"/>
      <c r="P44" s="2"/>
      <c r="Q44" s="2"/>
    </row>
    <row r="45" spans="1:17" x14ac:dyDescent="0.25">
      <c r="A45" s="7" t="s">
        <v>9</v>
      </c>
    </row>
    <row r="46" spans="1:17" x14ac:dyDescent="0.25">
      <c r="A46" s="6">
        <v>1</v>
      </c>
    </row>
    <row r="47" spans="1:17" x14ac:dyDescent="0.25">
      <c r="A47" s="6">
        <v>2</v>
      </c>
      <c r="B47" t="s">
        <v>4</v>
      </c>
    </row>
    <row r="48" spans="1:17" x14ac:dyDescent="0.25">
      <c r="A48" s="6">
        <v>3</v>
      </c>
      <c r="B48" t="s">
        <v>3</v>
      </c>
      <c r="C48" s="1">
        <v>0.34027777777777773</v>
      </c>
      <c r="D48" s="1">
        <v>0.5</v>
      </c>
      <c r="E48" s="1">
        <v>0.51388888888888895</v>
      </c>
      <c r="F48" s="1">
        <v>0.73055555555555562</v>
      </c>
      <c r="H48" t="str">
        <f>TEXT(D48-C48,"h:mm")</f>
        <v>3:50</v>
      </c>
      <c r="I48" t="str">
        <f>TEXT(F48-E48,"h:mm")</f>
        <v>5:12</v>
      </c>
      <c r="J48" t="str">
        <f>TEXT(H48+I48,"h:mm")</f>
        <v>9:02</v>
      </c>
      <c r="K48">
        <f>J48*1440</f>
        <v>542</v>
      </c>
      <c r="L48">
        <f>IF(K48&gt;=480, 1, 0)</f>
        <v>1</v>
      </c>
      <c r="M48">
        <f>IF(K48&gt;=480, 0, K48*0.145)</f>
        <v>0</v>
      </c>
    </row>
    <row r="49" spans="1:13" x14ac:dyDescent="0.25">
      <c r="A49" s="6">
        <v>4</v>
      </c>
      <c r="B49" t="s">
        <v>3</v>
      </c>
      <c r="C49" s="1">
        <v>0.34722222222222227</v>
      </c>
      <c r="D49" s="1">
        <v>0.5</v>
      </c>
      <c r="E49" s="1">
        <v>0.51388888888888895</v>
      </c>
      <c r="F49" s="1">
        <v>0.72986111111111107</v>
      </c>
      <c r="H49" t="str">
        <f>TEXT(D49-C49,"h:mm")</f>
        <v>3:40</v>
      </c>
      <c r="I49" t="str">
        <f>TEXT(F49-E49,"h:mm")</f>
        <v>5:11</v>
      </c>
      <c r="J49" t="str">
        <f>TEXT(H49+I49,"h:mm")</f>
        <v>8:51</v>
      </c>
      <c r="K49">
        <f>J49*1440</f>
        <v>531</v>
      </c>
      <c r="L49">
        <f>IF(K49&gt;=480, 1, 0)</f>
        <v>1</v>
      </c>
      <c r="M49">
        <f>IF(K49&gt;=480, 0, K49*0.145)</f>
        <v>0</v>
      </c>
    </row>
    <row r="50" spans="1:13" x14ac:dyDescent="0.25">
      <c r="A50" s="6">
        <v>5</v>
      </c>
      <c r="B50" t="s">
        <v>3</v>
      </c>
      <c r="C50" s="1">
        <v>0.34861111111111115</v>
      </c>
      <c r="D50" s="1">
        <v>0.5</v>
      </c>
      <c r="E50" s="1">
        <v>0.5229166666666667</v>
      </c>
      <c r="F50" s="1">
        <v>0.72986111111111107</v>
      </c>
      <c r="H50" t="str">
        <f>TEXT(D50-C50,"h:mm")</f>
        <v>3:38</v>
      </c>
      <c r="I50" t="str">
        <f>TEXT(F50-E50,"h:mm")</f>
        <v>4:58</v>
      </c>
      <c r="J50" t="str">
        <f>TEXT(H50+I50,"h:mm")</f>
        <v>8:36</v>
      </c>
      <c r="K50">
        <f>J50*1440</f>
        <v>516</v>
      </c>
      <c r="L50">
        <f>IF(K50&gt;=480, 1, 0)</f>
        <v>1</v>
      </c>
      <c r="M50">
        <f>IF(K50&gt;=480, 0, K50*0.145)</f>
        <v>0</v>
      </c>
    </row>
    <row r="51" spans="1:13" x14ac:dyDescent="0.25">
      <c r="A51" s="6">
        <v>6</v>
      </c>
      <c r="B51" t="s">
        <v>5</v>
      </c>
    </row>
    <row r="52" spans="1:13" x14ac:dyDescent="0.25">
      <c r="A52" s="6">
        <v>7</v>
      </c>
      <c r="B52" t="s">
        <v>3</v>
      </c>
      <c r="C52" s="1">
        <v>0.35000000000000003</v>
      </c>
      <c r="D52" s="1">
        <v>0.5</v>
      </c>
      <c r="E52" s="1">
        <v>0.51666666666666672</v>
      </c>
      <c r="F52" s="1">
        <v>0.72986111111111107</v>
      </c>
      <c r="H52" t="str">
        <f>TEXT(D52-C52,"h:mm")</f>
        <v>3:36</v>
      </c>
      <c r="I52" t="str">
        <f>TEXT(F52-E52,"h:mm")</f>
        <v>5:07</v>
      </c>
      <c r="J52" t="str">
        <f>TEXT(H52+I52,"h:mm")</f>
        <v>8:43</v>
      </c>
      <c r="K52">
        <f>J52*1440</f>
        <v>523</v>
      </c>
      <c r="L52">
        <f>IF(K52&gt;=480, 1, 0)</f>
        <v>1</v>
      </c>
      <c r="M52">
        <f>IF(K52&gt;=480, 0, K52*0.145)</f>
        <v>0</v>
      </c>
    </row>
    <row r="53" spans="1:13" x14ac:dyDescent="0.25">
      <c r="A53" s="6">
        <v>8</v>
      </c>
      <c r="B53" t="s">
        <v>3</v>
      </c>
      <c r="C53" s="1">
        <v>0.35347222222222219</v>
      </c>
      <c r="D53" s="1">
        <v>0.5</v>
      </c>
      <c r="E53" s="1">
        <v>0.51388888888888895</v>
      </c>
      <c r="F53" s="1">
        <v>0.73055555555555562</v>
      </c>
      <c r="H53" t="str">
        <f>TEXT(D53-C53,"h:mm")</f>
        <v>3:31</v>
      </c>
      <c r="I53" t="str">
        <f>TEXT(F53-E53,"h:mm")</f>
        <v>5:12</v>
      </c>
      <c r="J53" t="str">
        <f>TEXT(H53+I53,"h:mm")</f>
        <v>8:43</v>
      </c>
      <c r="K53">
        <f>J53*1440</f>
        <v>523</v>
      </c>
      <c r="L53">
        <f>IF(K53&gt;=480, 1, 0)</f>
        <v>1</v>
      </c>
      <c r="M53">
        <f>IF(K53&gt;=480, 0, K53*0.145)</f>
        <v>0</v>
      </c>
    </row>
    <row r="54" spans="1:13" x14ac:dyDescent="0.25">
      <c r="A54" s="6">
        <v>9</v>
      </c>
      <c r="B54" t="s">
        <v>3</v>
      </c>
      <c r="C54" s="1">
        <v>0.41666666666666669</v>
      </c>
      <c r="D54" s="1">
        <v>0.5</v>
      </c>
      <c r="E54" s="1">
        <v>0.51666666666666672</v>
      </c>
      <c r="F54" s="1">
        <v>0.73055555555555562</v>
      </c>
      <c r="H54" t="str">
        <f>TEXT(D54-C54,"h:mm")</f>
        <v>2:00</v>
      </c>
      <c r="I54" t="str">
        <f>TEXT(F54-E54,"h:mm")</f>
        <v>5:08</v>
      </c>
      <c r="J54" t="str">
        <f>TEXT(H54+I54,"h:mm")</f>
        <v>7:08</v>
      </c>
      <c r="K54">
        <f>J54*1440</f>
        <v>428</v>
      </c>
      <c r="L54">
        <f>IF(K54&gt;=480, 1, 0)</f>
        <v>0</v>
      </c>
      <c r="M54">
        <f>IF(K54&gt;=480, 0, K54*0.145)</f>
        <v>62.059999999999995</v>
      </c>
    </row>
    <row r="55" spans="1:13" x14ac:dyDescent="0.25">
      <c r="A55" s="6">
        <v>10</v>
      </c>
      <c r="B55" t="s">
        <v>3</v>
      </c>
      <c r="C55" s="1">
        <v>0.35972222222222222</v>
      </c>
      <c r="D55" s="1">
        <v>0.5</v>
      </c>
      <c r="E55" s="1">
        <v>0.52083333333333337</v>
      </c>
      <c r="F55" s="1">
        <v>0.72986111111111107</v>
      </c>
      <c r="H55" t="str">
        <f>TEXT(D55-C55,"h:mm")</f>
        <v>3:22</v>
      </c>
      <c r="I55" t="str">
        <f>TEXT(F55-E55,"h:mm")</f>
        <v>5:01</v>
      </c>
      <c r="J55" t="str">
        <f>TEXT(H55+I55,"h:mm")</f>
        <v>8:23</v>
      </c>
      <c r="K55">
        <f>J55*1440</f>
        <v>503</v>
      </c>
      <c r="L55">
        <f>IF(K55&gt;=480, 1, 0)</f>
        <v>1</v>
      </c>
      <c r="M55">
        <f>IF(K55&gt;=480, 0, K55*0.145)</f>
        <v>0</v>
      </c>
    </row>
    <row r="56" spans="1:13" x14ac:dyDescent="0.25">
      <c r="A56" s="6">
        <v>11</v>
      </c>
      <c r="B56" t="s">
        <v>4</v>
      </c>
    </row>
    <row r="57" spans="1:13" x14ac:dyDescent="0.25">
      <c r="A57" s="6">
        <v>12</v>
      </c>
      <c r="B57" t="s">
        <v>4</v>
      </c>
    </row>
    <row r="58" spans="1:13" x14ac:dyDescent="0.25">
      <c r="A58" s="6">
        <v>13</v>
      </c>
    </row>
    <row r="59" spans="1:13" x14ac:dyDescent="0.25">
      <c r="A59" s="6">
        <v>14</v>
      </c>
      <c r="B59" t="s">
        <v>3</v>
      </c>
      <c r="C59" s="1">
        <v>0.35625000000000001</v>
      </c>
      <c r="D59" s="1">
        <v>0.5</v>
      </c>
      <c r="E59" s="1">
        <v>0.51736111111111105</v>
      </c>
      <c r="F59" s="1">
        <v>0.72986111111111107</v>
      </c>
      <c r="H59" t="str">
        <f>TEXT(D59-C59,"h:mm")</f>
        <v>3:27</v>
      </c>
      <c r="I59" t="str">
        <f>TEXT(F59-E59,"h:mm")</f>
        <v>5:06</v>
      </c>
      <c r="J59" t="str">
        <f>TEXT(H59+I59,"h:mm")</f>
        <v>8:33</v>
      </c>
      <c r="K59">
        <f>J59*1440</f>
        <v>513</v>
      </c>
      <c r="L59">
        <f>IF(K59&gt;=480, 1, 0)</f>
        <v>1</v>
      </c>
      <c r="M59">
        <f>IF(K59&gt;=480, 0, K59*0.145)</f>
        <v>0</v>
      </c>
    </row>
    <row r="60" spans="1:13" x14ac:dyDescent="0.25">
      <c r="A60" s="6">
        <v>15</v>
      </c>
      <c r="B60" t="s">
        <v>4</v>
      </c>
    </row>
    <row r="61" spans="1:13" x14ac:dyDescent="0.25">
      <c r="A61" s="6">
        <v>16</v>
      </c>
      <c r="B61" t="s">
        <v>4</v>
      </c>
    </row>
    <row r="62" spans="1:13" x14ac:dyDescent="0.25">
      <c r="A62" s="6">
        <v>17</v>
      </c>
      <c r="B62" t="s">
        <v>3</v>
      </c>
      <c r="C62" s="1">
        <v>0.35694444444444445</v>
      </c>
      <c r="D62" s="1">
        <v>0.5</v>
      </c>
      <c r="E62" s="1">
        <v>0.52083333333333337</v>
      </c>
      <c r="F62" s="1">
        <v>0.73125000000000007</v>
      </c>
      <c r="H62" t="str">
        <f>TEXT(D62-C62,"h:mm")</f>
        <v>3:26</v>
      </c>
      <c r="I62" t="str">
        <f>TEXT(F62-E62,"h:mm")</f>
        <v>5:03</v>
      </c>
      <c r="J62" t="str">
        <f>TEXT(H62+I62,"h:mm")</f>
        <v>8:29</v>
      </c>
      <c r="K62">
        <f>J62*1440</f>
        <v>508.99999999999994</v>
      </c>
      <c r="L62">
        <f>IF(K62&gt;=480, 1, 0)</f>
        <v>1</v>
      </c>
      <c r="M62">
        <f>IF(K62&gt;=480, 0, K62*0.145)</f>
        <v>0</v>
      </c>
    </row>
    <row r="63" spans="1:13" x14ac:dyDescent="0.25">
      <c r="A63" s="6">
        <v>18</v>
      </c>
      <c r="B63" t="s">
        <v>3</v>
      </c>
      <c r="C63" s="1">
        <v>0.3611111111111111</v>
      </c>
      <c r="D63" s="1">
        <v>0.5</v>
      </c>
      <c r="E63" s="1">
        <v>0.52083333333333337</v>
      </c>
      <c r="F63" s="1">
        <v>0.72916666666666663</v>
      </c>
      <c r="H63" t="str">
        <f>TEXT(D63-C63,"h:mm")</f>
        <v>3:20</v>
      </c>
      <c r="I63" t="str">
        <f>TEXT(F63-E63,"h:mm")</f>
        <v>5:00</v>
      </c>
    </row>
    <row r="64" spans="1:13" x14ac:dyDescent="0.25">
      <c r="A64" s="6">
        <v>19</v>
      </c>
      <c r="B64" t="s">
        <v>4</v>
      </c>
      <c r="C64" s="1"/>
    </row>
    <row r="65" spans="1:17" x14ac:dyDescent="0.25">
      <c r="A65" s="6">
        <v>20</v>
      </c>
      <c r="C65" s="1"/>
    </row>
    <row r="66" spans="1:17" x14ac:dyDescent="0.25">
      <c r="A66" s="6">
        <v>21</v>
      </c>
      <c r="B66" t="s">
        <v>3</v>
      </c>
      <c r="C66" s="1">
        <v>0.34027777777777773</v>
      </c>
      <c r="D66" s="1">
        <v>0.5</v>
      </c>
      <c r="E66" s="1">
        <v>0.5180555555555556</v>
      </c>
      <c r="F66" s="1">
        <v>0.72916666666666663</v>
      </c>
      <c r="H66" t="str">
        <f>TEXT(D66-C66,"h:mm")</f>
        <v>3:50</v>
      </c>
      <c r="I66" t="str">
        <f>TEXT(F66-E66,"h:mm")</f>
        <v>5:04</v>
      </c>
      <c r="J66" t="str">
        <f>TEXT(H66+I66,"h:mm")</f>
        <v>8:54</v>
      </c>
      <c r="K66">
        <f>J66*1440</f>
        <v>534</v>
      </c>
      <c r="L66">
        <f>IF(K66&gt;=480, 1, 0)</f>
        <v>1</v>
      </c>
      <c r="M66">
        <f>IF(K66&gt;=480, 0, K66*0.145)</f>
        <v>0</v>
      </c>
    </row>
    <row r="67" spans="1:17" x14ac:dyDescent="0.25">
      <c r="A67" s="6">
        <v>22</v>
      </c>
      <c r="B67" t="s">
        <v>3</v>
      </c>
      <c r="C67" s="1">
        <v>0.35555555555555557</v>
      </c>
      <c r="D67" s="1">
        <v>0.5</v>
      </c>
      <c r="E67" s="1">
        <v>0.5180555555555556</v>
      </c>
      <c r="F67" s="1">
        <v>0.73055555555555562</v>
      </c>
      <c r="H67" t="str">
        <f>TEXT(D67-C67,"h:mm")</f>
        <v>3:28</v>
      </c>
      <c r="I67" t="str">
        <f>TEXT(F67-E67,"h:mm")</f>
        <v>5:06</v>
      </c>
      <c r="J67" t="str">
        <f>TEXT(H67+I67,"h:mm")</f>
        <v>8:34</v>
      </c>
      <c r="K67">
        <f>J67*1440</f>
        <v>514</v>
      </c>
      <c r="L67">
        <f>IF(K67&gt;=480, 1, 0)</f>
        <v>1</v>
      </c>
      <c r="M67">
        <f>IF(K67&gt;=480, 0, K67*0.145)</f>
        <v>0</v>
      </c>
    </row>
    <row r="68" spans="1:17" x14ac:dyDescent="0.25">
      <c r="A68" s="6">
        <v>23</v>
      </c>
      <c r="B68" t="s">
        <v>4</v>
      </c>
    </row>
    <row r="69" spans="1:17" x14ac:dyDescent="0.25">
      <c r="A69" s="6">
        <v>24</v>
      </c>
      <c r="B69" t="s">
        <v>3</v>
      </c>
      <c r="C69" s="1">
        <v>0.35833333333333334</v>
      </c>
      <c r="D69" s="1">
        <v>0.5</v>
      </c>
      <c r="E69" s="1">
        <v>0.51388888888888895</v>
      </c>
      <c r="F69" s="1">
        <v>0.72986111111111107</v>
      </c>
      <c r="H69" t="str">
        <f>TEXT(D69-C69,"h:mm")</f>
        <v>3:24</v>
      </c>
      <c r="I69" t="str">
        <f>TEXT(F70-E70,"h:mm")</f>
        <v>5:07</v>
      </c>
      <c r="J69" t="str">
        <f>TEXT(H69+I69,"h:mm")</f>
        <v>8:31</v>
      </c>
      <c r="K69">
        <f>J69*1440</f>
        <v>511</v>
      </c>
      <c r="L69">
        <f>IF(K69&gt;=480, 1, 0)</f>
        <v>1</v>
      </c>
      <c r="M69">
        <f>IF(K69&gt;=480, 0, K69*0.145)</f>
        <v>0</v>
      </c>
    </row>
    <row r="70" spans="1:17" x14ac:dyDescent="0.25">
      <c r="A70" s="6">
        <v>25</v>
      </c>
      <c r="B70" t="s">
        <v>3</v>
      </c>
      <c r="C70" s="1">
        <v>0.35486111111111113</v>
      </c>
      <c r="D70" s="1">
        <v>0.5</v>
      </c>
      <c r="E70" s="1">
        <v>0.5180555555555556</v>
      </c>
      <c r="F70" s="1">
        <v>0.73125000000000007</v>
      </c>
      <c r="H70" t="str">
        <f>TEXT(D70-C70,"h:mm")</f>
        <v>3:29</v>
      </c>
      <c r="I70" t="str">
        <f>TEXT(F70-E70,"h:mm")</f>
        <v>5:07</v>
      </c>
      <c r="J70" t="str">
        <f>TEXT(H70+I71,"h:mm")</f>
        <v>3:29</v>
      </c>
      <c r="K70">
        <f>J70*1440</f>
        <v>209.00000000000003</v>
      </c>
      <c r="L70">
        <f>IF(K70&gt;=480, 1, 0)</f>
        <v>0</v>
      </c>
      <c r="M70">
        <f>IF(K70&gt;=480, 0, K70*0.145)</f>
        <v>30.305000000000003</v>
      </c>
    </row>
    <row r="71" spans="1:17" x14ac:dyDescent="0.25">
      <c r="A71" s="6">
        <v>26</v>
      </c>
      <c r="B71" t="s">
        <v>4</v>
      </c>
    </row>
    <row r="72" spans="1:17" x14ac:dyDescent="0.25">
      <c r="A72" s="6">
        <v>27</v>
      </c>
    </row>
    <row r="73" spans="1:17" x14ac:dyDescent="0.25">
      <c r="A73" s="6">
        <v>28</v>
      </c>
      <c r="B73" t="s">
        <v>3</v>
      </c>
      <c r="C73" s="1">
        <v>0.375</v>
      </c>
      <c r="D73" s="1">
        <v>0.5</v>
      </c>
      <c r="E73" s="1">
        <v>0.5180555555555556</v>
      </c>
      <c r="F73" s="1">
        <v>0.73125000000000007</v>
      </c>
      <c r="H73" t="str">
        <f>TEXT(D73-C73,"h:mm")</f>
        <v>3:00</v>
      </c>
      <c r="I73" t="str">
        <f>TEXT(F73-E73,"h:mm")</f>
        <v>5:07</v>
      </c>
      <c r="J73" t="str">
        <f>TEXT(H73+I73,"h:mm")</f>
        <v>8:07</v>
      </c>
      <c r="K73">
        <f>J73*1440</f>
        <v>487</v>
      </c>
      <c r="L73">
        <f>IF(K73&gt;=480, 1, 0)</f>
        <v>1</v>
      </c>
      <c r="M73">
        <f>IF(K73&gt;=480, 0, K73*0.145)</f>
        <v>0</v>
      </c>
    </row>
    <row r="74" spans="1:17" x14ac:dyDescent="0.25">
      <c r="A74" s="6">
        <v>29</v>
      </c>
      <c r="B74" t="s">
        <v>4</v>
      </c>
    </row>
    <row r="75" spans="1:17" x14ac:dyDescent="0.25">
      <c r="A75" s="6">
        <v>30</v>
      </c>
      <c r="B75" t="s">
        <v>3</v>
      </c>
      <c r="C75" s="1">
        <v>0.35833333333333334</v>
      </c>
      <c r="D75" s="1">
        <v>0.5</v>
      </c>
      <c r="E75" s="1">
        <v>0.5180555555555556</v>
      </c>
      <c r="F75" s="1">
        <v>0.72916666666666663</v>
      </c>
      <c r="H75" t="str">
        <f>TEXT(D75-C75,"h:mm")</f>
        <v>3:24</v>
      </c>
      <c r="I75" t="str">
        <f>TEXT(F75-E75,"h:mm")</f>
        <v>5:04</v>
      </c>
      <c r="J75" t="str">
        <f>TEXT(H75+I75,"h:mm")</f>
        <v>8:28</v>
      </c>
      <c r="K75">
        <f>J75*1440</f>
        <v>508.00000000000006</v>
      </c>
      <c r="L75">
        <f>IF(K75&gt;=480, 1, 0)</f>
        <v>1</v>
      </c>
      <c r="M75">
        <f>IF(K75&gt;=480, 0, K75*0.145)</f>
        <v>0</v>
      </c>
    </row>
    <row r="76" spans="1:17" x14ac:dyDescent="0.25">
      <c r="A76" s="6">
        <v>31</v>
      </c>
      <c r="B76" t="s">
        <v>4</v>
      </c>
    </row>
    <row r="77" spans="1:17" x14ac:dyDescent="0.25">
      <c r="A77" s="6"/>
      <c r="P77" s="2"/>
      <c r="Q77" s="2"/>
    </row>
    <row r="78" spans="1:17" x14ac:dyDescent="0.25">
      <c r="A78" s="7" t="s">
        <v>10</v>
      </c>
    </row>
    <row r="79" spans="1:17" x14ac:dyDescent="0.25">
      <c r="A79" s="6">
        <v>1</v>
      </c>
      <c r="B79" t="s">
        <v>4</v>
      </c>
    </row>
    <row r="80" spans="1:17" x14ac:dyDescent="0.25">
      <c r="A80" s="6">
        <v>2</v>
      </c>
      <c r="B80" t="s">
        <v>4</v>
      </c>
    </row>
    <row r="81" spans="1:17" x14ac:dyDescent="0.25">
      <c r="A81" s="6">
        <v>3</v>
      </c>
    </row>
    <row r="82" spans="1:17" x14ac:dyDescent="0.25">
      <c r="A82" s="6">
        <v>4</v>
      </c>
      <c r="B82" t="s">
        <v>3</v>
      </c>
      <c r="C82" s="1">
        <v>0.35833333333333334</v>
      </c>
      <c r="D82" s="1">
        <v>0.5</v>
      </c>
      <c r="E82" s="1">
        <v>0.5180555555555556</v>
      </c>
      <c r="F82" s="1">
        <v>0.73125000000000007</v>
      </c>
      <c r="H82" t="str">
        <f>TEXT(D82-C82,"h:mm")</f>
        <v>3:24</v>
      </c>
      <c r="I82" t="str">
        <f>TEXT(F82-E82,"h:mm")</f>
        <v>5:07</v>
      </c>
      <c r="J82" t="str">
        <f>TEXT(H82+I82,"h:mm")</f>
        <v>8:31</v>
      </c>
      <c r="K82">
        <f>J82*1440</f>
        <v>511</v>
      </c>
      <c r="L82">
        <f>IF(K82&gt;=480, 1, 0)</f>
        <v>1</v>
      </c>
      <c r="M82">
        <f>IF(K82&gt;=480, 0, K82*0.145)</f>
        <v>0</v>
      </c>
    </row>
    <row r="83" spans="1:17" x14ac:dyDescent="0.25">
      <c r="A83" s="6">
        <v>5</v>
      </c>
      <c r="L83" s="2" t="s">
        <v>21</v>
      </c>
      <c r="M83" s="2" t="s">
        <v>22</v>
      </c>
      <c r="N83" s="2" t="s">
        <v>23</v>
      </c>
    </row>
    <row r="84" spans="1:17" x14ac:dyDescent="0.25">
      <c r="A84" s="6">
        <v>6</v>
      </c>
      <c r="L84">
        <f>SUM(L6:L82)*70</f>
        <v>2100</v>
      </c>
      <c r="M84">
        <f>SUM(M6:M82)</f>
        <v>226.345</v>
      </c>
      <c r="N84">
        <f>L84+M84</f>
        <v>2326.3449999999998</v>
      </c>
    </row>
    <row r="85" spans="1:17" x14ac:dyDescent="0.25">
      <c r="A85" s="6">
        <v>7</v>
      </c>
    </row>
    <row r="86" spans="1:17" x14ac:dyDescent="0.25">
      <c r="A86" s="6">
        <v>8</v>
      </c>
    </row>
    <row r="87" spans="1:17" x14ac:dyDescent="0.25">
      <c r="A87" s="6">
        <v>9</v>
      </c>
    </row>
    <row r="88" spans="1:17" x14ac:dyDescent="0.25">
      <c r="A88" s="6">
        <v>10</v>
      </c>
    </row>
    <row r="89" spans="1:17" x14ac:dyDescent="0.25">
      <c r="P89" s="2"/>
      <c r="Q8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Rowel Cerezo</dc:creator>
  <cp:lastModifiedBy>Rowel Cerezo</cp:lastModifiedBy>
  <dcterms:created xsi:type="dcterms:W3CDTF">2018-12-18T18:02:31Z</dcterms:created>
  <dcterms:modified xsi:type="dcterms:W3CDTF">2019-02-07T02:37:59Z</dcterms:modified>
</cp:coreProperties>
</file>