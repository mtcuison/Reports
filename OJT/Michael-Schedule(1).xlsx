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uanzon\Reports\OJT\"/>
    </mc:Choice>
  </mc:AlternateContent>
  <bookViews>
    <workbookView xWindow="0" yWindow="0" windowWidth="20490" windowHeight="790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79" i="1" l="1"/>
  <c r="K8" i="1" l="1"/>
  <c r="K9" i="1"/>
  <c r="K10" i="1"/>
  <c r="K11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6" i="1"/>
  <c r="K77" i="1"/>
  <c r="K78" i="1"/>
  <c r="L9" i="1"/>
  <c r="L10" i="1"/>
  <c r="L11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6" i="1"/>
  <c r="L77" i="1"/>
  <c r="L78" i="1"/>
  <c r="L7" i="1"/>
  <c r="L8" i="1"/>
  <c r="K7" i="1"/>
  <c r="G7" i="1"/>
  <c r="G13" i="1" l="1"/>
  <c r="H13" i="1"/>
  <c r="G15" i="1"/>
  <c r="H15" i="1"/>
  <c r="G18" i="1"/>
  <c r="H18" i="1"/>
  <c r="G19" i="1"/>
  <c r="H19" i="1"/>
  <c r="G22" i="1"/>
  <c r="H22" i="1"/>
  <c r="G23" i="1"/>
  <c r="H23" i="1"/>
  <c r="G24" i="1"/>
  <c r="H24" i="1"/>
  <c r="G25" i="1"/>
  <c r="H25" i="1"/>
  <c r="G26" i="1"/>
  <c r="I26" i="1" s="1"/>
  <c r="J26" i="1" s="1"/>
  <c r="H26" i="1"/>
  <c r="G27" i="1"/>
  <c r="H27" i="1"/>
  <c r="G30" i="1"/>
  <c r="H30" i="1"/>
  <c r="G31" i="1"/>
  <c r="H31" i="1"/>
  <c r="G32" i="1"/>
  <c r="H32" i="1"/>
  <c r="G33" i="1"/>
  <c r="I33" i="1" s="1"/>
  <c r="J33" i="1" s="1"/>
  <c r="H33" i="1"/>
  <c r="G34" i="1"/>
  <c r="H34" i="1"/>
  <c r="G38" i="1"/>
  <c r="H38" i="1"/>
  <c r="G39" i="1"/>
  <c r="H39" i="1"/>
  <c r="G40" i="1"/>
  <c r="H40" i="1"/>
  <c r="G45" i="1"/>
  <c r="H45" i="1"/>
  <c r="G46" i="1"/>
  <c r="H46" i="1"/>
  <c r="G47" i="1"/>
  <c r="H47" i="1"/>
  <c r="G48" i="1"/>
  <c r="H48" i="1"/>
  <c r="G49" i="1"/>
  <c r="H49" i="1"/>
  <c r="I49" i="1"/>
  <c r="J49" i="1" s="1"/>
  <c r="G51" i="1"/>
  <c r="H51" i="1"/>
  <c r="G52" i="1"/>
  <c r="H52" i="1"/>
  <c r="G53" i="1"/>
  <c r="H53" i="1"/>
  <c r="G54" i="1"/>
  <c r="H54" i="1"/>
  <c r="G55" i="1"/>
  <c r="H55" i="1"/>
  <c r="G58" i="1"/>
  <c r="H58" i="1"/>
  <c r="G59" i="1"/>
  <c r="H59" i="1"/>
  <c r="G60" i="1"/>
  <c r="H60" i="1"/>
  <c r="G61" i="1"/>
  <c r="H61" i="1"/>
  <c r="G65" i="1"/>
  <c r="H65" i="1"/>
  <c r="I65" i="1" s="1"/>
  <c r="J65" i="1" s="1"/>
  <c r="G66" i="1"/>
  <c r="H66" i="1"/>
  <c r="G67" i="1"/>
  <c r="H67" i="1"/>
  <c r="G68" i="1"/>
  <c r="H68" i="1"/>
  <c r="G69" i="1"/>
  <c r="H69" i="1"/>
  <c r="G70" i="1"/>
  <c r="I70" i="1" s="1"/>
  <c r="J70" i="1" s="1"/>
  <c r="H70" i="1"/>
  <c r="G72" i="1"/>
  <c r="H72" i="1"/>
  <c r="G73" i="1"/>
  <c r="H73" i="1"/>
  <c r="G74" i="1"/>
  <c r="I74" i="1" s="1"/>
  <c r="J74" i="1" s="1"/>
  <c r="H74" i="1"/>
  <c r="G76" i="1"/>
  <c r="H76" i="1"/>
  <c r="G77" i="1"/>
  <c r="I77" i="1" s="1"/>
  <c r="J77" i="1" s="1"/>
  <c r="H77" i="1"/>
  <c r="H79" i="1"/>
  <c r="G11" i="1"/>
  <c r="I11" i="1" s="1"/>
  <c r="J11" i="1" s="1"/>
  <c r="H11" i="1"/>
  <c r="G10" i="1"/>
  <c r="H10" i="1"/>
  <c r="G8" i="1"/>
  <c r="H8" i="1"/>
  <c r="H7" i="1"/>
  <c r="I7" i="1" s="1"/>
  <c r="J7" i="1" s="1"/>
  <c r="I66" i="1" l="1"/>
  <c r="J66" i="1" s="1"/>
  <c r="I61" i="1"/>
  <c r="J61" i="1" s="1"/>
  <c r="I69" i="1"/>
  <c r="J69" i="1" s="1"/>
  <c r="I60" i="1"/>
  <c r="J60" i="1" s="1"/>
  <c r="I58" i="1"/>
  <c r="J58" i="1" s="1"/>
  <c r="I54" i="1"/>
  <c r="J54" i="1" s="1"/>
  <c r="I25" i="1"/>
  <c r="J25" i="1" s="1"/>
  <c r="I10" i="1"/>
  <c r="J10" i="1" s="1"/>
  <c r="I34" i="1"/>
  <c r="J34" i="1" s="1"/>
  <c r="I46" i="1"/>
  <c r="J46" i="1" s="1"/>
  <c r="I22" i="1"/>
  <c r="J22" i="1" s="1"/>
  <c r="I18" i="1"/>
  <c r="J18" i="1" s="1"/>
  <c r="I13" i="1"/>
  <c r="J13" i="1" s="1"/>
  <c r="I73" i="1"/>
  <c r="J73" i="1" s="1"/>
  <c r="I53" i="1"/>
  <c r="J53" i="1" s="1"/>
  <c r="I38" i="1"/>
  <c r="J38" i="1" s="1"/>
  <c r="I32" i="1"/>
  <c r="J32" i="1" s="1"/>
  <c r="I30" i="1"/>
  <c r="J30" i="1" s="1"/>
  <c r="I45" i="1"/>
  <c r="J45" i="1" s="1"/>
  <c r="I67" i="1"/>
  <c r="J67" i="1" s="1"/>
  <c r="I23" i="1"/>
  <c r="J23" i="1" s="1"/>
  <c r="I79" i="1"/>
  <c r="J79" i="1" s="1"/>
  <c r="I59" i="1"/>
  <c r="J59" i="1" s="1"/>
  <c r="I31" i="1"/>
  <c r="J31" i="1" s="1"/>
  <c r="I19" i="1"/>
  <c r="J19" i="1" s="1"/>
  <c r="I51" i="1"/>
  <c r="J51" i="1" s="1"/>
  <c r="I48" i="1"/>
  <c r="J48" i="1" s="1"/>
  <c r="I39" i="1"/>
  <c r="J39" i="1" s="1"/>
  <c r="I76" i="1"/>
  <c r="J76" i="1" s="1"/>
  <c r="I72" i="1"/>
  <c r="J72" i="1" s="1"/>
  <c r="I68" i="1"/>
  <c r="J68" i="1" s="1"/>
  <c r="I55" i="1"/>
  <c r="J55" i="1" s="1"/>
  <c r="I52" i="1"/>
  <c r="J52" i="1" s="1"/>
  <c r="I47" i="1"/>
  <c r="J47" i="1" s="1"/>
  <c r="I40" i="1"/>
  <c r="J40" i="1" s="1"/>
  <c r="I24" i="1"/>
  <c r="J24" i="1" s="1"/>
  <c r="I15" i="1"/>
  <c r="J15" i="1" s="1"/>
  <c r="I27" i="1"/>
  <c r="J27" i="1" s="1"/>
  <c r="I8" i="1"/>
  <c r="J8" i="1" s="1"/>
  <c r="K79" i="1" l="1"/>
  <c r="L79" i="1"/>
</calcChain>
</file>

<file path=xl/sharedStrings.xml><?xml version="1.0" encoding="utf-8"?>
<sst xmlns="http://schemas.openxmlformats.org/spreadsheetml/2006/main" count="20" uniqueCount="18">
  <si>
    <t>Michael P. Garcia</t>
  </si>
  <si>
    <t>STI - (MIS- OJT)</t>
  </si>
  <si>
    <t>NOVEMBER</t>
  </si>
  <si>
    <t>Date</t>
  </si>
  <si>
    <t>IN</t>
  </si>
  <si>
    <t>OUT</t>
  </si>
  <si>
    <t>DECEMBER</t>
  </si>
  <si>
    <t>January</t>
  </si>
  <si>
    <t>February</t>
  </si>
  <si>
    <t>AM</t>
  </si>
  <si>
    <t>PM</t>
  </si>
  <si>
    <t>Absent</t>
  </si>
  <si>
    <t>TOTAL AM</t>
  </si>
  <si>
    <t>TOTAL PM</t>
  </si>
  <si>
    <t>TOTAL HOURS</t>
  </si>
  <si>
    <t>MINUTES</t>
  </si>
  <si>
    <t>WHOLE DAY</t>
  </si>
  <si>
    <t>UNDERTIME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</si>
</sst>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0" fontId="0" fillId="0" borderId="0" xfId="0" applyNumberFormat="1"/>
    <xf numFmtId="0" fontId="0" fillId="2" borderId="0" xfId="0" applyFill="1"/>
    <xf numFmtId="0" fontId="1" fillId="2" borderId="0" xfId="0" applyFont="1" applyFill="1"/>
    <xf numFmtId="0" fontId="0" fillId="0" borderId="0" xfId="0" applyAlignment="1">
      <alignment horizontal="center"/>
    </xf>
    <xf numFmtId="0" fontId="0" fillId="0" borderId="0" xfId="0" applyAlignment="1"/>
    <xf numFmtId="0" fontId="0" fillId="2" borderId="0" xfId="0" applyFill="1" applyAlignment="1">
      <alignment horizontal="center"/>
    </xf>
    <xf numFmtId="0" fontId="0" fillId="0" borderId="0" xfId="0" applyFill="1"/>
    <xf numFmtId="2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3"/>
  <sheetViews>
    <sheetView tabSelected="1" topLeftCell="A94" workbookViewId="0">
      <selection activeCell="O98" sqref="O98"/>
    </sheetView>
  </sheetViews>
  <sheetFormatPr defaultRowHeight="15" x14ac:dyDescent="0.25"/>
  <cols>
    <col min="1" max="1" width="16.140625" bestFit="1" customWidth="1"/>
    <col min="2" max="5" width="10.85546875" customWidth="1"/>
    <col min="7" max="7" width="10" bestFit="1" customWidth="1"/>
    <col min="8" max="8" width="9.85546875" bestFit="1" customWidth="1"/>
    <col min="9" max="9" width="13.28515625" bestFit="1" customWidth="1"/>
    <col min="10" max="10" width="9" bestFit="1" customWidth="1"/>
    <col min="11" max="12" width="11.42578125" bestFit="1" customWidth="1"/>
    <col min="13" max="13" width="18.42578125" bestFit="1" customWidth="1"/>
  </cols>
  <sheetData>
    <row r="1" spans="1:12" x14ac:dyDescent="0.25">
      <c r="A1" t="s">
        <v>0</v>
      </c>
    </row>
    <row r="2" spans="1:12" x14ac:dyDescent="0.25">
      <c r="A2" t="s">
        <v>1</v>
      </c>
    </row>
    <row r="5" spans="1:12" x14ac:dyDescent="0.25">
      <c r="A5" s="2" t="s">
        <v>3</v>
      </c>
      <c r="B5" s="10" t="s">
        <v>9</v>
      </c>
      <c r="C5" s="10"/>
      <c r="D5" s="10" t="s">
        <v>10</v>
      </c>
      <c r="E5" s="10"/>
      <c r="F5" s="6"/>
      <c r="G5" s="2" t="s">
        <v>12</v>
      </c>
      <c r="H5" s="2" t="s">
        <v>13</v>
      </c>
      <c r="I5" s="2" t="s">
        <v>14</v>
      </c>
      <c r="J5" s="2" t="s">
        <v>15</v>
      </c>
      <c r="K5" s="2" t="s">
        <v>16</v>
      </c>
      <c r="L5" s="2" t="s">
        <v>17</v>
      </c>
    </row>
    <row r="6" spans="1:12" x14ac:dyDescent="0.25">
      <c r="A6" s="3" t="s">
        <v>2</v>
      </c>
      <c r="B6" s="4" t="s">
        <v>4</v>
      </c>
      <c r="C6" s="4" t="s">
        <v>5</v>
      </c>
      <c r="D6" s="4" t="s">
        <v>4</v>
      </c>
      <c r="E6" s="4" t="s">
        <v>5</v>
      </c>
      <c r="F6" s="4"/>
    </row>
    <row r="7" spans="1:12" x14ac:dyDescent="0.25">
      <c r="A7" s="2">
        <v>26</v>
      </c>
      <c r="B7" s="1">
        <v>0.35416666666666669</v>
      </c>
      <c r="C7" s="1">
        <v>0.5</v>
      </c>
      <c r="D7" s="1">
        <v>0.54166666666666663</v>
      </c>
      <c r="E7" s="1">
        <v>0.73611111111111116</v>
      </c>
      <c r="F7" s="1"/>
      <c r="G7" t="str">
        <f>TEXT(C7-B7, "h:mm")</f>
        <v>3:30</v>
      </c>
      <c r="H7" t="str">
        <f>TEXT(E7-D7, "h:mm")</f>
        <v>4:40</v>
      </c>
      <c r="I7" t="str">
        <f>TEXT(G7+H7, "h:mm")</f>
        <v>8:10</v>
      </c>
      <c r="J7">
        <f>I7*1440</f>
        <v>489.99999999999994</v>
      </c>
      <c r="K7">
        <f>IF(J7&gt;=480, 1, 0)</f>
        <v>1</v>
      </c>
      <c r="L7" s="8">
        <f>IF(J7&gt;=480, 0, J7*0.1458)</f>
        <v>0</v>
      </c>
    </row>
    <row r="8" spans="1:12" x14ac:dyDescent="0.25">
      <c r="A8" s="2">
        <v>27</v>
      </c>
      <c r="B8" s="1">
        <v>0.3659722222222222</v>
      </c>
      <c r="C8" s="1">
        <v>0.5</v>
      </c>
      <c r="D8" s="1">
        <v>0.53888888888888886</v>
      </c>
      <c r="E8" s="1">
        <v>0.7319444444444444</v>
      </c>
      <c r="F8" s="1"/>
      <c r="G8" t="str">
        <f>TEXT(C8-B8, "h:mm")</f>
        <v>3:13</v>
      </c>
      <c r="H8" t="str">
        <f>TEXT(E8-D8, "h:mm")</f>
        <v>4:38</v>
      </c>
      <c r="I8" t="str">
        <f>TEXT(G8+H8, "h:mm")</f>
        <v>7:51</v>
      </c>
      <c r="J8">
        <f t="shared" ref="J8:J70" si="0">I8*1440</f>
        <v>471</v>
      </c>
      <c r="K8">
        <f t="shared" ref="K8:K71" si="1">IF(J8&gt;=480, 1, 0)</f>
        <v>0</v>
      </c>
      <c r="L8" s="8">
        <f>IF(J8&gt;=480, 0, J8*0.1458)</f>
        <v>68.671800000000005</v>
      </c>
    </row>
    <row r="9" spans="1:12" x14ac:dyDescent="0.25">
      <c r="A9" s="2">
        <v>28</v>
      </c>
      <c r="B9" s="5"/>
      <c r="C9" s="5"/>
      <c r="D9" s="5"/>
      <c r="E9" s="5"/>
      <c r="F9" s="5"/>
      <c r="K9">
        <f t="shared" si="1"/>
        <v>0</v>
      </c>
      <c r="L9" s="8">
        <f t="shared" ref="L9:L72" si="2">IF(J9&gt;=480, 0, J9*0.1458)</f>
        <v>0</v>
      </c>
    </row>
    <row r="10" spans="1:12" x14ac:dyDescent="0.25">
      <c r="A10" s="2">
        <v>29</v>
      </c>
      <c r="B10" s="1">
        <v>0.35833333333333334</v>
      </c>
      <c r="C10" s="1">
        <v>0.5</v>
      </c>
      <c r="G10" t="str">
        <f>TEXT(C10-B10, "h:mm")</f>
        <v>3:24</v>
      </c>
      <c r="H10" t="str">
        <f>TEXT(E10-D10, "h:mm")</f>
        <v>0:00</v>
      </c>
      <c r="I10" t="str">
        <f t="shared" ref="I10" si="3">TEXT(G10+H10, "h:mm")</f>
        <v>3:24</v>
      </c>
      <c r="J10">
        <f t="shared" si="0"/>
        <v>204</v>
      </c>
      <c r="K10">
        <f t="shared" si="1"/>
        <v>0</v>
      </c>
      <c r="L10" s="8">
        <f t="shared" si="2"/>
        <v>29.743200000000002</v>
      </c>
    </row>
    <row r="11" spans="1:12" x14ac:dyDescent="0.25">
      <c r="A11" s="2">
        <v>30</v>
      </c>
      <c r="B11" s="1">
        <v>0.34375</v>
      </c>
      <c r="C11" s="1">
        <v>0.5</v>
      </c>
      <c r="D11" s="1">
        <v>0.53472222222222221</v>
      </c>
      <c r="E11" s="1">
        <v>0.72986111111111107</v>
      </c>
      <c r="F11" s="1"/>
      <c r="G11" t="str">
        <f>TEXT(C11-B11, "h:mm")</f>
        <v>3:45</v>
      </c>
      <c r="H11" t="str">
        <f>TEXT(E11-D11, "h:mm")</f>
        <v>4:41</v>
      </c>
      <c r="I11" t="str">
        <f t="shared" ref="I11" si="4">TEXT(G11+H11, "h:mm")</f>
        <v>8:26</v>
      </c>
      <c r="J11">
        <f t="shared" si="0"/>
        <v>506.00000000000006</v>
      </c>
      <c r="K11">
        <f t="shared" si="1"/>
        <v>1</v>
      </c>
      <c r="L11" s="8">
        <f t="shared" si="2"/>
        <v>0</v>
      </c>
    </row>
    <row r="12" spans="1:12" x14ac:dyDescent="0.25">
      <c r="A12" s="3" t="s">
        <v>6</v>
      </c>
      <c r="B12" s="7"/>
      <c r="C12" s="7"/>
      <c r="D12" s="7"/>
      <c r="E12" s="7"/>
      <c r="F12" s="7"/>
      <c r="L12" s="8"/>
    </row>
    <row r="13" spans="1:12" x14ac:dyDescent="0.25">
      <c r="A13" s="2">
        <v>1</v>
      </c>
      <c r="B13" s="1">
        <v>0.33680555555555558</v>
      </c>
      <c r="C13" s="1">
        <v>0.50416666666666665</v>
      </c>
      <c r="D13" s="1">
        <v>0.52083333333333337</v>
      </c>
      <c r="E13" s="1">
        <v>0.73125000000000007</v>
      </c>
      <c r="F13" s="1"/>
      <c r="G13" t="str">
        <f>TEXT(C13-B13, "h:mm")</f>
        <v>4:01</v>
      </c>
      <c r="H13" t="str">
        <f>TEXT(E13-D13, "h:mm")</f>
        <v>5:03</v>
      </c>
      <c r="I13" t="str">
        <f t="shared" ref="I13:I74" si="5">TEXT(G13+H13, "h:mm")</f>
        <v>9:04</v>
      </c>
      <c r="J13">
        <f t="shared" si="0"/>
        <v>544</v>
      </c>
      <c r="K13">
        <f t="shared" si="1"/>
        <v>1</v>
      </c>
      <c r="L13" s="8">
        <f t="shared" si="2"/>
        <v>0</v>
      </c>
    </row>
    <row r="14" spans="1:12" x14ac:dyDescent="0.25">
      <c r="A14" s="2">
        <v>2</v>
      </c>
      <c r="B14" s="9" t="s">
        <v>11</v>
      </c>
      <c r="C14" s="9"/>
      <c r="D14" s="9"/>
      <c r="E14" s="9"/>
      <c r="F14" s="4"/>
      <c r="K14">
        <f t="shared" si="1"/>
        <v>0</v>
      </c>
      <c r="L14" s="8">
        <f t="shared" si="2"/>
        <v>0</v>
      </c>
    </row>
    <row r="15" spans="1:12" x14ac:dyDescent="0.25">
      <c r="A15" s="2">
        <v>3</v>
      </c>
      <c r="B15" s="1">
        <v>0.3576388888888889</v>
      </c>
      <c r="C15" s="1">
        <v>0.5</v>
      </c>
      <c r="D15" s="1">
        <v>0.52222222222222225</v>
      </c>
      <c r="E15" s="1">
        <v>0.73125000000000007</v>
      </c>
      <c r="F15" s="1"/>
      <c r="G15" t="str">
        <f>TEXT(C15-B15, "h:mm")</f>
        <v>3:25</v>
      </c>
      <c r="H15" t="str">
        <f>TEXT(E15-D15, "h:mm")</f>
        <v>5:01</v>
      </c>
      <c r="I15" t="str">
        <f t="shared" si="5"/>
        <v>8:26</v>
      </c>
      <c r="J15">
        <f t="shared" si="0"/>
        <v>506.00000000000006</v>
      </c>
      <c r="K15">
        <f t="shared" si="1"/>
        <v>1</v>
      </c>
      <c r="L15" s="8">
        <f t="shared" si="2"/>
        <v>0</v>
      </c>
    </row>
    <row r="16" spans="1:12" x14ac:dyDescent="0.25">
      <c r="A16" s="2">
        <v>4</v>
      </c>
      <c r="B16" s="5"/>
      <c r="C16" s="5"/>
      <c r="D16" s="5"/>
      <c r="E16" s="5"/>
      <c r="F16" s="5"/>
      <c r="K16">
        <f t="shared" si="1"/>
        <v>0</v>
      </c>
      <c r="L16" s="8">
        <f t="shared" si="2"/>
        <v>0</v>
      </c>
    </row>
    <row r="17" spans="1:12" x14ac:dyDescent="0.25">
      <c r="A17" s="2">
        <v>5</v>
      </c>
      <c r="B17" s="5"/>
      <c r="C17" s="5"/>
      <c r="D17" s="5"/>
      <c r="E17" s="5"/>
      <c r="F17" s="5"/>
      <c r="K17">
        <f t="shared" si="1"/>
        <v>0</v>
      </c>
      <c r="L17" s="8">
        <f t="shared" si="2"/>
        <v>0</v>
      </c>
    </row>
    <row r="18" spans="1:12" x14ac:dyDescent="0.25">
      <c r="A18" s="2">
        <v>6</v>
      </c>
      <c r="B18" s="1">
        <v>0.39097222222222222</v>
      </c>
      <c r="C18" s="1">
        <v>0.50138888888888888</v>
      </c>
      <c r="D18" s="1">
        <v>0.52083333333333337</v>
      </c>
      <c r="E18" s="1">
        <v>0.72986111111111107</v>
      </c>
      <c r="F18" s="1"/>
      <c r="G18" t="str">
        <f>TEXT(C18-B18, "h:mm")</f>
        <v>2:39</v>
      </c>
      <c r="H18" t="str">
        <f>TEXT(E18-D18, "h:mm")</f>
        <v>5:01</v>
      </c>
      <c r="I18" t="str">
        <f t="shared" si="5"/>
        <v>7:40</v>
      </c>
      <c r="J18">
        <f t="shared" si="0"/>
        <v>460.00000000000006</v>
      </c>
      <c r="K18">
        <f t="shared" si="1"/>
        <v>0</v>
      </c>
      <c r="L18" s="8">
        <f t="shared" si="2"/>
        <v>67.068000000000012</v>
      </c>
    </row>
    <row r="19" spans="1:12" x14ac:dyDescent="0.25">
      <c r="A19" s="2">
        <v>7</v>
      </c>
      <c r="B19" s="1">
        <v>0.3527777777777778</v>
      </c>
      <c r="C19" s="1">
        <v>0.5</v>
      </c>
      <c r="D19" s="1">
        <v>0.52083333333333337</v>
      </c>
      <c r="E19" s="1">
        <v>0.72916666666666663</v>
      </c>
      <c r="F19" s="1"/>
      <c r="G19" t="str">
        <f>TEXT(C19-B19, "h:mm")</f>
        <v>3:32</v>
      </c>
      <c r="H19" t="str">
        <f>TEXT(E19-D19, "h:mm")</f>
        <v>5:00</v>
      </c>
      <c r="I19" t="str">
        <f t="shared" si="5"/>
        <v>8:32</v>
      </c>
      <c r="J19">
        <f t="shared" si="0"/>
        <v>512</v>
      </c>
      <c r="K19">
        <f t="shared" si="1"/>
        <v>1</v>
      </c>
      <c r="L19" s="8">
        <f t="shared" si="2"/>
        <v>0</v>
      </c>
    </row>
    <row r="20" spans="1:12" x14ac:dyDescent="0.25">
      <c r="A20" s="2">
        <v>8</v>
      </c>
      <c r="B20" s="1"/>
      <c r="C20" s="1"/>
      <c r="K20">
        <f t="shared" si="1"/>
        <v>0</v>
      </c>
      <c r="L20" s="8">
        <f t="shared" si="2"/>
        <v>0</v>
      </c>
    </row>
    <row r="21" spans="1:12" x14ac:dyDescent="0.25">
      <c r="A21" s="2">
        <v>9</v>
      </c>
      <c r="B21" s="1"/>
      <c r="C21" s="1"/>
      <c r="K21">
        <f t="shared" si="1"/>
        <v>0</v>
      </c>
      <c r="L21" s="8">
        <f t="shared" si="2"/>
        <v>0</v>
      </c>
    </row>
    <row r="22" spans="1:12" x14ac:dyDescent="0.25">
      <c r="A22" s="2">
        <v>10</v>
      </c>
      <c r="B22" s="1">
        <v>0.36458333333333331</v>
      </c>
      <c r="C22" s="1">
        <v>0.5</v>
      </c>
      <c r="D22" s="1">
        <v>0.51388888888888895</v>
      </c>
      <c r="E22" s="1">
        <v>0.7319444444444444</v>
      </c>
      <c r="F22" s="1"/>
      <c r="G22" t="str">
        <f t="shared" ref="G22:G27" si="6">TEXT(C22-B22, "h:mm")</f>
        <v>3:15</v>
      </c>
      <c r="H22" t="str">
        <f t="shared" ref="H22:H27" si="7">TEXT(E22-D22, "h:mm")</f>
        <v>5:14</v>
      </c>
      <c r="I22" t="str">
        <f t="shared" si="5"/>
        <v>8:29</v>
      </c>
      <c r="J22">
        <f t="shared" si="0"/>
        <v>508.99999999999994</v>
      </c>
      <c r="K22">
        <f t="shared" si="1"/>
        <v>1</v>
      </c>
      <c r="L22" s="8">
        <f t="shared" si="2"/>
        <v>0</v>
      </c>
    </row>
    <row r="23" spans="1:12" x14ac:dyDescent="0.25">
      <c r="A23" s="2">
        <v>11</v>
      </c>
      <c r="B23" s="1">
        <v>0.3576388888888889</v>
      </c>
      <c r="C23" s="1">
        <v>0.50208333333333333</v>
      </c>
      <c r="D23" s="1">
        <v>0.51736111111111105</v>
      </c>
      <c r="E23" s="1">
        <v>0.73055555555555562</v>
      </c>
      <c r="F23" s="1"/>
      <c r="G23" t="str">
        <f t="shared" si="6"/>
        <v>3:28</v>
      </c>
      <c r="H23" t="str">
        <f t="shared" si="7"/>
        <v>5:07</v>
      </c>
      <c r="I23" t="str">
        <f t="shared" si="5"/>
        <v>8:35</v>
      </c>
      <c r="J23">
        <f t="shared" si="0"/>
        <v>515</v>
      </c>
      <c r="K23">
        <f t="shared" si="1"/>
        <v>1</v>
      </c>
      <c r="L23" s="8">
        <f t="shared" si="2"/>
        <v>0</v>
      </c>
    </row>
    <row r="24" spans="1:12" x14ac:dyDescent="0.25">
      <c r="A24" s="2">
        <v>12</v>
      </c>
      <c r="B24" s="1">
        <v>0.37152777777777773</v>
      </c>
      <c r="C24" s="1">
        <v>0.50277777777777777</v>
      </c>
      <c r="D24" s="1">
        <v>0.51736111111111105</v>
      </c>
      <c r="E24" s="1">
        <v>0.73055555555555562</v>
      </c>
      <c r="F24" s="1"/>
      <c r="G24" t="str">
        <f t="shared" si="6"/>
        <v>3:09</v>
      </c>
      <c r="H24" t="str">
        <f t="shared" si="7"/>
        <v>5:07</v>
      </c>
      <c r="I24" t="str">
        <f t="shared" si="5"/>
        <v>8:16</v>
      </c>
      <c r="J24">
        <f t="shared" si="0"/>
        <v>496.00000000000006</v>
      </c>
      <c r="K24">
        <f t="shared" si="1"/>
        <v>1</v>
      </c>
      <c r="L24" s="8">
        <f t="shared" si="2"/>
        <v>0</v>
      </c>
    </row>
    <row r="25" spans="1:12" x14ac:dyDescent="0.25">
      <c r="A25" s="2">
        <v>13</v>
      </c>
      <c r="B25" s="1">
        <v>0.35625000000000001</v>
      </c>
      <c r="C25" s="1">
        <v>0.50277777777777777</v>
      </c>
      <c r="D25" s="1">
        <v>0.51874999999999993</v>
      </c>
      <c r="E25" s="1">
        <v>0.71388888888888891</v>
      </c>
      <c r="F25" s="1"/>
      <c r="G25" t="str">
        <f t="shared" si="6"/>
        <v>3:31</v>
      </c>
      <c r="H25" t="str">
        <f t="shared" si="7"/>
        <v>4:41</v>
      </c>
      <c r="I25" t="str">
        <f t="shared" si="5"/>
        <v>8:12</v>
      </c>
      <c r="J25">
        <f t="shared" si="0"/>
        <v>491.99999999999994</v>
      </c>
      <c r="K25">
        <f t="shared" si="1"/>
        <v>1</v>
      </c>
      <c r="L25" s="8">
        <f t="shared" si="2"/>
        <v>0</v>
      </c>
    </row>
    <row r="26" spans="1:12" x14ac:dyDescent="0.25">
      <c r="A26" s="2">
        <v>14</v>
      </c>
      <c r="B26" s="1">
        <v>0.35416666666666669</v>
      </c>
      <c r="C26" s="1">
        <v>0.50347222222222221</v>
      </c>
      <c r="D26" s="1">
        <v>0.51527777777777783</v>
      </c>
      <c r="E26" s="1">
        <v>0.72361111111111109</v>
      </c>
      <c r="F26" s="1"/>
      <c r="G26" t="str">
        <f t="shared" si="6"/>
        <v>3:35</v>
      </c>
      <c r="H26" t="str">
        <f t="shared" si="7"/>
        <v>5:00</v>
      </c>
      <c r="I26" t="str">
        <f t="shared" si="5"/>
        <v>8:35</v>
      </c>
      <c r="J26">
        <f t="shared" si="0"/>
        <v>515</v>
      </c>
      <c r="K26">
        <f t="shared" si="1"/>
        <v>1</v>
      </c>
      <c r="L26" s="8">
        <f t="shared" si="2"/>
        <v>0</v>
      </c>
    </row>
    <row r="27" spans="1:12" x14ac:dyDescent="0.25">
      <c r="A27" s="2">
        <v>15</v>
      </c>
      <c r="B27" s="1">
        <v>0.35694444444444445</v>
      </c>
      <c r="C27" s="1">
        <v>0.5</v>
      </c>
      <c r="D27" s="1">
        <v>0.54166666666666663</v>
      </c>
      <c r="E27" s="1">
        <v>0.65277777777777779</v>
      </c>
      <c r="F27" s="1"/>
      <c r="G27" t="str">
        <f t="shared" si="6"/>
        <v>3:26</v>
      </c>
      <c r="H27" t="str">
        <f t="shared" si="7"/>
        <v>2:40</v>
      </c>
      <c r="I27" t="str">
        <f t="shared" si="5"/>
        <v>6:06</v>
      </c>
      <c r="J27">
        <f t="shared" si="0"/>
        <v>366</v>
      </c>
      <c r="K27">
        <f t="shared" si="1"/>
        <v>0</v>
      </c>
      <c r="L27" s="8">
        <f t="shared" si="2"/>
        <v>53.362800000000007</v>
      </c>
    </row>
    <row r="28" spans="1:12" x14ac:dyDescent="0.25">
      <c r="A28" s="2">
        <v>16</v>
      </c>
      <c r="B28" s="1"/>
      <c r="K28">
        <f t="shared" si="1"/>
        <v>0</v>
      </c>
      <c r="L28" s="8">
        <f t="shared" si="2"/>
        <v>0</v>
      </c>
    </row>
    <row r="29" spans="1:12" x14ac:dyDescent="0.25">
      <c r="A29" s="2">
        <v>17</v>
      </c>
      <c r="B29" s="1"/>
      <c r="K29">
        <f t="shared" si="1"/>
        <v>0</v>
      </c>
      <c r="L29" s="8">
        <f t="shared" si="2"/>
        <v>0</v>
      </c>
    </row>
    <row r="30" spans="1:12" x14ac:dyDescent="0.25">
      <c r="A30" s="2">
        <v>18</v>
      </c>
      <c r="B30" s="1">
        <v>0.33333333333333331</v>
      </c>
      <c r="C30" s="1">
        <v>0.50347222222222221</v>
      </c>
      <c r="D30" s="1">
        <v>0.52083333333333337</v>
      </c>
      <c r="E30" s="1">
        <v>0.73055555555555562</v>
      </c>
      <c r="F30" s="1"/>
      <c r="G30" t="str">
        <f>TEXT(C30-B30, "h:mm")</f>
        <v>4:05</v>
      </c>
      <c r="H30" t="str">
        <f>TEXT(E30-D30, "h:mm")</f>
        <v>5:02</v>
      </c>
      <c r="I30" t="str">
        <f t="shared" si="5"/>
        <v>9:07</v>
      </c>
      <c r="J30">
        <f t="shared" si="0"/>
        <v>547</v>
      </c>
      <c r="K30">
        <f t="shared" si="1"/>
        <v>1</v>
      </c>
      <c r="L30" s="8">
        <f t="shared" si="2"/>
        <v>0</v>
      </c>
    </row>
    <row r="31" spans="1:12" x14ac:dyDescent="0.25">
      <c r="A31" s="2">
        <v>19</v>
      </c>
      <c r="B31" s="1">
        <v>0.41666666666666669</v>
      </c>
      <c r="C31" s="1">
        <v>0.5</v>
      </c>
      <c r="D31" s="1">
        <v>0.52777777777777779</v>
      </c>
      <c r="E31" s="1">
        <v>0.73125000000000007</v>
      </c>
      <c r="F31" s="1"/>
      <c r="G31" t="str">
        <f>TEXT(C31-B31, "h:mm")</f>
        <v>2:00</v>
      </c>
      <c r="H31" t="str">
        <f>TEXT(E31-D31, "h:mm")</f>
        <v>4:53</v>
      </c>
      <c r="I31" t="str">
        <f t="shared" si="5"/>
        <v>6:53</v>
      </c>
      <c r="J31">
        <f t="shared" si="0"/>
        <v>413</v>
      </c>
      <c r="K31">
        <f t="shared" si="1"/>
        <v>0</v>
      </c>
      <c r="L31" s="8">
        <f t="shared" si="2"/>
        <v>60.215400000000002</v>
      </c>
    </row>
    <row r="32" spans="1:12" x14ac:dyDescent="0.25">
      <c r="A32" s="2">
        <v>20</v>
      </c>
      <c r="B32" s="1">
        <v>0.39583333333333331</v>
      </c>
      <c r="C32" s="1">
        <v>0.5</v>
      </c>
      <c r="D32" s="1">
        <v>0.5</v>
      </c>
      <c r="E32" s="1">
        <v>0.73055555555555562</v>
      </c>
      <c r="F32" s="1"/>
      <c r="G32" t="str">
        <f>TEXT(C32-B32, "h:mm")</f>
        <v>2:30</v>
      </c>
      <c r="H32" t="str">
        <f>TEXT(E32-D32, "h:mm")</f>
        <v>5:32</v>
      </c>
      <c r="I32" t="str">
        <f t="shared" si="5"/>
        <v>8:02</v>
      </c>
      <c r="J32">
        <f t="shared" si="0"/>
        <v>481.99999999999994</v>
      </c>
      <c r="K32">
        <f t="shared" si="1"/>
        <v>1</v>
      </c>
      <c r="L32" s="8">
        <f t="shared" si="2"/>
        <v>0</v>
      </c>
    </row>
    <row r="33" spans="1:12" x14ac:dyDescent="0.25">
      <c r="A33" s="2">
        <v>21</v>
      </c>
      <c r="B33" s="1">
        <v>0.33819444444444446</v>
      </c>
      <c r="C33" s="1">
        <v>0.50277777777777777</v>
      </c>
      <c r="D33" s="1">
        <v>0.5</v>
      </c>
      <c r="E33" s="1">
        <v>0.72986111111111107</v>
      </c>
      <c r="F33" s="1"/>
      <c r="G33" t="str">
        <f>TEXT(C33-B33, "h:mm")</f>
        <v>3:57</v>
      </c>
      <c r="H33" t="str">
        <f>TEXT(E33-D33, "h:mm")</f>
        <v>5:31</v>
      </c>
      <c r="I33" t="str">
        <f t="shared" si="5"/>
        <v>9:28</v>
      </c>
      <c r="J33">
        <f t="shared" si="0"/>
        <v>568</v>
      </c>
      <c r="K33">
        <f t="shared" si="1"/>
        <v>1</v>
      </c>
      <c r="L33" s="8">
        <f t="shared" si="2"/>
        <v>0</v>
      </c>
    </row>
    <row r="34" spans="1:12" x14ac:dyDescent="0.25">
      <c r="A34" s="2">
        <v>22</v>
      </c>
      <c r="B34" s="1">
        <v>0.35069444444444442</v>
      </c>
      <c r="C34" s="1">
        <v>0.5</v>
      </c>
      <c r="D34" s="1">
        <v>0.5</v>
      </c>
      <c r="E34" s="1">
        <v>0.72986111111111107</v>
      </c>
      <c r="F34" s="1"/>
      <c r="G34" t="str">
        <f>TEXT(C34-B34, "h:mm")</f>
        <v>3:35</v>
      </c>
      <c r="H34" t="str">
        <f>TEXT(E34-D34, "h:mm")</f>
        <v>5:31</v>
      </c>
      <c r="I34" t="str">
        <f t="shared" si="5"/>
        <v>9:06</v>
      </c>
      <c r="J34">
        <f t="shared" si="0"/>
        <v>546</v>
      </c>
      <c r="K34">
        <f t="shared" si="1"/>
        <v>1</v>
      </c>
      <c r="L34" s="8">
        <f t="shared" si="2"/>
        <v>0</v>
      </c>
    </row>
    <row r="35" spans="1:12" x14ac:dyDescent="0.25">
      <c r="A35" s="2">
        <v>23</v>
      </c>
      <c r="B35" s="1"/>
      <c r="K35">
        <f t="shared" si="1"/>
        <v>0</v>
      </c>
      <c r="L35" s="8">
        <f t="shared" si="2"/>
        <v>0</v>
      </c>
    </row>
    <row r="36" spans="1:12" x14ac:dyDescent="0.25">
      <c r="A36" s="2">
        <v>24</v>
      </c>
      <c r="B36" s="1"/>
      <c r="K36">
        <f t="shared" si="1"/>
        <v>0</v>
      </c>
      <c r="L36" s="8">
        <f t="shared" si="2"/>
        <v>0</v>
      </c>
    </row>
    <row r="37" spans="1:12" x14ac:dyDescent="0.25">
      <c r="A37" s="2">
        <v>25</v>
      </c>
      <c r="B37" s="1"/>
      <c r="K37">
        <f t="shared" si="1"/>
        <v>0</v>
      </c>
      <c r="L37" s="8">
        <f t="shared" si="2"/>
        <v>0</v>
      </c>
    </row>
    <row r="38" spans="1:12" x14ac:dyDescent="0.25">
      <c r="A38" s="2">
        <v>26</v>
      </c>
      <c r="B38" s="1">
        <v>0.35416666666666669</v>
      </c>
      <c r="C38" s="1">
        <v>0.5</v>
      </c>
      <c r="D38" s="1">
        <v>0.51597222222222217</v>
      </c>
      <c r="E38" s="1">
        <v>0.73055555555555562</v>
      </c>
      <c r="F38" s="1"/>
      <c r="G38" t="str">
        <f>TEXT(C38-B38, "h:mm")</f>
        <v>3:30</v>
      </c>
      <c r="H38" t="str">
        <f>TEXT(E38-D38, "h:mm")</f>
        <v>5:09</v>
      </c>
      <c r="I38" t="str">
        <f t="shared" si="5"/>
        <v>8:39</v>
      </c>
      <c r="J38">
        <f t="shared" si="0"/>
        <v>519</v>
      </c>
      <c r="K38">
        <f t="shared" si="1"/>
        <v>1</v>
      </c>
      <c r="L38" s="8">
        <f t="shared" si="2"/>
        <v>0</v>
      </c>
    </row>
    <row r="39" spans="1:12" x14ac:dyDescent="0.25">
      <c r="A39" s="2">
        <v>27</v>
      </c>
      <c r="B39" s="1">
        <v>0.3888888888888889</v>
      </c>
      <c r="C39" s="1">
        <v>0.5</v>
      </c>
      <c r="D39" s="1">
        <v>0.5</v>
      </c>
      <c r="E39" s="1">
        <v>0.72916666666666663</v>
      </c>
      <c r="F39" s="1"/>
      <c r="G39" t="str">
        <f>TEXT(C39-B39, "h:mm")</f>
        <v>2:40</v>
      </c>
      <c r="H39" t="str">
        <f>TEXT(E39-D39, "h:mm")</f>
        <v>5:30</v>
      </c>
      <c r="I39" t="str">
        <f t="shared" si="5"/>
        <v>8:10</v>
      </c>
      <c r="J39">
        <f t="shared" si="0"/>
        <v>489.99999999999994</v>
      </c>
      <c r="K39">
        <f t="shared" si="1"/>
        <v>1</v>
      </c>
      <c r="L39" s="8">
        <f t="shared" si="2"/>
        <v>0</v>
      </c>
    </row>
    <row r="40" spans="1:12" x14ac:dyDescent="0.25">
      <c r="A40" s="2">
        <v>28</v>
      </c>
      <c r="B40" s="1">
        <v>0.4375</v>
      </c>
      <c r="C40" s="1">
        <v>0.5</v>
      </c>
      <c r="D40" s="1">
        <v>0.51666666666666672</v>
      </c>
      <c r="E40" s="1">
        <v>0.72916666666666663</v>
      </c>
      <c r="F40" s="1"/>
      <c r="G40" t="str">
        <f>TEXT(C40-B40, "h:mm")</f>
        <v>1:30</v>
      </c>
      <c r="H40" t="str">
        <f>TEXT(E40-D40, "h:mm")</f>
        <v>5:06</v>
      </c>
      <c r="I40" t="str">
        <f t="shared" si="5"/>
        <v>6:36</v>
      </c>
      <c r="J40">
        <f t="shared" si="0"/>
        <v>395.99999999999994</v>
      </c>
      <c r="K40">
        <f t="shared" si="1"/>
        <v>0</v>
      </c>
      <c r="L40" s="8">
        <f t="shared" si="2"/>
        <v>57.736799999999995</v>
      </c>
    </row>
    <row r="41" spans="1:12" x14ac:dyDescent="0.25">
      <c r="A41" s="2">
        <v>29</v>
      </c>
      <c r="B41" s="1"/>
      <c r="K41">
        <f t="shared" si="1"/>
        <v>0</v>
      </c>
      <c r="L41" s="8">
        <f t="shared" si="2"/>
        <v>0</v>
      </c>
    </row>
    <row r="42" spans="1:12" x14ac:dyDescent="0.25">
      <c r="A42" s="2">
        <v>30</v>
      </c>
      <c r="B42" s="1"/>
      <c r="K42">
        <f t="shared" si="1"/>
        <v>0</v>
      </c>
      <c r="L42" s="8">
        <f t="shared" si="2"/>
        <v>0</v>
      </c>
    </row>
    <row r="43" spans="1:12" x14ac:dyDescent="0.25">
      <c r="A43" s="2">
        <v>31</v>
      </c>
      <c r="K43">
        <f t="shared" si="1"/>
        <v>0</v>
      </c>
      <c r="L43" s="8">
        <f t="shared" si="2"/>
        <v>0</v>
      </c>
    </row>
    <row r="44" spans="1:12" x14ac:dyDescent="0.25">
      <c r="A44" s="3" t="s">
        <v>7</v>
      </c>
      <c r="B44" s="7"/>
      <c r="C44" s="7"/>
      <c r="D44" s="7"/>
      <c r="E44" s="7"/>
      <c r="F44" s="7"/>
      <c r="L44" s="8"/>
    </row>
    <row r="45" spans="1:12" x14ac:dyDescent="0.25">
      <c r="A45" s="2">
        <v>1</v>
      </c>
      <c r="B45" s="1">
        <v>0.38194444444444442</v>
      </c>
      <c r="C45" s="1">
        <v>0.5</v>
      </c>
      <c r="D45" s="1">
        <v>0.52083333333333337</v>
      </c>
      <c r="E45" s="1">
        <v>0.72916666666666663</v>
      </c>
      <c r="F45" s="1"/>
      <c r="G45" t="str">
        <f>TEXT(C45-B45, "h:mm")</f>
        <v>2:50</v>
      </c>
      <c r="H45" t="str">
        <f>TEXT(E45-D45, "h:mm")</f>
        <v>5:00</v>
      </c>
      <c r="I45" t="str">
        <f t="shared" si="5"/>
        <v>7:50</v>
      </c>
      <c r="J45">
        <f t="shared" si="0"/>
        <v>470</v>
      </c>
      <c r="K45">
        <f t="shared" si="1"/>
        <v>0</v>
      </c>
      <c r="L45" s="8">
        <f t="shared" si="2"/>
        <v>68.52600000000001</v>
      </c>
    </row>
    <row r="46" spans="1:12" x14ac:dyDescent="0.25">
      <c r="A46" s="2">
        <v>2</v>
      </c>
      <c r="B46" s="1">
        <v>0.36805555555555558</v>
      </c>
      <c r="C46" s="1">
        <v>0.5</v>
      </c>
      <c r="D46" s="1">
        <v>0.52083333333333337</v>
      </c>
      <c r="E46" s="1">
        <v>0.72916666666666663</v>
      </c>
      <c r="F46" s="1"/>
      <c r="G46" t="str">
        <f>TEXT(C46-B46, "h:mm")</f>
        <v>3:10</v>
      </c>
      <c r="H46" t="str">
        <f>TEXT(E46-D46, "h:mm")</f>
        <v>5:00</v>
      </c>
      <c r="I46" t="str">
        <f t="shared" si="5"/>
        <v>8:10</v>
      </c>
      <c r="J46">
        <f t="shared" si="0"/>
        <v>489.99999999999994</v>
      </c>
      <c r="K46">
        <f t="shared" si="1"/>
        <v>1</v>
      </c>
      <c r="L46" s="8">
        <f t="shared" si="2"/>
        <v>0</v>
      </c>
    </row>
    <row r="47" spans="1:12" x14ac:dyDescent="0.25">
      <c r="A47" s="2">
        <v>3</v>
      </c>
      <c r="B47" s="1">
        <v>0.3611111111111111</v>
      </c>
      <c r="C47" s="1">
        <v>0.5</v>
      </c>
      <c r="D47" s="1">
        <v>0.52083333333333337</v>
      </c>
      <c r="E47" s="1">
        <v>0.72916666666666663</v>
      </c>
      <c r="F47" s="1"/>
      <c r="G47" t="str">
        <f>TEXT(C47-B47, "h:mm")</f>
        <v>3:20</v>
      </c>
      <c r="H47" t="str">
        <f>TEXT(E47-D47, "h:mm")</f>
        <v>5:00</v>
      </c>
      <c r="I47" t="str">
        <f t="shared" si="5"/>
        <v>8:20</v>
      </c>
      <c r="J47">
        <f t="shared" si="0"/>
        <v>500.00000000000006</v>
      </c>
      <c r="K47">
        <f t="shared" si="1"/>
        <v>1</v>
      </c>
      <c r="L47" s="8">
        <f t="shared" si="2"/>
        <v>0</v>
      </c>
    </row>
    <row r="48" spans="1:12" x14ac:dyDescent="0.25">
      <c r="A48" s="2">
        <v>4</v>
      </c>
      <c r="B48" s="1">
        <v>0.375</v>
      </c>
      <c r="C48" s="1">
        <v>0.5</v>
      </c>
      <c r="D48" s="1">
        <v>0.52083333333333337</v>
      </c>
      <c r="E48" s="1">
        <v>0.72916666666666663</v>
      </c>
      <c r="F48" s="1"/>
      <c r="G48" t="str">
        <f>TEXT(C48-B48, "h:mm")</f>
        <v>3:00</v>
      </c>
      <c r="H48" t="str">
        <f>TEXT(E48-D48, "h:mm")</f>
        <v>5:00</v>
      </c>
      <c r="I48" t="str">
        <f t="shared" si="5"/>
        <v>8:00</v>
      </c>
      <c r="J48">
        <f t="shared" si="0"/>
        <v>480</v>
      </c>
      <c r="K48">
        <f t="shared" si="1"/>
        <v>1</v>
      </c>
      <c r="L48" s="8">
        <f t="shared" si="2"/>
        <v>0</v>
      </c>
    </row>
    <row r="49" spans="1:12" x14ac:dyDescent="0.25">
      <c r="A49" s="2">
        <v>5</v>
      </c>
      <c r="B49" s="1">
        <v>0.36458333333333331</v>
      </c>
      <c r="C49" s="1">
        <v>0.5</v>
      </c>
      <c r="D49" s="1">
        <v>0.52083333333333337</v>
      </c>
      <c r="E49" s="1">
        <v>0.72916666666666663</v>
      </c>
      <c r="F49" s="1"/>
      <c r="G49" t="str">
        <f>TEXT(C49-B49, "h:mm")</f>
        <v>3:15</v>
      </c>
      <c r="H49" t="str">
        <f>TEXT(E49-D49, "h:mm")</f>
        <v>5:00</v>
      </c>
      <c r="I49" t="str">
        <f t="shared" si="5"/>
        <v>8:15</v>
      </c>
      <c r="J49">
        <f t="shared" si="0"/>
        <v>495</v>
      </c>
      <c r="K49">
        <f t="shared" si="1"/>
        <v>1</v>
      </c>
      <c r="L49" s="8">
        <f t="shared" si="2"/>
        <v>0</v>
      </c>
    </row>
    <row r="50" spans="1:12" x14ac:dyDescent="0.25">
      <c r="A50" s="2">
        <v>6</v>
      </c>
      <c r="K50">
        <f t="shared" si="1"/>
        <v>0</v>
      </c>
      <c r="L50" s="8">
        <f t="shared" si="2"/>
        <v>0</v>
      </c>
    </row>
    <row r="51" spans="1:12" x14ac:dyDescent="0.25">
      <c r="A51" s="2">
        <v>7</v>
      </c>
      <c r="B51" s="1">
        <v>0.36736111111111108</v>
      </c>
      <c r="C51" s="1">
        <v>0.5</v>
      </c>
      <c r="D51" s="1">
        <v>0.51666666666666672</v>
      </c>
      <c r="E51" s="1">
        <v>0.72916666666666663</v>
      </c>
      <c r="F51" s="1"/>
      <c r="G51" t="str">
        <f>TEXT(C51-B51, "h:mm")</f>
        <v>3:11</v>
      </c>
      <c r="H51" t="str">
        <f>TEXT(E51-D51, "h:mm")</f>
        <v>5:06</v>
      </c>
      <c r="I51" t="str">
        <f t="shared" si="5"/>
        <v>8:17</v>
      </c>
      <c r="J51">
        <f t="shared" si="0"/>
        <v>497</v>
      </c>
      <c r="K51">
        <f t="shared" si="1"/>
        <v>1</v>
      </c>
      <c r="L51" s="8">
        <f t="shared" si="2"/>
        <v>0</v>
      </c>
    </row>
    <row r="52" spans="1:12" x14ac:dyDescent="0.25">
      <c r="A52" s="2">
        <v>8</v>
      </c>
      <c r="B52" s="1">
        <v>0.37152777777777773</v>
      </c>
      <c r="C52" s="1">
        <v>0.5</v>
      </c>
      <c r="D52" s="1">
        <v>0.51250000000000007</v>
      </c>
      <c r="E52" s="1">
        <v>0.72916666666666663</v>
      </c>
      <c r="F52" s="1"/>
      <c r="G52" t="str">
        <f>TEXT(C52-B52, "h:mm")</f>
        <v>3:05</v>
      </c>
      <c r="H52" t="str">
        <f>TEXT(E52-D52, "h:mm")</f>
        <v>5:12</v>
      </c>
      <c r="I52" t="str">
        <f t="shared" si="5"/>
        <v>8:17</v>
      </c>
      <c r="J52">
        <f t="shared" si="0"/>
        <v>497</v>
      </c>
      <c r="K52">
        <f t="shared" si="1"/>
        <v>1</v>
      </c>
      <c r="L52" s="8">
        <f t="shared" si="2"/>
        <v>0</v>
      </c>
    </row>
    <row r="53" spans="1:12" x14ac:dyDescent="0.25">
      <c r="A53" s="2">
        <v>9</v>
      </c>
      <c r="B53" s="1">
        <v>0.37152777777777773</v>
      </c>
      <c r="C53" s="1">
        <v>0.5</v>
      </c>
      <c r="D53" s="1">
        <v>0.51250000000000007</v>
      </c>
      <c r="E53" s="1">
        <v>0.72916666666666663</v>
      </c>
      <c r="F53" s="1"/>
      <c r="G53" t="str">
        <f>TEXT(C53-B53, "h:mm")</f>
        <v>3:05</v>
      </c>
      <c r="H53" t="str">
        <f>TEXT(E53-D53, "h:mm")</f>
        <v>5:12</v>
      </c>
      <c r="I53" t="str">
        <f t="shared" si="5"/>
        <v>8:17</v>
      </c>
      <c r="J53">
        <f t="shared" si="0"/>
        <v>497</v>
      </c>
      <c r="K53">
        <f t="shared" si="1"/>
        <v>1</v>
      </c>
      <c r="L53" s="8">
        <f t="shared" si="2"/>
        <v>0</v>
      </c>
    </row>
    <row r="54" spans="1:12" x14ac:dyDescent="0.25">
      <c r="A54" s="2">
        <v>10</v>
      </c>
      <c r="B54" s="1">
        <v>0.36458333333333331</v>
      </c>
      <c r="C54" s="1">
        <v>0.5</v>
      </c>
      <c r="D54" s="1">
        <v>0.5</v>
      </c>
      <c r="E54" s="1">
        <v>0.72916666666666663</v>
      </c>
      <c r="F54" s="1"/>
      <c r="G54" t="str">
        <f>TEXT(C54-B54, "h:mm")</f>
        <v>3:15</v>
      </c>
      <c r="H54" t="str">
        <f>TEXT(E54-D54, "h:mm")</f>
        <v>5:30</v>
      </c>
      <c r="I54" t="str">
        <f t="shared" si="5"/>
        <v>8:45</v>
      </c>
      <c r="J54">
        <f t="shared" si="0"/>
        <v>525</v>
      </c>
      <c r="K54">
        <f t="shared" si="1"/>
        <v>1</v>
      </c>
      <c r="L54" s="8">
        <f t="shared" si="2"/>
        <v>0</v>
      </c>
    </row>
    <row r="55" spans="1:12" x14ac:dyDescent="0.25">
      <c r="A55" s="2">
        <v>11</v>
      </c>
      <c r="B55" s="1">
        <v>0.3611111111111111</v>
      </c>
      <c r="C55" s="1">
        <v>0.5</v>
      </c>
      <c r="D55" s="1">
        <v>0.51736111111111105</v>
      </c>
      <c r="E55" s="1">
        <v>0.72916666666666663</v>
      </c>
      <c r="F55" s="1"/>
      <c r="G55" t="str">
        <f>TEXT(C55-B55, "h:mm")</f>
        <v>3:20</v>
      </c>
      <c r="H55" t="str">
        <f>TEXT(E55-D55, "h:mm")</f>
        <v>5:05</v>
      </c>
      <c r="I55" t="str">
        <f t="shared" si="5"/>
        <v>8:25</v>
      </c>
      <c r="J55">
        <f t="shared" si="0"/>
        <v>504.99999999999994</v>
      </c>
      <c r="K55">
        <f t="shared" si="1"/>
        <v>1</v>
      </c>
      <c r="L55" s="8">
        <f t="shared" si="2"/>
        <v>0</v>
      </c>
    </row>
    <row r="56" spans="1:12" x14ac:dyDescent="0.25">
      <c r="A56" s="2">
        <v>12</v>
      </c>
      <c r="K56">
        <f t="shared" si="1"/>
        <v>0</v>
      </c>
      <c r="L56" s="8">
        <f t="shared" si="2"/>
        <v>0</v>
      </c>
    </row>
    <row r="57" spans="1:12" x14ac:dyDescent="0.25">
      <c r="A57" s="2">
        <v>13</v>
      </c>
      <c r="K57">
        <f t="shared" si="1"/>
        <v>0</v>
      </c>
      <c r="L57" s="8">
        <f t="shared" si="2"/>
        <v>0</v>
      </c>
    </row>
    <row r="58" spans="1:12" x14ac:dyDescent="0.25">
      <c r="A58" s="2">
        <v>14</v>
      </c>
      <c r="B58" s="1">
        <v>0.35416666666666669</v>
      </c>
      <c r="C58" s="1">
        <v>0.5</v>
      </c>
      <c r="D58" s="1">
        <v>0.51736111111111105</v>
      </c>
      <c r="E58" s="1">
        <v>0.72916666666666663</v>
      </c>
      <c r="F58" s="1"/>
      <c r="G58" t="str">
        <f>TEXT(C58-B58, "h:mm")</f>
        <v>3:30</v>
      </c>
      <c r="H58" t="str">
        <f>TEXT(E58-D58, "h:mm")</f>
        <v>5:05</v>
      </c>
      <c r="I58" t="str">
        <f t="shared" si="5"/>
        <v>8:35</v>
      </c>
      <c r="J58">
        <f t="shared" si="0"/>
        <v>515</v>
      </c>
      <c r="K58">
        <f t="shared" si="1"/>
        <v>1</v>
      </c>
      <c r="L58" s="8">
        <f t="shared" si="2"/>
        <v>0</v>
      </c>
    </row>
    <row r="59" spans="1:12" x14ac:dyDescent="0.25">
      <c r="A59" s="2">
        <v>15</v>
      </c>
      <c r="B59" s="1">
        <v>0.34027777777777773</v>
      </c>
      <c r="C59" s="1">
        <v>0.5</v>
      </c>
      <c r="D59" s="1">
        <v>0.5</v>
      </c>
      <c r="E59" s="1">
        <v>0.72916666666666663</v>
      </c>
      <c r="F59" s="1"/>
      <c r="G59" t="str">
        <f>TEXT(C59-B59, "h:mm")</f>
        <v>3:50</v>
      </c>
      <c r="H59" t="str">
        <f>TEXT(E59-D59, "h:mm")</f>
        <v>5:30</v>
      </c>
      <c r="I59" t="str">
        <f t="shared" si="5"/>
        <v>9:20</v>
      </c>
      <c r="J59">
        <f t="shared" si="0"/>
        <v>560</v>
      </c>
      <c r="K59">
        <f t="shared" si="1"/>
        <v>1</v>
      </c>
      <c r="L59" s="8">
        <f t="shared" si="2"/>
        <v>0</v>
      </c>
    </row>
    <row r="60" spans="1:12" x14ac:dyDescent="0.25">
      <c r="A60" s="2">
        <v>16</v>
      </c>
      <c r="B60" s="1">
        <v>0.35972222222222222</v>
      </c>
      <c r="C60" s="1">
        <v>0.5</v>
      </c>
      <c r="D60" s="1">
        <v>0.5</v>
      </c>
      <c r="E60" s="1">
        <v>0.72916666666666663</v>
      </c>
      <c r="F60" s="1"/>
      <c r="G60" t="str">
        <f>TEXT(C60-B60, "h:mm")</f>
        <v>3:22</v>
      </c>
      <c r="H60" t="str">
        <f>TEXT(E60-D60, "h:mm")</f>
        <v>5:30</v>
      </c>
      <c r="I60" t="str">
        <f t="shared" si="5"/>
        <v>8:52</v>
      </c>
      <c r="J60">
        <f t="shared" si="0"/>
        <v>532</v>
      </c>
      <c r="K60">
        <f t="shared" si="1"/>
        <v>1</v>
      </c>
      <c r="L60" s="8">
        <f t="shared" si="2"/>
        <v>0</v>
      </c>
    </row>
    <row r="61" spans="1:12" x14ac:dyDescent="0.25">
      <c r="A61" s="2">
        <v>17</v>
      </c>
      <c r="B61" s="1">
        <v>0.35694444444444445</v>
      </c>
      <c r="C61" s="1">
        <v>0.5</v>
      </c>
      <c r="D61" s="1">
        <v>0.5</v>
      </c>
      <c r="E61" s="1">
        <v>0.72916666666666663</v>
      </c>
      <c r="F61" s="1"/>
      <c r="G61" t="str">
        <f>TEXT(C61-B61, "h:mm")</f>
        <v>3:26</v>
      </c>
      <c r="H61" t="str">
        <f>TEXT(E61-D61, "h:mm")</f>
        <v>5:30</v>
      </c>
      <c r="I61" t="str">
        <f t="shared" si="5"/>
        <v>8:56</v>
      </c>
      <c r="J61">
        <f t="shared" si="0"/>
        <v>536</v>
      </c>
      <c r="K61">
        <f t="shared" si="1"/>
        <v>1</v>
      </c>
      <c r="L61" s="8">
        <f t="shared" si="2"/>
        <v>0</v>
      </c>
    </row>
    <row r="62" spans="1:12" x14ac:dyDescent="0.25">
      <c r="A62" s="2">
        <v>18</v>
      </c>
      <c r="C62" s="1"/>
      <c r="K62">
        <f t="shared" si="1"/>
        <v>0</v>
      </c>
      <c r="L62" s="8">
        <f t="shared" si="2"/>
        <v>0</v>
      </c>
    </row>
    <row r="63" spans="1:12" x14ac:dyDescent="0.25">
      <c r="A63" s="2">
        <v>19</v>
      </c>
      <c r="K63">
        <f t="shared" si="1"/>
        <v>0</v>
      </c>
      <c r="L63" s="8">
        <f t="shared" si="2"/>
        <v>0</v>
      </c>
    </row>
    <row r="64" spans="1:12" x14ac:dyDescent="0.25">
      <c r="A64" s="2">
        <v>20</v>
      </c>
      <c r="K64">
        <f t="shared" si="1"/>
        <v>0</v>
      </c>
      <c r="L64" s="8">
        <f t="shared" si="2"/>
        <v>0</v>
      </c>
    </row>
    <row r="65" spans="1:12" x14ac:dyDescent="0.25">
      <c r="A65" s="2">
        <v>21</v>
      </c>
      <c r="B65" s="1">
        <v>0.38194444444444442</v>
      </c>
      <c r="C65" s="1">
        <v>0.5</v>
      </c>
      <c r="D65" s="1">
        <v>0.5</v>
      </c>
      <c r="E65" s="1">
        <v>0.73125000000000007</v>
      </c>
      <c r="F65" s="1"/>
      <c r="G65" t="str">
        <f t="shared" ref="G65:G70" si="8">TEXT(C65-B65, "h:mm")</f>
        <v>2:50</v>
      </c>
      <c r="H65" t="str">
        <f t="shared" ref="H65:H70" si="9">TEXT(E65-D65, "h:mm")</f>
        <v>5:33</v>
      </c>
      <c r="I65" t="str">
        <f t="shared" si="5"/>
        <v>8:23</v>
      </c>
      <c r="J65">
        <f t="shared" si="0"/>
        <v>503</v>
      </c>
      <c r="K65">
        <f t="shared" si="1"/>
        <v>1</v>
      </c>
      <c r="L65" s="8">
        <f t="shared" si="2"/>
        <v>0</v>
      </c>
    </row>
    <row r="66" spans="1:12" x14ac:dyDescent="0.25">
      <c r="A66" s="2">
        <v>22</v>
      </c>
      <c r="B66" s="1">
        <v>0.35416666666666669</v>
      </c>
      <c r="C66" s="1">
        <v>0.5</v>
      </c>
      <c r="D66" s="1">
        <v>0.5</v>
      </c>
      <c r="E66" s="1">
        <v>0.73055555555555562</v>
      </c>
      <c r="F66" s="1"/>
      <c r="G66" t="str">
        <f t="shared" si="8"/>
        <v>3:30</v>
      </c>
      <c r="H66" t="str">
        <f t="shared" si="9"/>
        <v>5:32</v>
      </c>
      <c r="I66" t="str">
        <f t="shared" si="5"/>
        <v>9:02</v>
      </c>
      <c r="J66">
        <f t="shared" si="0"/>
        <v>542</v>
      </c>
      <c r="K66">
        <f t="shared" si="1"/>
        <v>1</v>
      </c>
      <c r="L66" s="8">
        <f t="shared" si="2"/>
        <v>0</v>
      </c>
    </row>
    <row r="67" spans="1:12" x14ac:dyDescent="0.25">
      <c r="A67" s="2">
        <v>23</v>
      </c>
      <c r="B67" s="1">
        <v>0.36736111111111108</v>
      </c>
      <c r="C67" s="1">
        <v>0.5</v>
      </c>
      <c r="D67" s="1">
        <v>0.5</v>
      </c>
      <c r="E67" s="1">
        <v>0.73055555555555562</v>
      </c>
      <c r="F67" s="1"/>
      <c r="G67" t="str">
        <f t="shared" si="8"/>
        <v>3:11</v>
      </c>
      <c r="H67" t="str">
        <f t="shared" si="9"/>
        <v>5:32</v>
      </c>
      <c r="I67" t="str">
        <f t="shared" si="5"/>
        <v>8:43</v>
      </c>
      <c r="J67">
        <f t="shared" si="0"/>
        <v>523</v>
      </c>
      <c r="K67">
        <f t="shared" si="1"/>
        <v>1</v>
      </c>
      <c r="L67" s="8">
        <f t="shared" si="2"/>
        <v>0</v>
      </c>
    </row>
    <row r="68" spans="1:12" x14ac:dyDescent="0.25">
      <c r="A68" s="2">
        <v>24</v>
      </c>
      <c r="B68" s="1">
        <v>0.34930555555555554</v>
      </c>
      <c r="C68" s="1">
        <v>0.5</v>
      </c>
      <c r="D68" s="1">
        <v>0.5</v>
      </c>
      <c r="E68" s="1">
        <v>0.72986111111111107</v>
      </c>
      <c r="F68" s="1"/>
      <c r="G68" t="str">
        <f t="shared" si="8"/>
        <v>3:37</v>
      </c>
      <c r="H68" t="str">
        <f t="shared" si="9"/>
        <v>5:31</v>
      </c>
      <c r="I68" t="str">
        <f t="shared" si="5"/>
        <v>9:08</v>
      </c>
      <c r="J68">
        <f t="shared" si="0"/>
        <v>548</v>
      </c>
      <c r="K68">
        <f t="shared" si="1"/>
        <v>1</v>
      </c>
      <c r="L68" s="8">
        <f t="shared" si="2"/>
        <v>0</v>
      </c>
    </row>
    <row r="69" spans="1:12" x14ac:dyDescent="0.25">
      <c r="A69" s="2">
        <v>25</v>
      </c>
      <c r="B69" s="1">
        <v>0.40277777777777773</v>
      </c>
      <c r="C69" s="1">
        <v>0.5</v>
      </c>
      <c r="D69" s="1">
        <v>0.5</v>
      </c>
      <c r="E69" s="1">
        <v>0.73125000000000007</v>
      </c>
      <c r="F69" s="1"/>
      <c r="G69" t="str">
        <f t="shared" si="8"/>
        <v>2:20</v>
      </c>
      <c r="H69" t="str">
        <f t="shared" si="9"/>
        <v>5:33</v>
      </c>
      <c r="I69" t="str">
        <f t="shared" si="5"/>
        <v>7:53</v>
      </c>
      <c r="J69">
        <f t="shared" si="0"/>
        <v>473</v>
      </c>
      <c r="K69">
        <f t="shared" si="1"/>
        <v>0</v>
      </c>
      <c r="L69" s="8">
        <f t="shared" si="2"/>
        <v>68.963400000000007</v>
      </c>
    </row>
    <row r="70" spans="1:12" x14ac:dyDescent="0.25">
      <c r="A70" s="2">
        <v>26</v>
      </c>
      <c r="B70" s="1">
        <v>0.40277777777777773</v>
      </c>
      <c r="C70" s="1">
        <v>0.5</v>
      </c>
      <c r="D70" s="1">
        <v>0.5</v>
      </c>
      <c r="E70" s="1">
        <v>0.73055555555555562</v>
      </c>
      <c r="F70" s="1"/>
      <c r="G70" t="str">
        <f t="shared" si="8"/>
        <v>2:20</v>
      </c>
      <c r="H70" t="str">
        <f t="shared" si="9"/>
        <v>5:32</v>
      </c>
      <c r="I70" t="str">
        <f t="shared" si="5"/>
        <v>7:52</v>
      </c>
      <c r="J70">
        <f t="shared" si="0"/>
        <v>472</v>
      </c>
      <c r="K70">
        <f t="shared" si="1"/>
        <v>0</v>
      </c>
      <c r="L70" s="8">
        <f t="shared" si="2"/>
        <v>68.817600000000013</v>
      </c>
    </row>
    <row r="71" spans="1:12" x14ac:dyDescent="0.25">
      <c r="A71" s="2">
        <v>27</v>
      </c>
      <c r="K71">
        <f t="shared" si="1"/>
        <v>0</v>
      </c>
      <c r="L71" s="8">
        <f t="shared" si="2"/>
        <v>0</v>
      </c>
    </row>
    <row r="72" spans="1:12" x14ac:dyDescent="0.25">
      <c r="A72" s="2">
        <v>28</v>
      </c>
      <c r="B72" s="1">
        <v>0.41319444444444442</v>
      </c>
      <c r="C72" s="1">
        <v>0.5</v>
      </c>
      <c r="D72" s="1">
        <v>0.5</v>
      </c>
      <c r="E72" s="1">
        <v>0.73125000000000007</v>
      </c>
      <c r="F72" s="1"/>
      <c r="G72" t="str">
        <f>TEXT(C72-B72, "h:mm")</f>
        <v>2:05</v>
      </c>
      <c r="H72" t="str">
        <f>TEXT(E72-D72, "h:mm")</f>
        <v>5:33</v>
      </c>
      <c r="I72" t="str">
        <f t="shared" si="5"/>
        <v>7:38</v>
      </c>
      <c r="J72">
        <f t="shared" ref="J72:J79" si="10">I72*1440</f>
        <v>458</v>
      </c>
      <c r="K72">
        <f t="shared" ref="K72:K79" si="11">IF(J72&gt;=480, 1, 0)</f>
        <v>0</v>
      </c>
      <c r="L72" s="8">
        <f t="shared" si="2"/>
        <v>66.77640000000001</v>
      </c>
    </row>
    <row r="73" spans="1:12" x14ac:dyDescent="0.25">
      <c r="A73" s="2">
        <v>29</v>
      </c>
      <c r="B73" s="1">
        <v>0.375</v>
      </c>
      <c r="C73" s="1">
        <v>0.5</v>
      </c>
      <c r="D73" s="1">
        <v>0.5</v>
      </c>
      <c r="E73" s="1">
        <v>0.72916666666666663</v>
      </c>
      <c r="F73" s="1"/>
      <c r="G73" t="str">
        <f>TEXT(C73-B73, "h:mm")</f>
        <v>3:00</v>
      </c>
      <c r="H73" t="str">
        <f>TEXT(E73-D73, "h:mm")</f>
        <v>5:30</v>
      </c>
      <c r="I73" t="str">
        <f t="shared" si="5"/>
        <v>8:30</v>
      </c>
      <c r="J73">
        <f t="shared" si="10"/>
        <v>510</v>
      </c>
      <c r="K73">
        <f t="shared" si="11"/>
        <v>1</v>
      </c>
      <c r="L73" s="8">
        <f t="shared" ref="L73:L79" si="12">IF(J73&gt;=480, 0, J73*0.1458)</f>
        <v>0</v>
      </c>
    </row>
    <row r="74" spans="1:12" x14ac:dyDescent="0.25">
      <c r="A74" s="2">
        <v>30</v>
      </c>
      <c r="B74" s="1">
        <v>0.40277777777777773</v>
      </c>
      <c r="C74" s="1">
        <v>0.5</v>
      </c>
      <c r="D74" s="1">
        <v>0.5180555555555556</v>
      </c>
      <c r="E74" s="1">
        <v>0.72916666666666663</v>
      </c>
      <c r="F74" s="1"/>
      <c r="G74" t="str">
        <f>TEXT(C74-B74, "h:mm")</f>
        <v>2:20</v>
      </c>
      <c r="H74" t="str">
        <f>TEXT(E74-D74, "h:mm")</f>
        <v>5:04</v>
      </c>
      <c r="I74" t="str">
        <f t="shared" si="5"/>
        <v>7:24</v>
      </c>
      <c r="J74">
        <f t="shared" si="10"/>
        <v>444</v>
      </c>
      <c r="K74">
        <f t="shared" si="11"/>
        <v>0</v>
      </c>
      <c r="L74" s="8">
        <f t="shared" si="12"/>
        <v>64.735200000000006</v>
      </c>
    </row>
    <row r="75" spans="1:12" x14ac:dyDescent="0.25">
      <c r="A75" s="3" t="s">
        <v>8</v>
      </c>
      <c r="B75" s="7"/>
      <c r="C75" s="7"/>
      <c r="D75" s="7"/>
      <c r="E75" s="7"/>
      <c r="F75" s="7"/>
      <c r="L75" s="8"/>
    </row>
    <row r="76" spans="1:12" x14ac:dyDescent="0.25">
      <c r="A76" s="2">
        <v>1</v>
      </c>
      <c r="B76" s="1">
        <v>0.3611111111111111</v>
      </c>
      <c r="C76" s="1">
        <v>0.5</v>
      </c>
      <c r="D76" s="1">
        <v>0.5</v>
      </c>
      <c r="E76" s="1">
        <v>0.7319444444444444</v>
      </c>
      <c r="F76" s="1"/>
      <c r="G76" t="str">
        <f>TEXT(C76-B76, "h:mm")</f>
        <v>3:20</v>
      </c>
      <c r="H76" t="str">
        <f>TEXT(E76-D76, "h:mm")</f>
        <v>5:34</v>
      </c>
      <c r="I76" t="str">
        <f t="shared" ref="I76:I79" si="13">TEXT(G76+H76, "h:mm")</f>
        <v>8:54</v>
      </c>
      <c r="J76">
        <f t="shared" si="10"/>
        <v>534</v>
      </c>
      <c r="K76">
        <f t="shared" si="11"/>
        <v>1</v>
      </c>
      <c r="L76" s="8">
        <f t="shared" si="12"/>
        <v>0</v>
      </c>
    </row>
    <row r="77" spans="1:12" x14ac:dyDescent="0.25">
      <c r="A77" s="2">
        <v>2</v>
      </c>
      <c r="B77" s="1">
        <v>0.3659722222222222</v>
      </c>
      <c r="C77" s="1">
        <v>0.5</v>
      </c>
      <c r="D77" s="1">
        <v>0.5</v>
      </c>
      <c r="E77" s="1">
        <v>0.73125000000000007</v>
      </c>
      <c r="F77" s="1"/>
      <c r="G77" t="str">
        <f>TEXT(C77-B77, "h:mm")</f>
        <v>3:13</v>
      </c>
      <c r="H77" t="str">
        <f>TEXT(E77-D77, "h:mm")</f>
        <v>5:33</v>
      </c>
      <c r="I77" t="str">
        <f t="shared" si="13"/>
        <v>8:46</v>
      </c>
      <c r="J77">
        <f t="shared" si="10"/>
        <v>526</v>
      </c>
      <c r="K77">
        <f t="shared" si="11"/>
        <v>1</v>
      </c>
      <c r="L77" s="8">
        <f t="shared" si="12"/>
        <v>0</v>
      </c>
    </row>
    <row r="78" spans="1:12" x14ac:dyDescent="0.25">
      <c r="A78" s="2">
        <v>3</v>
      </c>
      <c r="K78">
        <f t="shared" si="11"/>
        <v>0</v>
      </c>
      <c r="L78" s="8">
        <f t="shared" si="12"/>
        <v>0</v>
      </c>
    </row>
    <row r="79" spans="1:12" x14ac:dyDescent="0.25">
      <c r="A79" s="2">
        <v>4</v>
      </c>
      <c r="B79" s="1">
        <v>0.36805555555555558</v>
      </c>
      <c r="C79" s="1">
        <v>0.5</v>
      </c>
      <c r="D79" s="1">
        <v>0.5</v>
      </c>
      <c r="E79" s="1">
        <v>0.72916666666666663</v>
      </c>
      <c r="F79" s="1"/>
      <c r="G79" t="str">
        <f>TEXT(C79-B79, "h:mm")</f>
        <v>3:10</v>
      </c>
      <c r="H79" t="str">
        <f>TEXT(E79-D79, "h:mm")</f>
        <v>5:30</v>
      </c>
      <c r="I79" t="str">
        <f t="shared" si="13"/>
        <v>8:40</v>
      </c>
      <c r="J79">
        <f t="shared" si="10"/>
        <v>520</v>
      </c>
      <c r="K79">
        <f t="shared" si="11"/>
        <v>1</v>
      </c>
      <c r="L79" s="8">
        <f t="shared" si="12"/>
        <v>0</v>
      </c>
    </row>
    <row r="80" spans="1:12" x14ac:dyDescent="0.25">
      <c r="A80" s="2">
        <v>5</v>
      </c>
      <c r="B80" s="1">
        <v>0.36458333333333331</v>
      </c>
      <c r="E80" s="1">
        <v>0.23055555555555554</v>
      </c>
    </row>
    <row r="81" spans="1:11" x14ac:dyDescent="0.25">
      <c r="A81" s="2">
        <v>6</v>
      </c>
    </row>
    <row r="82" spans="1:11" x14ac:dyDescent="0.25">
      <c r="A82" s="2">
        <v>7</v>
      </c>
      <c r="B82" s="1">
        <v>0.35902777777777778</v>
      </c>
      <c r="E82" s="1">
        <v>0.23194444444444443</v>
      </c>
      <c r="H82" s="1"/>
      <c r="K82">
        <v>1</v>
      </c>
    </row>
    <row r="83" spans="1:11" x14ac:dyDescent="0.25">
      <c r="A83" s="2">
        <v>8</v>
      </c>
      <c r="B83" s="1">
        <v>0.36805555555555558</v>
      </c>
      <c r="C83" s="1"/>
      <c r="D83" s="1"/>
      <c r="E83" s="1">
        <v>0.23124999999999998</v>
      </c>
      <c r="H83" s="1"/>
      <c r="K83">
        <v>1</v>
      </c>
    </row>
    <row r="84" spans="1:11" x14ac:dyDescent="0.25">
      <c r="A84" s="2">
        <v>9</v>
      </c>
      <c r="B84" s="1">
        <v>0.36805555555555558</v>
      </c>
      <c r="C84" s="1">
        <v>0.5</v>
      </c>
      <c r="D84" s="1">
        <v>0.51736111111111105</v>
      </c>
      <c r="E84" s="1">
        <v>0.23124999999999998</v>
      </c>
      <c r="K84">
        <v>1</v>
      </c>
    </row>
    <row r="85" spans="1:11" x14ac:dyDescent="0.25">
      <c r="A85" s="2">
        <v>10</v>
      </c>
      <c r="E85" s="1"/>
      <c r="H85" s="1"/>
    </row>
    <row r="86" spans="1:11" x14ac:dyDescent="0.25">
      <c r="A86" s="2">
        <v>11</v>
      </c>
      <c r="B86" s="1">
        <v>0.36458333333333331</v>
      </c>
      <c r="E86" s="1">
        <v>0.23124999999999998</v>
      </c>
      <c r="H86" s="1"/>
      <c r="K86">
        <v>1</v>
      </c>
    </row>
    <row r="87" spans="1:11" x14ac:dyDescent="0.25">
      <c r="A87" s="2">
        <v>12</v>
      </c>
      <c r="B87" s="1">
        <v>0.36944444444444446</v>
      </c>
      <c r="E87" s="1">
        <v>0.2298611111111111</v>
      </c>
      <c r="H87" s="1"/>
      <c r="K87">
        <v>1</v>
      </c>
    </row>
    <row r="88" spans="1:11" x14ac:dyDescent="0.25">
      <c r="A88" s="2">
        <v>13</v>
      </c>
      <c r="B88" s="1">
        <v>0.3527777777777778</v>
      </c>
      <c r="E88" s="1">
        <v>0.2298611111111111</v>
      </c>
      <c r="H88" s="1"/>
      <c r="K88">
        <v>1</v>
      </c>
    </row>
    <row r="89" spans="1:11" x14ac:dyDescent="0.25">
      <c r="A89" s="2">
        <v>14</v>
      </c>
      <c r="B89" s="1">
        <v>0.3659722222222222</v>
      </c>
      <c r="E89" s="1">
        <v>0.23055555555555554</v>
      </c>
      <c r="K89">
        <v>1</v>
      </c>
    </row>
    <row r="90" spans="1:11" x14ac:dyDescent="0.25">
      <c r="A90" s="2">
        <v>15</v>
      </c>
    </row>
    <row r="91" spans="1:11" x14ac:dyDescent="0.25">
      <c r="A91" s="2">
        <v>16</v>
      </c>
    </row>
    <row r="92" spans="1:11" x14ac:dyDescent="0.25">
      <c r="A92" s="2">
        <v>17</v>
      </c>
    </row>
    <row r="93" spans="1:11" x14ac:dyDescent="0.25">
      <c r="A93" s="2">
        <v>18</v>
      </c>
      <c r="B93" s="1">
        <v>0.35625000000000001</v>
      </c>
      <c r="E93" s="1">
        <v>0.23124999999999998</v>
      </c>
      <c r="K93">
        <v>1</v>
      </c>
    </row>
    <row r="94" spans="1:11" x14ac:dyDescent="0.25">
      <c r="A94" s="2">
        <v>19</v>
      </c>
      <c r="B94" s="1">
        <v>0.34861111111111115</v>
      </c>
      <c r="E94" s="1">
        <v>0.23055555555555554</v>
      </c>
      <c r="K94">
        <v>1</v>
      </c>
    </row>
    <row r="95" spans="1:11" x14ac:dyDescent="0.25">
      <c r="A95" s="2">
        <v>20</v>
      </c>
    </row>
    <row r="96" spans="1:11" x14ac:dyDescent="0.25">
      <c r="A96" s="2">
        <v>21</v>
      </c>
    </row>
    <row r="97" spans="1:11" x14ac:dyDescent="0.25">
      <c r="A97" s="2">
        <v>22</v>
      </c>
    </row>
    <row r="98" spans="1:11" x14ac:dyDescent="0.25">
      <c r="A98" s="2">
        <v>23</v>
      </c>
    </row>
    <row r="99" spans="1:11" x14ac:dyDescent="0.25">
      <c r="A99" s="2">
        <v>24</v>
      </c>
    </row>
    <row r="100" spans="1:11" x14ac:dyDescent="0.25">
      <c r="A100" s="2">
        <v>25</v>
      </c>
    </row>
    <row r="101" spans="1:11" x14ac:dyDescent="0.25">
      <c r="A101" s="2">
        <v>26</v>
      </c>
      <c r="B101" s="1">
        <v>0.35555555555555557</v>
      </c>
      <c r="E101" s="1">
        <v>0.23055555555555554</v>
      </c>
      <c r="K101">
        <v>1</v>
      </c>
    </row>
    <row r="102" spans="1:11" x14ac:dyDescent="0.25">
      <c r="A102" s="2">
        <v>27</v>
      </c>
      <c r="B102" s="1">
        <v>0.36805555555555558</v>
      </c>
      <c r="E102" s="1">
        <v>0.23124999999999998</v>
      </c>
      <c r="K102">
        <v>1</v>
      </c>
    </row>
    <row r="103" spans="1:11" x14ac:dyDescent="0.25">
      <c r="A103" s="2">
        <v>28</v>
      </c>
      <c r="B103" s="1">
        <v>0.37013888888888885</v>
      </c>
      <c r="E103" s="1">
        <v>0.23055555555555554</v>
      </c>
      <c r="K103">
        <v>1</v>
      </c>
    </row>
  </sheetData>
  <mergeCells count="3">
    <mergeCell ref="B14:E14"/>
    <mergeCell ref="B5:C5"/>
    <mergeCell ref="D5:E5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GCO_CLT56</dc:creator>
  <cp:lastModifiedBy>Michael Cuison</cp:lastModifiedBy>
  <dcterms:created xsi:type="dcterms:W3CDTF">2019-02-05T00:35:47Z</dcterms:created>
  <dcterms:modified xsi:type="dcterms:W3CDTF">2019-04-06T00:53:08Z</dcterms:modified>
</cp:coreProperties>
</file>