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pending federico" sheetId="6" r:id="rId1"/>
    <sheet name="Summary" sheetId="5" r:id="rId2"/>
    <sheet name="JO" sheetId="1" r:id="rId3"/>
    <sheet name="personnel" sheetId="2" r:id="rId4"/>
    <sheet name="CCTV" sheetId="3" r:id="rId5"/>
  </sheets>
  <definedNames>
    <definedName name="_xlnm._FilterDatabase" localSheetId="4" hidden="1">CCTV!$A$1:$T$274</definedName>
    <definedName name="_xlnm._FilterDatabase" localSheetId="2" hidden="1">JO!$A$1:$V$440</definedName>
  </definedNames>
  <calcPr calcId="144525"/>
  <pivotCaches>
    <pivotCache cacheId="12" r:id="rId6"/>
    <pivotCache cacheId="23" r:id="rId7"/>
  </pivotCaches>
</workbook>
</file>

<file path=xl/calcChain.xml><?xml version="1.0" encoding="utf-8"?>
<calcChain xmlns="http://schemas.openxmlformats.org/spreadsheetml/2006/main">
  <c r="Q440" i="1" l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<sst xmlns="http://schemas.openxmlformats.org/spreadsheetml/2006/main" count="10309" uniqueCount="2227">
  <si>
    <t>sBranchNm</t>
  </si>
  <si>
    <t>JO Status</t>
  </si>
  <si>
    <t>Status</t>
  </si>
  <si>
    <t>sTransNox</t>
  </si>
  <si>
    <t>dTransact</t>
  </si>
  <si>
    <t>sBranchCd</t>
  </si>
  <si>
    <t>sRequestX</t>
  </si>
  <si>
    <t>sDiagnose</t>
  </si>
  <si>
    <t>sJOTypexx</t>
  </si>
  <si>
    <t>sCategory</t>
  </si>
  <si>
    <t>cServerPC</t>
  </si>
  <si>
    <t>sProblemx</t>
  </si>
  <si>
    <t>sRemarksx</t>
  </si>
  <si>
    <t>sRqstdIDx</t>
  </si>
  <si>
    <t>sSupprtBy</t>
  </si>
  <si>
    <t>dPostedxx</t>
  </si>
  <si>
    <t>sModified</t>
  </si>
  <si>
    <t>dModified</t>
  </si>
  <si>
    <t>Guan Kai Office</t>
  </si>
  <si>
    <t>REPAIRED</t>
  </si>
  <si>
    <t>POSTED</t>
  </si>
  <si>
    <t>GK0120000576</t>
  </si>
  <si>
    <t>GK01</t>
  </si>
  <si>
    <t xml:space="preserve">No monitor display. </t>
  </si>
  <si>
    <t xml:space="preserve">nilinisan yung memory. </t>
  </si>
  <si>
    <t>REPAIR</t>
  </si>
  <si>
    <t>SYSTEM UNIT</t>
  </si>
  <si>
    <t xml:space="preserve">Done </t>
  </si>
  <si>
    <t>M00119001680</t>
  </si>
  <si>
    <t>Trinidad, Ja</t>
  </si>
  <si>
    <t>GK01190015</t>
  </si>
  <si>
    <t>GMC San Fabian - Honda</t>
  </si>
  <si>
    <t>OTHERS</t>
  </si>
  <si>
    <t>GK0120000577</t>
  </si>
  <si>
    <t>M064</t>
  </si>
  <si>
    <t xml:space="preserve">Asset transfer replacement of old keyboard. </t>
  </si>
  <si>
    <t>Others</t>
  </si>
  <si>
    <t>Guanzon Corporate Center</t>
  </si>
  <si>
    <t>GK0120000578</t>
  </si>
  <si>
    <t>GCC1</t>
  </si>
  <si>
    <t xml:space="preserve">Create PO, sticker, and asset transfer of repaired system unit 1 for Records department. </t>
  </si>
  <si>
    <t>SUPPORT ASSISTANCE(ACCESS, CALLS..)</t>
  </si>
  <si>
    <t>PRINTER</t>
  </si>
  <si>
    <t>GK0120000579</t>
  </si>
  <si>
    <t xml:space="preserve">Received backloads. </t>
  </si>
  <si>
    <t>GMC Baguio - Multi</t>
  </si>
  <si>
    <t>GK0120000580</t>
  </si>
  <si>
    <t>M175</t>
  </si>
  <si>
    <t>Spare system unit. copy files para mapadala sa kanila.</t>
  </si>
  <si>
    <t>MCC Sta. Barbara- Honda</t>
  </si>
  <si>
    <t>NEW INSTALL</t>
  </si>
  <si>
    <t>GK0120000581</t>
  </si>
  <si>
    <t>M111</t>
  </si>
  <si>
    <t xml:space="preserve">For diagnose. </t>
  </si>
  <si>
    <t xml:space="preserve">nireformat ni sir Rico. ininstall ko mga softwares. </t>
  </si>
  <si>
    <t>GK0120000582</t>
  </si>
  <si>
    <t xml:space="preserve">connect laptop of sir Gene sa printer ni mam Shirley. </t>
  </si>
  <si>
    <t>Mobitek Robinsons Santiago</t>
  </si>
  <si>
    <t>GK0120000583</t>
  </si>
  <si>
    <t>C041</t>
  </si>
  <si>
    <t xml:space="preserve">Asset transfer repaired UPS with new Battery. </t>
  </si>
  <si>
    <t>UEMI San Fabian - Yamaha</t>
  </si>
  <si>
    <t>GK0120000584</t>
  </si>
  <si>
    <t>M174</t>
  </si>
  <si>
    <t xml:space="preserve">Put stickers on 1 set of computer. except system unit already have. </t>
  </si>
  <si>
    <t>GK0120000585</t>
  </si>
  <si>
    <t xml:space="preserve">Asset transfer of new 1 set of computer for new branch. </t>
  </si>
  <si>
    <t>GMC Dagupan - Honda</t>
  </si>
  <si>
    <t>GK0120000586</t>
  </si>
  <si>
    <t>M001</t>
  </si>
  <si>
    <t xml:space="preserve">Create PO receiving of old  UPS.  </t>
  </si>
  <si>
    <t>GK0120000587</t>
  </si>
  <si>
    <t xml:space="preserve">Put sticker serial of UPS. </t>
  </si>
  <si>
    <t>GK0120000588</t>
  </si>
  <si>
    <t xml:space="preserve">Asset transfer of old UPS. </t>
  </si>
  <si>
    <t>GK0120000589</t>
  </si>
  <si>
    <t xml:space="preserve">For checking installed system unit. </t>
  </si>
  <si>
    <t xml:space="preserve">Done. </t>
  </si>
  <si>
    <t>Guanzon Central Office</t>
  </si>
  <si>
    <t>GK0120000590</t>
  </si>
  <si>
    <t>GCO1</t>
  </si>
  <si>
    <t xml:space="preserve">Asset transfer repaired system unit with monitor. </t>
  </si>
  <si>
    <t>GK0120000591</t>
  </si>
  <si>
    <t xml:space="preserve">install Softwares. </t>
  </si>
  <si>
    <t>MAINTENANCE</t>
  </si>
  <si>
    <t xml:space="preserve">Done ready for checking. </t>
  </si>
  <si>
    <t>GK0120000592</t>
  </si>
  <si>
    <t xml:space="preserve">Refill yellow ink. </t>
  </si>
  <si>
    <t>GK0120000593</t>
  </si>
  <si>
    <t>Connect pc of sir Charles of HR to printer of mam shirley.</t>
  </si>
  <si>
    <t>M00118001281</t>
  </si>
  <si>
    <t>UEMI Cauayan - Multi</t>
  </si>
  <si>
    <t>GK0120000594</t>
  </si>
  <si>
    <t>M051</t>
  </si>
  <si>
    <t>tumawag yung branch na ipadala daw po sa kanila yung binackload nilang 5 GPS.</t>
  </si>
  <si>
    <t>INSTALLATION &amp; CONFIGURATION</t>
  </si>
  <si>
    <t>UEMI Mangaldan - Suzuki</t>
  </si>
  <si>
    <t>GK0120000595</t>
  </si>
  <si>
    <t>M156</t>
  </si>
  <si>
    <t xml:space="preserve">For backload - start up repair. </t>
  </si>
  <si>
    <t>GK0120000596</t>
  </si>
  <si>
    <t xml:space="preserve">Connect pc ni sir Cholo sa printer ng Hardware. </t>
  </si>
  <si>
    <t>M00119000629</t>
  </si>
  <si>
    <t>GK0120000597</t>
  </si>
  <si>
    <t>Connect printer of mam Badeth of HR dept. sa printer ng MIS.</t>
  </si>
  <si>
    <t>M00116002291</t>
  </si>
  <si>
    <t>GK0120000598</t>
  </si>
  <si>
    <t xml:space="preserve">puno na yung pod at need ireset. </t>
  </si>
  <si>
    <t xml:space="preserve">DOne </t>
  </si>
  <si>
    <t>GK0120000599</t>
  </si>
  <si>
    <t>Document transfer GPS.</t>
  </si>
  <si>
    <t>GK0120000600</t>
  </si>
  <si>
    <t xml:space="preserve">No monitor display of mam shirley's PC. </t>
  </si>
  <si>
    <t xml:space="preserve">kailangang linisan memory para mag open . </t>
  </si>
  <si>
    <t>UEMI Malasiqui - Multi</t>
  </si>
  <si>
    <t>GK0120000601</t>
  </si>
  <si>
    <t>M053</t>
  </si>
  <si>
    <t xml:space="preserve">Hindi daw po magamit. </t>
  </si>
  <si>
    <t>GK0120000602</t>
  </si>
  <si>
    <t xml:space="preserve">Asset transfer of repaired backload system unit. </t>
  </si>
  <si>
    <t>GK0120000603</t>
  </si>
  <si>
    <t xml:space="preserve">Document transfer system unit for CFF. </t>
  </si>
  <si>
    <t>MCC Balasan - Multi</t>
  </si>
  <si>
    <t>GK0120000604</t>
  </si>
  <si>
    <t>M119</t>
  </si>
  <si>
    <t xml:space="preserve">Create sticker and asset transfer of requested 1 keyboard for replacement. </t>
  </si>
  <si>
    <t>GK0120000605</t>
  </si>
  <si>
    <t xml:space="preserve">Create asset transfer and sticker of repaired system unit. </t>
  </si>
  <si>
    <t>UEMI Calasiao - Multi</t>
  </si>
  <si>
    <t>GK0120000606</t>
  </si>
  <si>
    <t>M080</t>
  </si>
  <si>
    <t>Create PO of old UPS w/o serial.</t>
  </si>
  <si>
    <t>GK0120000607</t>
  </si>
  <si>
    <t xml:space="preserve">Create asset transfer of repaired old system unit. </t>
  </si>
  <si>
    <t>GK0120000608</t>
  </si>
  <si>
    <t xml:space="preserve">Create PO and sticker of 2 new Asus charger. </t>
  </si>
  <si>
    <t>M00113001232</t>
  </si>
  <si>
    <t>GK0120000609</t>
  </si>
  <si>
    <t xml:space="preserve">Create PO and sticker of 10 new HDD. </t>
  </si>
  <si>
    <t>GK0120000610</t>
  </si>
  <si>
    <t xml:space="preserve">install altertv Tools of teamviewer of ma'am airah of audit. </t>
  </si>
  <si>
    <t xml:space="preserve">walang Altertool kaya hindi maka connect mga support sa PC ni mam Airah. </t>
  </si>
  <si>
    <t>M01911000061</t>
  </si>
  <si>
    <t>GK0120000611</t>
  </si>
  <si>
    <t xml:space="preserve">install OS and softwares of PC 1 at Washington Warehouse. </t>
  </si>
  <si>
    <t>M00110017110</t>
  </si>
  <si>
    <t>GK0120000612</t>
  </si>
  <si>
    <t xml:space="preserve">install OS and softwares of PC 2 at Washington Warehouse. </t>
  </si>
  <si>
    <t>GK0120000613</t>
  </si>
  <si>
    <t xml:space="preserve">Install OS and softwares of PC 3 for stocks. </t>
  </si>
  <si>
    <t>GK0120000614</t>
  </si>
  <si>
    <t xml:space="preserve">Install OS and softwares of pc 4 at Washington Warehouse. </t>
  </si>
  <si>
    <t>GK0120000615</t>
  </si>
  <si>
    <t xml:space="preserve">Install OS and softwares of PC 5 at Washington Warehouse.  </t>
  </si>
  <si>
    <t>GK0120000616</t>
  </si>
  <si>
    <t>Install OS and softwares of PC 6 at Washington warehouse.</t>
  </si>
  <si>
    <t>GK0120000617</t>
  </si>
  <si>
    <t>Install OS and softwares of PC 7 at Washington warehouse.</t>
  </si>
  <si>
    <t>GK0120000618</t>
  </si>
  <si>
    <t>lagyan ng stickers mga 4  keyboard at 4 mouse para sa collection.</t>
  </si>
  <si>
    <t>Done</t>
  </si>
  <si>
    <t>OPPO - Waltermart Gapan</t>
  </si>
  <si>
    <t>GK0120000619</t>
  </si>
  <si>
    <t>C054</t>
  </si>
  <si>
    <t xml:space="preserve">Create asset transfer of repaired system unit. </t>
  </si>
  <si>
    <t>MCC Talibon - Multi</t>
  </si>
  <si>
    <t>OPEN</t>
  </si>
  <si>
    <t>GK0120000620</t>
  </si>
  <si>
    <t>M141</t>
  </si>
  <si>
    <t xml:space="preserve">yung monitor nila may lines and kulay violet po yung kulay nung screen. </t>
  </si>
  <si>
    <t>REPLACEMENT</t>
  </si>
  <si>
    <t>OTHER PERIPHERAL DEVICES</t>
  </si>
  <si>
    <t>MCC Baguio - Honda</t>
  </si>
  <si>
    <t>GK0120000621</t>
  </si>
  <si>
    <t>M015</t>
  </si>
  <si>
    <t xml:space="preserve">Create asset transfer of 1 set of computer with 16 Turret cam. </t>
  </si>
  <si>
    <t>GK0120000622</t>
  </si>
  <si>
    <t xml:space="preserve">Create Sticker of new DVR. </t>
  </si>
  <si>
    <t>GK0120000623</t>
  </si>
  <si>
    <t xml:space="preserve">Create asset transfer of UEMI mabalacat Pam UPS to Guan kai Support sir Shan's PC. </t>
  </si>
  <si>
    <t>Pedritos Mangaldan</t>
  </si>
  <si>
    <t>GK0120000624</t>
  </si>
  <si>
    <t>P004</t>
  </si>
  <si>
    <t xml:space="preserve">Install OS and softwares. </t>
  </si>
  <si>
    <t>Done.</t>
  </si>
  <si>
    <t>M00119002528</t>
  </si>
  <si>
    <t>GK0120000625</t>
  </si>
  <si>
    <t xml:space="preserve">Document transfer 2 external to MIS dept. </t>
  </si>
  <si>
    <t>MCC Dasol - Multi</t>
  </si>
  <si>
    <t>GK0120000626</t>
  </si>
  <si>
    <t>M170</t>
  </si>
  <si>
    <t xml:space="preserve">Asset transfer new system unit. </t>
  </si>
  <si>
    <t>GK0120000627</t>
  </si>
  <si>
    <t xml:space="preserve">Create asset transfer of repaired laptop for DRS dept. </t>
  </si>
  <si>
    <t>Guanzon Manila Office</t>
  </si>
  <si>
    <t>GK0120000628</t>
  </si>
  <si>
    <t>GMO1</t>
  </si>
  <si>
    <t xml:space="preserve">Asset transfer 2 system unit for MIS c/o sir Xavier Mas. </t>
  </si>
  <si>
    <t>MCC Bolinao - Honda</t>
  </si>
  <si>
    <t>GK0120000629</t>
  </si>
  <si>
    <t>M120</t>
  </si>
  <si>
    <t xml:space="preserve">Create Asset transfer and sticker of repaired old system unit. </t>
  </si>
  <si>
    <t>GK0120000630</t>
  </si>
  <si>
    <t xml:space="preserve">Install softwares for CSS dept. </t>
  </si>
  <si>
    <t>GK0120000631</t>
  </si>
  <si>
    <t xml:space="preserve">Create Asset transfer and stickers of 1 set computer for new support 1. </t>
  </si>
  <si>
    <t>GK0120000632</t>
  </si>
  <si>
    <t xml:space="preserve">Create Asset transfer and stickers of 1 set computer for new support 2. </t>
  </si>
  <si>
    <t>GK0120000633</t>
  </si>
  <si>
    <t>Document transfer Orig. HP Ink. For MP Executive C/o Ma'am Mylene Lo.</t>
  </si>
  <si>
    <t>GK0120000634</t>
  </si>
  <si>
    <t xml:space="preserve">Create Asset transfer of new system unit. </t>
  </si>
  <si>
    <t>LGK Candon - Honda</t>
  </si>
  <si>
    <t>GK0120000635</t>
  </si>
  <si>
    <t>M008</t>
  </si>
  <si>
    <t xml:space="preserve">Document transfer 4 simcards for GPS. </t>
  </si>
  <si>
    <t>M00117001838</t>
  </si>
  <si>
    <t>GK0120000636</t>
  </si>
  <si>
    <t xml:space="preserve">walang internet connection si sir Rowel ng Support team. </t>
  </si>
  <si>
    <t>GK0120000637</t>
  </si>
  <si>
    <t xml:space="preserve">Document transfer USB cable for printer. </t>
  </si>
  <si>
    <t>GK0120000638</t>
  </si>
  <si>
    <t xml:space="preserve">namamatay matay yung CPU. </t>
  </si>
  <si>
    <t xml:space="preserve">palitan ng CMOS battery. system unit ng multimedia. </t>
  </si>
  <si>
    <t>GK0120000639</t>
  </si>
  <si>
    <t xml:space="preserve">lagyan lahat ng stickers yung 3 sets na computer. </t>
  </si>
  <si>
    <t>GK0120000640</t>
  </si>
  <si>
    <t xml:space="preserve">Create asset transfer 3 sets of computer. </t>
  </si>
  <si>
    <t>GK0120000641</t>
  </si>
  <si>
    <t xml:space="preserve">Asset transfer repaired printer to engineering services. </t>
  </si>
  <si>
    <t>GK0120000642</t>
  </si>
  <si>
    <t>Asset transfer repaired printer to Compliance Management.</t>
  </si>
  <si>
    <t>GK0120000643</t>
  </si>
  <si>
    <t>Create new sticker for pc 1.</t>
  </si>
  <si>
    <t>GK0120000644</t>
  </si>
  <si>
    <t>Create new sticker for pc 2.</t>
  </si>
  <si>
    <t>GK0120000645</t>
  </si>
  <si>
    <t>Create new sticker for pc 3.</t>
  </si>
  <si>
    <t>GK0120000646</t>
  </si>
  <si>
    <t>Create new sticker for pc 4.</t>
  </si>
  <si>
    <t>GMC Agoo - Honda</t>
  </si>
  <si>
    <t>GK0120000647</t>
  </si>
  <si>
    <t>M023</t>
  </si>
  <si>
    <t>offline printer LX310</t>
  </si>
  <si>
    <t>done</t>
  </si>
  <si>
    <t>Macarling, F</t>
  </si>
  <si>
    <t>M001170038</t>
  </si>
  <si>
    <t>UEMI Cabagan - YAMAHA</t>
  </si>
  <si>
    <t>GK0120000648</t>
  </si>
  <si>
    <t>M125</t>
  </si>
  <si>
    <t>UEMI San Nicolas - Yamaha</t>
  </si>
  <si>
    <t>GK0120000649</t>
  </si>
  <si>
    <t>M144</t>
  </si>
  <si>
    <t xml:space="preserve">Asset transfer replacement of system unit. </t>
  </si>
  <si>
    <t>GK0120000650</t>
  </si>
  <si>
    <t xml:space="preserve">Create asset transfer and PO of router for Pre owned management. </t>
  </si>
  <si>
    <t>GK0120000651</t>
  </si>
  <si>
    <t>Asset transfer 4 sets of computer to CSS.</t>
  </si>
  <si>
    <t>GK0120000652</t>
  </si>
  <si>
    <t xml:space="preserve">Asset transfer External to MIS dept. </t>
  </si>
  <si>
    <t>M00113001338</t>
  </si>
  <si>
    <t>GK0120000653</t>
  </si>
  <si>
    <t xml:space="preserve">Create asset transfer of repaired laptop to Audit. </t>
  </si>
  <si>
    <t>GK0120000654</t>
  </si>
  <si>
    <t xml:space="preserve">Create sticker of old repaired laptop. hindi na mabasa yung serial. </t>
  </si>
  <si>
    <t>LGK Dagupan - Multi</t>
  </si>
  <si>
    <t>GK0120000655</t>
  </si>
  <si>
    <t>M002</t>
  </si>
  <si>
    <t>Create Asset transfer of repaired old system unit.</t>
  </si>
  <si>
    <t>GK0120000656</t>
  </si>
  <si>
    <t>to intall cctv</t>
  </si>
  <si>
    <t>no cctv installed allready</t>
  </si>
  <si>
    <t>CCTV</t>
  </si>
  <si>
    <t>ok na......................</t>
  </si>
  <si>
    <t>Cuison, Bern</t>
  </si>
  <si>
    <t>GK01190010</t>
  </si>
  <si>
    <t>GK0120000657</t>
  </si>
  <si>
    <t>to install cctv</t>
  </si>
  <si>
    <t>GK0120000658</t>
  </si>
  <si>
    <t>GCO - MP Warehouse</t>
  </si>
  <si>
    <t>GK0120000659</t>
  </si>
  <si>
    <t>C0W1</t>
  </si>
  <si>
    <t>replaced not clear cctv cam</t>
  </si>
  <si>
    <t>UEMI San Fernando LUN - Yamaha</t>
  </si>
  <si>
    <t>GK0120000660</t>
  </si>
  <si>
    <t>M096</t>
  </si>
  <si>
    <t xml:space="preserve">For diagnos. </t>
  </si>
  <si>
    <t>TECHNICAL SUPPORT</t>
  </si>
  <si>
    <t xml:space="preserve">dONE </t>
  </si>
  <si>
    <t>MCC Mabalacat - Multi</t>
  </si>
  <si>
    <t>GK0120000661</t>
  </si>
  <si>
    <t>M134</t>
  </si>
  <si>
    <t xml:space="preserve">Virus infected server system unit. </t>
  </si>
  <si>
    <t xml:space="preserve">Repaired. back up files and reformat. </t>
  </si>
  <si>
    <t>GK0120000662</t>
  </si>
  <si>
    <t>tto replaced cctv cam not clear</t>
  </si>
  <si>
    <t>replaced cctv cam</t>
  </si>
  <si>
    <t>GK0120000663</t>
  </si>
  <si>
    <t xml:space="preserve">Document transfer 4 Power cord and 4 VGA cable to Collection dept. </t>
  </si>
  <si>
    <t>GK0120000664</t>
  </si>
  <si>
    <t>cctv installation</t>
  </si>
  <si>
    <t>not yet finish</t>
  </si>
  <si>
    <t>GK0120000665</t>
  </si>
  <si>
    <t xml:space="preserve">Document transfer envelope to sir Rex. </t>
  </si>
  <si>
    <t>GK0120000666</t>
  </si>
  <si>
    <t>create asset transfer of replacement of system unit for CFF. from san nicolas Yamaha system unit</t>
  </si>
  <si>
    <t xml:space="preserve">DONE </t>
  </si>
  <si>
    <t>UEMI Dagupan - Suzuki</t>
  </si>
  <si>
    <t>GK0120000667</t>
  </si>
  <si>
    <t>M010</t>
  </si>
  <si>
    <t xml:space="preserve">Asset transfer pocket wifi. </t>
  </si>
  <si>
    <t>GK0120000668</t>
  </si>
  <si>
    <t xml:space="preserve">nag pa laminate ng ID kay Sir Jaime. </t>
  </si>
  <si>
    <t>M00103001137</t>
  </si>
  <si>
    <t>Monarch Hotel</t>
  </si>
  <si>
    <t>GK0120000669</t>
  </si>
  <si>
    <t>H002</t>
  </si>
  <si>
    <t xml:space="preserve">Nag puntang Monarch para i abot yung ID kay Sir Wilson Ang. </t>
  </si>
  <si>
    <t xml:space="preserve">DONE. </t>
  </si>
  <si>
    <t>UEMI Mabalacat - Yamaha</t>
  </si>
  <si>
    <t>GK0120000670</t>
  </si>
  <si>
    <t>M060</t>
  </si>
  <si>
    <t xml:space="preserve">CCTV review. </t>
  </si>
  <si>
    <t>GK0120000671</t>
  </si>
  <si>
    <t>to repair</t>
  </si>
  <si>
    <t>stockup</t>
  </si>
  <si>
    <t>ok na..........</t>
  </si>
  <si>
    <t>GK0120000672</t>
  </si>
  <si>
    <t xml:space="preserve">Create DOcument transfer of repaired laptop of Engr Amelito. </t>
  </si>
  <si>
    <t>OPPO - Xentro Mall Vigan</t>
  </si>
  <si>
    <t>GK0120000673</t>
  </si>
  <si>
    <t>C067</t>
  </si>
  <si>
    <t xml:space="preserve">Canvas new keyboard. hindi na daw po kasi nila magamit yung keyboard. </t>
  </si>
  <si>
    <t xml:space="preserve">330 po yung keyboard na nacanvas. approved by mam She. </t>
  </si>
  <si>
    <t>GK0120000674</t>
  </si>
  <si>
    <t xml:space="preserve">Document transfer  4 DYI INK. for MIS dept. </t>
  </si>
  <si>
    <t>UEMI Roosevelt - Suzuki</t>
  </si>
  <si>
    <t>GK0120000675</t>
  </si>
  <si>
    <t>M029</t>
  </si>
  <si>
    <t xml:space="preserve">document transfer 1 magent, 4 black, 1 yellow, and 1 cyan ink. </t>
  </si>
  <si>
    <t>GK0120000676</t>
  </si>
  <si>
    <t xml:space="preserve">document transfer 1 yello,1 magenta, and 1 cyan of ink. </t>
  </si>
  <si>
    <t>GK0120000677</t>
  </si>
  <si>
    <t xml:space="preserve">document transfer UV DYE ink. 2 black, 1 yellow, 1 magenta, and 1 cyan of ink. For tax and permit.  </t>
  </si>
  <si>
    <t>GK0120000678</t>
  </si>
  <si>
    <t xml:space="preserve">Asset transfer replacement of Power supply to Multimedia. </t>
  </si>
  <si>
    <t>GK0120000679</t>
  </si>
  <si>
    <t xml:space="preserve">Create Sticker of 8 port Switch. </t>
  </si>
  <si>
    <t>GK0120000680</t>
  </si>
  <si>
    <t xml:space="preserve">Asset transfer Switch. </t>
  </si>
  <si>
    <t>GK0120000681</t>
  </si>
  <si>
    <t xml:space="preserve">Create PO of new Switch 8 port. </t>
  </si>
  <si>
    <t>GK0120000682</t>
  </si>
  <si>
    <t xml:space="preserve">Asset transfer repaired system unit. </t>
  </si>
  <si>
    <t>GK0120000683</t>
  </si>
  <si>
    <t xml:space="preserve">Corrupted OS. Multimedia </t>
  </si>
  <si>
    <t>Back up files and format.</t>
  </si>
  <si>
    <t>M00118002231</t>
  </si>
  <si>
    <t>UEMI La Trinidad - Yamaha</t>
  </si>
  <si>
    <t>GK0120000684</t>
  </si>
  <si>
    <t>M105</t>
  </si>
  <si>
    <t>received System unit. for diagnos. client pc! for repair</t>
  </si>
  <si>
    <t>MCC Dau - Honda</t>
  </si>
  <si>
    <t>GK0120000685</t>
  </si>
  <si>
    <t>M020</t>
  </si>
  <si>
    <t>received System unit! for diagnos. client pc</t>
  </si>
  <si>
    <t>GK0120000686</t>
  </si>
  <si>
    <t>received System unit. for diagnose</t>
  </si>
  <si>
    <t>MCC Bani - Multi</t>
  </si>
  <si>
    <t>GK0120000687</t>
  </si>
  <si>
    <t>M146</t>
  </si>
  <si>
    <t>Create Asset transfer of repaired Laptop.</t>
  </si>
  <si>
    <t>GK0120000688</t>
  </si>
  <si>
    <t xml:space="preserve">OS problem from engineering Dept. of Engr. Arnado. </t>
  </si>
  <si>
    <t>GK0120000689</t>
  </si>
  <si>
    <t xml:space="preserve">hindi ma open yung excel files sa Gcard Dept. </t>
  </si>
  <si>
    <t xml:space="preserve">uninstall miscrosoft 2019 and 2010 and reinstall it. </t>
  </si>
  <si>
    <t xml:space="preserve">OKay na po. </t>
  </si>
  <si>
    <t>MCC Tagudin - Honda</t>
  </si>
  <si>
    <t>GK0120000690</t>
  </si>
  <si>
    <t>M094</t>
  </si>
  <si>
    <t xml:space="preserve">Create asset transfer of replacement of new system unit. </t>
  </si>
  <si>
    <t>GK0120000691</t>
  </si>
  <si>
    <t xml:space="preserve">Document transfer crimper and LAN tester. </t>
  </si>
  <si>
    <t>M00116002227</t>
  </si>
  <si>
    <t>GK0120000692</t>
  </si>
  <si>
    <t xml:space="preserve">DOcument transfer external to MIS dept. </t>
  </si>
  <si>
    <t>LGK Pozorrubio - Honda</t>
  </si>
  <si>
    <t>REPLACED</t>
  </si>
  <si>
    <t>GK0120000693</t>
  </si>
  <si>
    <t>M038</t>
  </si>
  <si>
    <t xml:space="preserve">Replacement of new monitor. old monitor for Backload. </t>
  </si>
  <si>
    <t>GK0120000694</t>
  </si>
  <si>
    <t xml:space="preserve">Fixed the projecter at conference room. </t>
  </si>
  <si>
    <t>GK0120000695</t>
  </si>
  <si>
    <t xml:space="preserve">tumawag si branch para sa update sa system unit nila. </t>
  </si>
  <si>
    <t>Mobitek Magic Tayug</t>
  </si>
  <si>
    <t>GK0120000696</t>
  </si>
  <si>
    <t>C027</t>
  </si>
  <si>
    <t xml:space="preserve">Wifi change password. </t>
  </si>
  <si>
    <t>Pedritos Tapuac</t>
  </si>
  <si>
    <t>GK0120000697</t>
  </si>
  <si>
    <t>P001</t>
  </si>
  <si>
    <t xml:space="preserve">Create PO, asset transfers and sticker of system unit. </t>
  </si>
  <si>
    <t>GK0120000698</t>
  </si>
  <si>
    <t xml:space="preserve">Asset transfer monitor. </t>
  </si>
  <si>
    <t>GK0120000699</t>
  </si>
  <si>
    <t>Hindi naka obtain yung internet kaya walang connection.</t>
  </si>
  <si>
    <t>GK0120000700</t>
  </si>
  <si>
    <t xml:space="preserve">Hindi mag on yung monitor ng HR. </t>
  </si>
  <si>
    <t xml:space="preserve">nilinisan lang yung RAM. </t>
  </si>
  <si>
    <t>GK0120000701</t>
  </si>
  <si>
    <t xml:space="preserve">CCTV playback - 11-24-20 @ 8am onwards. </t>
  </si>
  <si>
    <t xml:space="preserve">pina cancel nalang yung CCTV playback </t>
  </si>
  <si>
    <t>GK0120000702</t>
  </si>
  <si>
    <t xml:space="preserve">Put sticker and create asset transfer of replacement new monitor. </t>
  </si>
  <si>
    <t>GK0120000703</t>
  </si>
  <si>
    <t xml:space="preserve">hindi mag open excel. </t>
  </si>
  <si>
    <t xml:space="preserve">Reinstall Microsoft office. </t>
  </si>
  <si>
    <t>GK0120000704</t>
  </si>
  <si>
    <t xml:space="preserve">Connect printer. </t>
  </si>
  <si>
    <t xml:space="preserve">Share printer. </t>
  </si>
  <si>
    <t>GK0120000705</t>
  </si>
  <si>
    <t xml:space="preserve">Asset transfer old system unit. </t>
  </si>
  <si>
    <t>Mobitek Lingayen</t>
  </si>
  <si>
    <t>GK0120000706</t>
  </si>
  <si>
    <t>C033</t>
  </si>
  <si>
    <t>ilipat ang pone at swip sa harap at connetion ng trace alarm</t>
  </si>
  <si>
    <t>ok na......</t>
  </si>
  <si>
    <t>GK0120000707</t>
  </si>
  <si>
    <t xml:space="preserve">Back up file and reformat. </t>
  </si>
  <si>
    <t xml:space="preserve">Para sa Accounting Dept. </t>
  </si>
  <si>
    <t>GK0120000708</t>
  </si>
  <si>
    <t xml:space="preserve">Received Backload system unit na na replaced ng bago. Back up files and reformat para maging spare. </t>
  </si>
  <si>
    <t>GK0120000709</t>
  </si>
  <si>
    <t xml:space="preserve">For Diagnose. </t>
  </si>
  <si>
    <t>GK0120000710</t>
  </si>
  <si>
    <t xml:space="preserve">For repair. GCC -CSS dept. </t>
  </si>
  <si>
    <t>M00119000705</t>
  </si>
  <si>
    <t>GK0120000711</t>
  </si>
  <si>
    <t xml:space="preserve">Defective mouse for GCC- CSS dept. </t>
  </si>
  <si>
    <t xml:space="preserve">hindi na gumagana yung mouse. </t>
  </si>
  <si>
    <t xml:space="preserve">done </t>
  </si>
  <si>
    <t>GK0120000712</t>
  </si>
  <si>
    <t xml:space="preserve">Create PO and asset transfer of Old mouse for replacement at GCC-CSS dept. </t>
  </si>
  <si>
    <t>GK0120000713</t>
  </si>
  <si>
    <t xml:space="preserve">ishare yung printer. </t>
  </si>
  <si>
    <t>Hindi naka share yung printer,</t>
  </si>
  <si>
    <t>UEMI Santiago - Multi</t>
  </si>
  <si>
    <t>GK0120000714</t>
  </si>
  <si>
    <t>M061</t>
  </si>
  <si>
    <t xml:space="preserve">Replacement of new system unit. old system unit for Backload. </t>
  </si>
  <si>
    <t>GK0120000715</t>
  </si>
  <si>
    <t xml:space="preserve">Create Asset transfer of repaired system unit for Engineering dept. </t>
  </si>
  <si>
    <t>GK0120000716</t>
  </si>
  <si>
    <t xml:space="preserve">Create asset transfer of replacement old system unit for accounting. </t>
  </si>
  <si>
    <t>GK0120000717</t>
  </si>
  <si>
    <t xml:space="preserve">Back up files and reformat. </t>
  </si>
  <si>
    <t>GMC Anolid Warehouse (For CP Dept)</t>
  </si>
  <si>
    <t>GK0120000718</t>
  </si>
  <si>
    <t>C0A7</t>
  </si>
  <si>
    <t>GK0120000719</t>
  </si>
  <si>
    <t xml:space="preserve">nag bigay ng ipapadala sa parcel at nag recieve ng backloads. </t>
  </si>
  <si>
    <t>GK0120000720</t>
  </si>
  <si>
    <t xml:space="preserve">Create document transfer of 110meters of UTP for Honda Wings Lingayen. </t>
  </si>
  <si>
    <t>GK0120000721</t>
  </si>
  <si>
    <t xml:space="preserve">Replacement of defective powercord from FSM Dept. </t>
  </si>
  <si>
    <t>M00119001128</t>
  </si>
  <si>
    <t>UEMI Urdaneta - Yamaha</t>
  </si>
  <si>
    <t>GK0120000722</t>
  </si>
  <si>
    <t>M018</t>
  </si>
  <si>
    <t xml:space="preserve">Replacement of new keyboard and monitor. </t>
  </si>
  <si>
    <t>GK0120000723</t>
  </si>
  <si>
    <t>Create sticker, PO, and asset transfer of new laptop charger for Sir Arnold Gullien.</t>
  </si>
  <si>
    <t>GK0120000724</t>
  </si>
  <si>
    <t xml:space="preserve">Create asset transfer of repaired laptop charger. </t>
  </si>
  <si>
    <t>GK0120000725</t>
  </si>
  <si>
    <t>Create Asset transfer, Sticker, and PO of old repaired laptop charger.</t>
  </si>
  <si>
    <t>LGK Alaminos - Honda</t>
  </si>
  <si>
    <t>GK0120000726</t>
  </si>
  <si>
    <t>M007</t>
  </si>
  <si>
    <t xml:space="preserve">Create Asset transfer of replaced system unit. </t>
  </si>
  <si>
    <t>GK0120000727</t>
  </si>
  <si>
    <t xml:space="preserve">Doc. transfer 1 system unit, 2keyboard and mouse and 5 UTP Cable. Para sa Lot Sale </t>
  </si>
  <si>
    <t>GK0120000728</t>
  </si>
  <si>
    <t xml:space="preserve">Create Asset transfer of repaired old system unit. </t>
  </si>
  <si>
    <t>GK0120000729</t>
  </si>
  <si>
    <t xml:space="preserve">Document transfer External for MIS dept. </t>
  </si>
  <si>
    <t>GK0120000730</t>
  </si>
  <si>
    <t xml:space="preserve">Reformat system unit of mcc Tagudin para maging spare. </t>
  </si>
  <si>
    <t>GK0120000731</t>
  </si>
  <si>
    <t xml:space="preserve">nareceived na yung backload. for back up files and reformat na para maging spare. </t>
  </si>
  <si>
    <t>RealMe - Magic Urdaneta - Annex</t>
  </si>
  <si>
    <t>GK0120000732</t>
  </si>
  <si>
    <t>C096</t>
  </si>
  <si>
    <t xml:space="preserve">No monitor Display. </t>
  </si>
  <si>
    <t>MCC San Leonardo NUE - Multi</t>
  </si>
  <si>
    <t>GK0120000733</t>
  </si>
  <si>
    <t>M162</t>
  </si>
  <si>
    <t>GK0120000734</t>
  </si>
  <si>
    <t xml:space="preserve">Create asset transfer of router. </t>
  </si>
  <si>
    <t>GK0120000735</t>
  </si>
  <si>
    <t xml:space="preserve">Create Request letter for System unit stocks. </t>
  </si>
  <si>
    <t>GK0120000736</t>
  </si>
  <si>
    <t xml:space="preserve">Document transfer Modem. approved by sir Jeff. </t>
  </si>
  <si>
    <t>MCC Roxas PLW - Multi</t>
  </si>
  <si>
    <t>GK0120000737</t>
  </si>
  <si>
    <t>M127</t>
  </si>
  <si>
    <t xml:space="preserve">Asset transfer repaired old system unit. </t>
  </si>
  <si>
    <t>GK0120000738</t>
  </si>
  <si>
    <t>Create asset transfer of repaired laptop for accounting dept. Replaced print Head.</t>
  </si>
  <si>
    <t>GK0120000739</t>
  </si>
  <si>
    <t xml:space="preserve">Create asset transfer of repaired old system unit. create sticker serial hindi na po mabasa. </t>
  </si>
  <si>
    <t>GK0120000740</t>
  </si>
  <si>
    <t xml:space="preserve">Create sticker and asset transfer of repaired laptop. Scanner only. </t>
  </si>
  <si>
    <t>GK0120000741</t>
  </si>
  <si>
    <t>ok na........</t>
  </si>
  <si>
    <t>GK0120000742</t>
  </si>
  <si>
    <t>replace other parts</t>
  </si>
  <si>
    <t>ok na prenter ng ue rosario</t>
  </si>
  <si>
    <t>GK0120000743</t>
  </si>
  <si>
    <t>to replace other parts</t>
  </si>
  <si>
    <t>ok na printer ng ue urdaneta yamaha</t>
  </si>
  <si>
    <t>GK0120000744</t>
  </si>
  <si>
    <t>ok na printer ng ricords</t>
  </si>
  <si>
    <t>GK0120000745</t>
  </si>
  <si>
    <t>Document tranasfer Lan teser, Crimper, and 10 RJ45</t>
  </si>
  <si>
    <t>GK0120000746</t>
  </si>
  <si>
    <t>Create asset transfer and new siticker of old system unit. hindi na po mabasa.</t>
  </si>
  <si>
    <t>GK0120000747</t>
  </si>
  <si>
    <t xml:space="preserve">Create sticker and asset transfer of system unit na galing MCC Bani ibibigay sa GCO MP Warehouse. </t>
  </si>
  <si>
    <t>M00120000209</t>
  </si>
  <si>
    <t>Wirings net connection for SOLAR @ GCC. source net at Mam Arlyn Tadeo residence</t>
  </si>
  <si>
    <t>M00118000543</t>
  </si>
  <si>
    <t>M00120000210</t>
  </si>
  <si>
    <t>Assist regarding Guanzon email</t>
  </si>
  <si>
    <t>M00106001669</t>
  </si>
  <si>
    <t>M00120000211</t>
  </si>
  <si>
    <t>Fix lan connection of telemtkg.</t>
  </si>
  <si>
    <t>M00120000212</t>
  </si>
  <si>
    <t>printer sharing of hr</t>
  </si>
  <si>
    <t>connected</t>
  </si>
  <si>
    <t>okay na</t>
  </si>
  <si>
    <t>Velasquez, J</t>
  </si>
  <si>
    <t>M001190058</t>
  </si>
  <si>
    <t>GMC Bolinao - Multi</t>
  </si>
  <si>
    <t>M00120000213</t>
  </si>
  <si>
    <t>M063</t>
  </si>
  <si>
    <t>access branch for printer sharing</t>
  </si>
  <si>
    <t>M00120000214</t>
  </si>
  <si>
    <t>check and gather all gps stock if working</t>
  </si>
  <si>
    <t>finished</t>
  </si>
  <si>
    <t>GPS</t>
  </si>
  <si>
    <t>M00120000215</t>
  </si>
  <si>
    <t>send sim card to area manager sir randy/sir david</t>
  </si>
  <si>
    <t>sent/padala kay parcel</t>
  </si>
  <si>
    <t>UEMI Tayug - Yamaha</t>
  </si>
  <si>
    <t>M00120000216</t>
  </si>
  <si>
    <t>M106</t>
  </si>
  <si>
    <t>need to visit hdd not recording</t>
  </si>
  <si>
    <t>M00120000217</t>
  </si>
  <si>
    <t>need replace hdd/ full bad sector</t>
  </si>
  <si>
    <t>DONE. MULTIMEDIA PC</t>
  </si>
  <si>
    <t>ISP CONCERN</t>
  </si>
  <si>
    <t>DONE</t>
  </si>
  <si>
    <t>M00120000218</t>
  </si>
  <si>
    <t>reset waste ink pad of DRS printer Epson L120</t>
  </si>
  <si>
    <t>done. need to clean waste tank</t>
  </si>
  <si>
    <t>M00120000219</t>
  </si>
  <si>
    <t>install JAVA Application</t>
  </si>
  <si>
    <t>M00120000269</t>
  </si>
  <si>
    <t>M00120000220</t>
  </si>
  <si>
    <t>export all working branches and sent to mam lorraine</t>
  </si>
  <si>
    <t>sent</t>
  </si>
  <si>
    <t>M00120000221</t>
  </si>
  <si>
    <t>no display</t>
  </si>
  <si>
    <t>troubleshoot</t>
  </si>
  <si>
    <t>M00120000222</t>
  </si>
  <si>
    <t>replace modem of server pc</t>
  </si>
  <si>
    <t>replaced</t>
  </si>
  <si>
    <t>UEMI Calamba - Multi</t>
  </si>
  <si>
    <t>M00120000223</t>
  </si>
  <si>
    <t>M044</t>
  </si>
  <si>
    <t>no internet need to report pldt</t>
  </si>
  <si>
    <t>reported</t>
  </si>
  <si>
    <t>M00120000224</t>
  </si>
  <si>
    <t>Bring printers @ Bitstop (L220, L210, L120, L1300)</t>
  </si>
  <si>
    <t>M00120000225</t>
  </si>
  <si>
    <t>export report gps  and sent to mam loraine</t>
  </si>
  <si>
    <t>sent email</t>
  </si>
  <si>
    <t>M00120000226</t>
  </si>
  <si>
    <t>OS Corrupted</t>
  </si>
  <si>
    <t>M00112001258</t>
  </si>
  <si>
    <t>M00120000227</t>
  </si>
  <si>
    <t>Corrupted OS..</t>
  </si>
  <si>
    <t>PC OF ENGR, KEVIN.. DONE</t>
  </si>
  <si>
    <t>M00120000228</t>
  </si>
  <si>
    <t>For reformat - laptop use as desktop of Audit</t>
  </si>
  <si>
    <t>DONE.</t>
  </si>
  <si>
    <t>M00102000874</t>
  </si>
  <si>
    <t>M00120000229</t>
  </si>
  <si>
    <t>Fix local network of CSS</t>
  </si>
  <si>
    <t>M00119000532</t>
  </si>
  <si>
    <t>M00120000230</t>
  </si>
  <si>
    <t>reset bios setup - pc of myra telemarketing</t>
  </si>
  <si>
    <t>DONE. RESET BIOS SETUP</t>
  </si>
  <si>
    <t>M00118002408</t>
  </si>
  <si>
    <t>M00120000231</t>
  </si>
  <si>
    <t>inquire router at micronics and bitstop</t>
  </si>
  <si>
    <t>DONE. WAITING FOR PRICELIST</t>
  </si>
  <si>
    <t>M00120000232</t>
  </si>
  <si>
    <t>NO DIAL TONE TWO WEEKS NA. PLDT PROBLEM NEED TO VISIT BY PLDT</t>
  </si>
  <si>
    <t>M00120000233</t>
  </si>
  <si>
    <t>OS corrupted</t>
  </si>
  <si>
    <t>done./repaired</t>
  </si>
  <si>
    <t>Mobitek SM Rosales</t>
  </si>
  <si>
    <t>M00120000234</t>
  </si>
  <si>
    <t>C020</t>
  </si>
  <si>
    <t>done/repaired</t>
  </si>
  <si>
    <t>M00120000235</t>
  </si>
  <si>
    <t>Fix internet connection from statict ginawang obtain</t>
  </si>
  <si>
    <t>M06311000470</t>
  </si>
  <si>
    <t>M00120000236</t>
  </si>
  <si>
    <t>inquire ink @ micronics.. for GK, Monarch and GCC-DRS</t>
  </si>
  <si>
    <t>M00120000237</t>
  </si>
  <si>
    <t>reinstall ms office /fsm</t>
  </si>
  <si>
    <t>installed</t>
  </si>
  <si>
    <t>M00120000238</t>
  </si>
  <si>
    <t>register sim card gps area of  sir sidney</t>
  </si>
  <si>
    <t>registered</t>
  </si>
  <si>
    <t>M00120000239</t>
  </si>
  <si>
    <t>bluescreen corrupted os back up files/reformat</t>
  </si>
  <si>
    <t>reformat and restore files install app</t>
  </si>
  <si>
    <t>M00120000240</t>
  </si>
  <si>
    <t>check pc of ricky montoya css</t>
  </si>
  <si>
    <t>M00113000641</t>
  </si>
  <si>
    <t>MCC Santiago - Honda</t>
  </si>
  <si>
    <t>M00120000241</t>
  </si>
  <si>
    <t>M129</t>
  </si>
  <si>
    <t>update wifi password and give to branch manager</t>
  </si>
  <si>
    <t>M00120000242</t>
  </si>
  <si>
    <t>wifi concerns req. by branch manager</t>
  </si>
  <si>
    <t>Pedritos Head Office</t>
  </si>
  <si>
    <t>M00120000243</t>
  </si>
  <si>
    <t>PHO1</t>
  </si>
  <si>
    <t>inquire printer 3N1 at micronics and pc cartel</t>
  </si>
  <si>
    <t>M00120000244</t>
  </si>
  <si>
    <t>can't open excel - gco engineering</t>
  </si>
  <si>
    <t>M00109011928</t>
  </si>
  <si>
    <t>M00120000245</t>
  </si>
  <si>
    <t>repair connection of telemarketing</t>
  </si>
  <si>
    <t>repaired</t>
  </si>
  <si>
    <t>NETWORK</t>
  </si>
  <si>
    <t>M00120000246</t>
  </si>
  <si>
    <t>install appliction and drivers of printer</t>
  </si>
  <si>
    <t>M00120000247</t>
  </si>
  <si>
    <t>create report and sent to sir mac</t>
  </si>
  <si>
    <t>M00120000248</t>
  </si>
  <si>
    <t>P.O. ink for GCO, GK, GCC</t>
  </si>
  <si>
    <t>done. for pick up</t>
  </si>
  <si>
    <t>M00120000249</t>
  </si>
  <si>
    <t>P.O. ink request by Monarch - Engineering</t>
  </si>
  <si>
    <t>M00114000092</t>
  </si>
  <si>
    <t>M00120000250</t>
  </si>
  <si>
    <t xml:space="preserve">kinuha ko email ng branch manager para sa isp concern </t>
  </si>
  <si>
    <t>nakuha kona binigay ko na kay sir jeff</t>
  </si>
  <si>
    <t>M00120000251</t>
  </si>
  <si>
    <t>Pick up power supply</t>
  </si>
  <si>
    <t>M00120000252</t>
  </si>
  <si>
    <t>Pick up HDD at micronics</t>
  </si>
  <si>
    <t>M00120000253</t>
  </si>
  <si>
    <t>Pick up laptop charger of sir arnold and mam rowei at micronics</t>
  </si>
  <si>
    <t>M00120000254</t>
  </si>
  <si>
    <t>Go to GCO and give usb to sir rex - for AUTOCAD 2020</t>
  </si>
  <si>
    <t>M00102000458</t>
  </si>
  <si>
    <t>M00120000255</t>
  </si>
  <si>
    <t>P.o. epson L3110 - for mam rita replacement</t>
  </si>
  <si>
    <t>M00120000256</t>
  </si>
  <si>
    <t>bincard 10 hdd and 3 power supply - new</t>
  </si>
  <si>
    <t>M00120000257</t>
  </si>
  <si>
    <t>Computer 1 - additional at CSS</t>
  </si>
  <si>
    <t>M00109011794</t>
  </si>
  <si>
    <t>M00120000258</t>
  </si>
  <si>
    <t>Computer 2 - additional at CSS</t>
  </si>
  <si>
    <t>M00120000259</t>
  </si>
  <si>
    <t>Computer 3 - additional at CSS</t>
  </si>
  <si>
    <t>M00120000260</t>
  </si>
  <si>
    <t>Computer 4 - additional at CSS</t>
  </si>
  <si>
    <t>M00120000261</t>
  </si>
  <si>
    <t>Request 5 sets of PC at Engr,. nelson office</t>
  </si>
  <si>
    <t>M00120000262</t>
  </si>
  <si>
    <t>Inquire ink cartridge at micronics - for mam mylene printer</t>
  </si>
  <si>
    <t>M00120001624</t>
  </si>
  <si>
    <t>M00120000263</t>
  </si>
  <si>
    <t>back up files and reformat</t>
  </si>
  <si>
    <t>restore files reformat and update windows/for checking</t>
  </si>
  <si>
    <t>okay na eto</t>
  </si>
  <si>
    <t>M00120000264</t>
  </si>
  <si>
    <t xml:space="preserve">no wifi internet of third floor need troubleshoot </t>
  </si>
  <si>
    <t>restart modem</t>
  </si>
  <si>
    <t>M00120000265</t>
  </si>
  <si>
    <t>gather info net of ue alabang sent to sir jeff</t>
  </si>
  <si>
    <t>na sent na po</t>
  </si>
  <si>
    <t>M00120000266</t>
  </si>
  <si>
    <t>back up data base</t>
  </si>
  <si>
    <t>naback up ko na</t>
  </si>
  <si>
    <t>M00120000267</t>
  </si>
  <si>
    <t>nireceived mga request na computer galing kay ingeneer</t>
  </si>
  <si>
    <t>binuhat namin papunta sa stock room with bernard</t>
  </si>
  <si>
    <t>M00120000268</t>
  </si>
  <si>
    <t>For repair - client pc w/ power cord</t>
  </si>
  <si>
    <t>done. repaired. 11/9/2020</t>
  </si>
  <si>
    <t>replace systen unit old usb port not working/  back up files and reformat</t>
  </si>
  <si>
    <t>pinalitan ng luma spare namin dito for checking</t>
  </si>
  <si>
    <t xml:space="preserve">okay na </t>
  </si>
  <si>
    <t>M00120000270</t>
  </si>
  <si>
    <t xml:space="preserve">P.O. ink cartridge for Mam Mylene Lo </t>
  </si>
  <si>
    <t>Mobitek SM Tarlac</t>
  </si>
  <si>
    <t>M00120000271</t>
  </si>
  <si>
    <t>C024</t>
  </si>
  <si>
    <t>M00120000272</t>
  </si>
  <si>
    <t>CFF Printer - no power (model: HP Deskjet ink advantage 2010)</t>
  </si>
  <si>
    <t>Realme - SM Megacenter Cabanatuan</t>
  </si>
  <si>
    <t>M00120000273</t>
  </si>
  <si>
    <t>C091</t>
  </si>
  <si>
    <t>access branch for update wifi passwordand give to manager</t>
  </si>
  <si>
    <t>updated</t>
  </si>
  <si>
    <t>M00120000274</t>
  </si>
  <si>
    <t>access pc of tax and permit  for printer sharing</t>
  </si>
  <si>
    <t>M00120000275</t>
  </si>
  <si>
    <t>refill ink printer of mam shirly</t>
  </si>
  <si>
    <t xml:space="preserve">refilled </t>
  </si>
  <si>
    <t>M00120000276</t>
  </si>
  <si>
    <t>INSTALL O.S. AND APPS. - SERVER PC</t>
  </si>
  <si>
    <t>Samsung - SM Rosales</t>
  </si>
  <si>
    <t>M00120000277</t>
  </si>
  <si>
    <t>C043</t>
  </si>
  <si>
    <t xml:space="preserve">access branch and cctv </t>
  </si>
  <si>
    <t>play back cctv okay na</t>
  </si>
  <si>
    <t>M00120000278</t>
  </si>
  <si>
    <t>wifi password broadcast and give to sir apjohn</t>
  </si>
  <si>
    <t>M00120000279</t>
  </si>
  <si>
    <t>network cabling for Sir Boyet salavaria</t>
  </si>
  <si>
    <t>M00117000342</t>
  </si>
  <si>
    <t>M00120000280</t>
  </si>
  <si>
    <t>network cabling for GMA Office and for mam rowei</t>
  </si>
  <si>
    <t>M00111000671</t>
  </si>
  <si>
    <t>M00120000281</t>
  </si>
  <si>
    <t>network for testing at audit</t>
  </si>
  <si>
    <t>M00120000282</t>
  </si>
  <si>
    <t>network cabling for 2new sets of PC at RDS</t>
  </si>
  <si>
    <t>M00110012546</t>
  </si>
  <si>
    <t>M00120000283</t>
  </si>
  <si>
    <t>pc automatic repair .os problem backload/replace new system unit</t>
  </si>
  <si>
    <t>replaced new system unit for checking/ibabackload palang yung old</t>
  </si>
  <si>
    <t>M00120000284</t>
  </si>
  <si>
    <t>network cabling -PC 1 - CSS</t>
  </si>
  <si>
    <t>M00120000285</t>
  </si>
  <si>
    <t>network cabling -PC 2 - CSS</t>
  </si>
  <si>
    <t>M00120000286</t>
  </si>
  <si>
    <t>network cabling -PC 3 - CSS</t>
  </si>
  <si>
    <t>M00120000287</t>
  </si>
  <si>
    <t>network cabling -PC 4 - CSS</t>
  </si>
  <si>
    <t>M00120000288</t>
  </si>
  <si>
    <t>network cabling -PC 1 - Records depository</t>
  </si>
  <si>
    <t>M00120000289</t>
  </si>
  <si>
    <t>network cabling -PC 2 - Records depository</t>
  </si>
  <si>
    <t>M00120000290</t>
  </si>
  <si>
    <t>access branch for update wifi password</t>
  </si>
  <si>
    <t>M00120000291</t>
  </si>
  <si>
    <t>register sim card replaced on gps tracker /area of sir apjohn</t>
  </si>
  <si>
    <t>M00120000292</t>
  </si>
  <si>
    <t>access branch for cctv saving video</t>
  </si>
  <si>
    <t>nasave ko na po ang video nasa administrator log in</t>
  </si>
  <si>
    <t>UEMI Iloilo - Multi</t>
  </si>
  <si>
    <t>M00120000293</t>
  </si>
  <si>
    <t>M087</t>
  </si>
  <si>
    <t>register replace sim card gps tracker</t>
  </si>
  <si>
    <t>napalitan na ng sim naregister ko na din</t>
  </si>
  <si>
    <t>MCC Paniqui - Multi</t>
  </si>
  <si>
    <t>M00120000294</t>
  </si>
  <si>
    <t>M171</t>
  </si>
  <si>
    <t>padalahan ng utp cable para sa cctv</t>
  </si>
  <si>
    <t xml:space="preserve">pinadalahan na </t>
  </si>
  <si>
    <t>M00120000295</t>
  </si>
  <si>
    <t>scan layout of mcc baguio</t>
  </si>
  <si>
    <t xml:space="preserve">na scan ko na </t>
  </si>
  <si>
    <t>M00120000296</t>
  </si>
  <si>
    <t>install driver pc of fsm</t>
  </si>
  <si>
    <t>M00120000297</t>
  </si>
  <si>
    <t>for diagnos printer</t>
  </si>
  <si>
    <t>M00120000298</t>
  </si>
  <si>
    <t>Server PC - for diagnose</t>
  </si>
  <si>
    <t>M00120000299</t>
  </si>
  <si>
    <t>reset printer of DRS - Epson L120</t>
  </si>
  <si>
    <t>M00120000300</t>
  </si>
  <si>
    <t>fix no systems of anolid - reboot server database</t>
  </si>
  <si>
    <t>TROUBLESHOOT</t>
  </si>
  <si>
    <t>M00120000301</t>
  </si>
  <si>
    <t>transfer PC of Riza - mp executive</t>
  </si>
  <si>
    <t>M00120000302</t>
  </si>
  <si>
    <t>backload old keyboard - for diagnos</t>
  </si>
  <si>
    <t>M00120000303</t>
  </si>
  <si>
    <t>backload computer monitor - for diagnose</t>
  </si>
  <si>
    <t>M00120000304</t>
  </si>
  <si>
    <t>asset transfer - server system unit. repaired already</t>
  </si>
  <si>
    <t>MCC Dagupan - Kawasaki</t>
  </si>
  <si>
    <t>M00120000305</t>
  </si>
  <si>
    <t>M126</t>
  </si>
  <si>
    <t>M00120000306</t>
  </si>
  <si>
    <t>recieved items of ingeneering with bernard</t>
  </si>
  <si>
    <t>recieved na po namin dvr 16 channel 2 hdd 1 4tb 1 1tb</t>
  </si>
  <si>
    <t>M00120000307</t>
  </si>
  <si>
    <t>access branch for cctv playback recording</t>
  </si>
  <si>
    <t>assist branch</t>
  </si>
  <si>
    <t>MCC Kalibo - Multi</t>
  </si>
  <si>
    <t>M00120000308</t>
  </si>
  <si>
    <t>M123</t>
  </si>
  <si>
    <t>DVR continous beep.. problem: HDD not exist</t>
  </si>
  <si>
    <t>M00120000309</t>
  </si>
  <si>
    <t>refill ink - HCM Printer Epson L120</t>
  </si>
  <si>
    <t>M00114001562</t>
  </si>
  <si>
    <t>M00120000310</t>
  </si>
  <si>
    <t>Asset transfer - CCTV of UEMI San Fabian Yamaha (1set of CCTV)</t>
  </si>
  <si>
    <t>done.packed already</t>
  </si>
  <si>
    <t>M00120000311</t>
  </si>
  <si>
    <t>pack 4 monitor and 4 keyboard w/ mouse - For GCC-CSS use</t>
  </si>
  <si>
    <t>done. ready for dispatch</t>
  </si>
  <si>
    <t>done.</t>
  </si>
  <si>
    <t>M00120000312</t>
  </si>
  <si>
    <t>release 1set of cctv.. for installation</t>
  </si>
  <si>
    <t>done. packed already. ready for dispatch</t>
  </si>
  <si>
    <t>M00120000313</t>
  </si>
  <si>
    <t>released 1 set of cctv.. for installation</t>
  </si>
  <si>
    <t>M00120000314</t>
  </si>
  <si>
    <t>isolate network of fsm dept</t>
  </si>
  <si>
    <t>isolated</t>
  </si>
  <si>
    <t>M00120000315</t>
  </si>
  <si>
    <t>assist globe staff to remove network</t>
  </si>
  <si>
    <t>assisted</t>
  </si>
  <si>
    <t>M00120000316</t>
  </si>
  <si>
    <t>released printer of GK-FSM  - Epson L3110</t>
  </si>
  <si>
    <t>done. installed</t>
  </si>
  <si>
    <t>M00108007436</t>
  </si>
  <si>
    <t>M00120000317</t>
  </si>
  <si>
    <t>install new printer of GK-FSM</t>
  </si>
  <si>
    <t>M00120000318</t>
  </si>
  <si>
    <t>connect PC of Mam Shirly Maynigo to new printer of FSM</t>
  </si>
  <si>
    <t>done. connected</t>
  </si>
  <si>
    <t>M00117003242</t>
  </si>
  <si>
    <t>M00120000319</t>
  </si>
  <si>
    <t>connect PC of Israel Cerna to new printer of FSM</t>
  </si>
  <si>
    <t>M00114001603</t>
  </si>
  <si>
    <t>M00120000320</t>
  </si>
  <si>
    <t>inquire laptop battery model: HP 14-bs065tx</t>
  </si>
  <si>
    <t>done. waiting for supplier respond</t>
  </si>
  <si>
    <t>M00120000321</t>
  </si>
  <si>
    <t>GK Line 1 - busy tone.. reported already to pldt</t>
  </si>
  <si>
    <t>reported already. ticket#: 36106612  as of 11/12/2020</t>
  </si>
  <si>
    <t>for monitoring</t>
  </si>
  <si>
    <t>M00120000322</t>
  </si>
  <si>
    <t>PC 2 diagnosed as virus infected. client pc only</t>
  </si>
  <si>
    <t>M00110017103</t>
  </si>
  <si>
    <t>M00120000323</t>
  </si>
  <si>
    <t>troubleshoot network of hr</t>
  </si>
  <si>
    <t>restart hub</t>
  </si>
  <si>
    <t>M00120000324</t>
  </si>
  <si>
    <t>Spare 1 of GMO - MIS</t>
  </si>
  <si>
    <t>M00114001114</t>
  </si>
  <si>
    <t>M00120000325</t>
  </si>
  <si>
    <t>Spare 2 of GMO - MIS</t>
  </si>
  <si>
    <t>M00120000326</t>
  </si>
  <si>
    <t>For diagnos - Server PC</t>
  </si>
  <si>
    <t>M00120000327</t>
  </si>
  <si>
    <t>set up pc of new support staff</t>
  </si>
  <si>
    <t xml:space="preserve">nakasetup na </t>
  </si>
  <si>
    <t>M00120000328</t>
  </si>
  <si>
    <t>nagbuhat kami ng lamesa ng bagong android programmer</t>
  </si>
  <si>
    <t>nasa 3rd floor na</t>
  </si>
  <si>
    <t>M00120000329</t>
  </si>
  <si>
    <t>Setup and install new PC of Support - PC 1</t>
  </si>
  <si>
    <t>M00120000330</t>
  </si>
  <si>
    <t>Setup and install new PC of Support - PC 2</t>
  </si>
  <si>
    <t>M00120000331</t>
  </si>
  <si>
    <t>for repair. virus infected . client pc</t>
  </si>
  <si>
    <t>done. back up and reformat</t>
  </si>
  <si>
    <t>M00120000332</t>
  </si>
  <si>
    <t>Printer Epson L210 - paper pickup springs out</t>
  </si>
  <si>
    <t>done. repaired already.. printer of Audit</t>
  </si>
  <si>
    <t>M00120000333</t>
  </si>
  <si>
    <t>pick up hp ink cartridge at micronics</t>
  </si>
  <si>
    <t>M00120000334</t>
  </si>
  <si>
    <t>reinstall driver and check legal size</t>
  </si>
  <si>
    <t>Mobitek Nepo Mall Dagupan</t>
  </si>
  <si>
    <t>M00120000335</t>
  </si>
  <si>
    <t>C008</t>
  </si>
  <si>
    <t>fix telephone wirings of nepo dagupan mobitek - for terminal</t>
  </si>
  <si>
    <t>M00120000336</t>
  </si>
  <si>
    <t>no display  pc of hr</t>
  </si>
  <si>
    <t>clean ram</t>
  </si>
  <si>
    <t>M00120000337</t>
  </si>
  <si>
    <t>refill ink printer of hr</t>
  </si>
  <si>
    <t>refilled</t>
  </si>
  <si>
    <t>M00120000338</t>
  </si>
  <si>
    <t>pick up printers at bitstop.. Epson L220, Epson L210, L120 and L1300</t>
  </si>
  <si>
    <t>M00120000339</t>
  </si>
  <si>
    <t>no dispalay need clean ram staff of multimedia</t>
  </si>
  <si>
    <t>cleaned</t>
  </si>
  <si>
    <t>M00120000340</t>
  </si>
  <si>
    <t>pc no display isolate pc</t>
  </si>
  <si>
    <t xml:space="preserve">di nakasaksak </t>
  </si>
  <si>
    <t>M00120000341</t>
  </si>
  <si>
    <t>install ink and calibrate: 2h New printer w/ scanner: Epson L3110</t>
  </si>
  <si>
    <t>M00120000342</t>
  </si>
  <si>
    <t>assist about horde.. set as automatic not Mobile (minimal) view</t>
  </si>
  <si>
    <t>M00120000343</t>
  </si>
  <si>
    <t>printer sharing</t>
  </si>
  <si>
    <t>LGK Tarlac - Honda</t>
  </si>
  <si>
    <t>M00120000344</t>
  </si>
  <si>
    <t>M006</t>
  </si>
  <si>
    <t>PC2 - corrupted OS</t>
  </si>
  <si>
    <t>M00118000538</t>
  </si>
  <si>
    <t>M00120000345</t>
  </si>
  <si>
    <t>need install ms office2010</t>
  </si>
  <si>
    <t>M00120000346</t>
  </si>
  <si>
    <t>no internet</t>
  </si>
  <si>
    <t>UEMI Concepcion - Multi</t>
  </si>
  <si>
    <t>M00120000347</t>
  </si>
  <si>
    <t>M068</t>
  </si>
  <si>
    <t>check cctv</t>
  </si>
  <si>
    <t>checked</t>
  </si>
  <si>
    <t>GMC Lingayen - Honda</t>
  </si>
  <si>
    <t>M00120000348</t>
  </si>
  <si>
    <t>M035</t>
  </si>
  <si>
    <t>father info og globe account no internet and dialtone</t>
  </si>
  <si>
    <t>report to globe</t>
  </si>
  <si>
    <t>M00120000349</t>
  </si>
  <si>
    <t>released 1set of computer. pick up by: mark bryan</t>
  </si>
  <si>
    <t>M00120000350</t>
  </si>
  <si>
    <t>deliver repaired printer of GCC-Audit. Epson L210</t>
  </si>
  <si>
    <t>M00107007513</t>
  </si>
  <si>
    <t>M00120000351</t>
  </si>
  <si>
    <t>need to replace router of 2h.. nagloloko..</t>
  </si>
  <si>
    <t>M00105000084</t>
  </si>
  <si>
    <t>MCC Marilao - Honda</t>
  </si>
  <si>
    <t>M00120000352</t>
  </si>
  <si>
    <t>M027</t>
  </si>
  <si>
    <t>globe - no internet no dial tone - nabasa ng baha ung wirings</t>
  </si>
  <si>
    <t>M00116001157</t>
  </si>
  <si>
    <t>UEMI Tuguegarao - Multi</t>
  </si>
  <si>
    <t>M00120000353</t>
  </si>
  <si>
    <t>M071</t>
  </si>
  <si>
    <t>access for printer problem</t>
  </si>
  <si>
    <t xml:space="preserve">troubleshoot connected </t>
  </si>
  <si>
    <t>M00120000354</t>
  </si>
  <si>
    <t>fix ms office. reinstall</t>
  </si>
  <si>
    <t>M00107001868</t>
  </si>
  <si>
    <t>M00120000355</t>
  </si>
  <si>
    <t>for visit 2h- anolid.. need to replace router</t>
  </si>
  <si>
    <t>M00120000356</t>
  </si>
  <si>
    <t>replace power supply - pc of multimedia</t>
  </si>
  <si>
    <t>M00120000357</t>
  </si>
  <si>
    <t>reformat laptop of engineering</t>
  </si>
  <si>
    <t>M00120000358</t>
  </si>
  <si>
    <t>change utp cable of multimedia no net</t>
  </si>
  <si>
    <t>changed</t>
  </si>
  <si>
    <t>M00120000359</t>
  </si>
  <si>
    <t>pinadala na lahat ng mga unit ng branches at dept sa parcel</t>
  </si>
  <si>
    <t>napadala na</t>
  </si>
  <si>
    <t>M00120000360</t>
  </si>
  <si>
    <t>register sim card of gps tracker are of sir rolly</t>
  </si>
  <si>
    <t>M00120000361</t>
  </si>
  <si>
    <t>check internet of telemktg</t>
  </si>
  <si>
    <t>M00120000362</t>
  </si>
  <si>
    <t>connect wifi cp of mam lorraine</t>
  </si>
  <si>
    <t>M00120000363</t>
  </si>
  <si>
    <t>Support/Assit Sir Phone about Zoom meeting</t>
  </si>
  <si>
    <t>M00906001658</t>
  </si>
  <si>
    <t>M00120000364</t>
  </si>
  <si>
    <t>Fix local internet of M' Princess</t>
  </si>
  <si>
    <t>M00120000365</t>
  </si>
  <si>
    <t>Fix internet of MCC Dagupan Kawasaki</t>
  </si>
  <si>
    <t>M00120000366</t>
  </si>
  <si>
    <t>Assist Mam Grace Natividad about zoom meeting</t>
  </si>
  <si>
    <t>M00101000217</t>
  </si>
  <si>
    <t>M00120000367</t>
  </si>
  <si>
    <t>Antenna at GK pointing Suzuki dagupan - down. need to isolate and fix</t>
  </si>
  <si>
    <t>M00120000368</t>
  </si>
  <si>
    <t>inquire 8port ethernet switch. for mcc baguio honda</t>
  </si>
  <si>
    <t>M00120000369</t>
  </si>
  <si>
    <t>issue printer replacement. old printer for backload</t>
  </si>
  <si>
    <t>done. for backload old</t>
  </si>
  <si>
    <t>M00117000077</t>
  </si>
  <si>
    <t>UEMI Rosario LU - Multi</t>
  </si>
  <si>
    <t>M00120000370</t>
  </si>
  <si>
    <t>M110</t>
  </si>
  <si>
    <t>need to repair printer</t>
  </si>
  <si>
    <t>M00120000371</t>
  </si>
  <si>
    <t>CFF system unit. board problem. replaced</t>
  </si>
  <si>
    <t>M00120000372</t>
  </si>
  <si>
    <t>Audit - MSoffice for activation</t>
  </si>
  <si>
    <t>M00115001493</t>
  </si>
  <si>
    <t>M00120000373</t>
  </si>
  <si>
    <t>M00120000374</t>
  </si>
  <si>
    <t>install drivers of printer</t>
  </si>
  <si>
    <t>M00120000375</t>
  </si>
  <si>
    <t>pick up ink at micronics</t>
  </si>
  <si>
    <t>M00120000376</t>
  </si>
  <si>
    <t>register replace new sim card area of sir david</t>
  </si>
  <si>
    <t>M00120000377</t>
  </si>
  <si>
    <t>register replace new sim card area of sir randy</t>
  </si>
  <si>
    <t>M00120000378</t>
  </si>
  <si>
    <t>for report no internet lan cable. but has a wifi for phone</t>
  </si>
  <si>
    <t>reported to globe</t>
  </si>
  <si>
    <t>M00120000379</t>
  </si>
  <si>
    <t>pick up 8port switch for mcc baguio</t>
  </si>
  <si>
    <t>M00120000380</t>
  </si>
  <si>
    <t>pick up power supply 2pcs. at micronics</t>
  </si>
  <si>
    <t>M00120000381</t>
  </si>
  <si>
    <t>Samsung - Robinsons Tuguegarao</t>
  </si>
  <si>
    <t>M00120000382</t>
  </si>
  <si>
    <t>C075</t>
  </si>
  <si>
    <t>report to globe low internet</t>
  </si>
  <si>
    <t>M00120000383</t>
  </si>
  <si>
    <t>setup Epson L360</t>
  </si>
  <si>
    <t>M00120000384</t>
  </si>
  <si>
    <t>pull out Epson L3110 - HR Printer leak.. setup Epson L360</t>
  </si>
  <si>
    <t>M00120000385</t>
  </si>
  <si>
    <t>replace new system unit problem old unit board</t>
  </si>
  <si>
    <t>M00120000386</t>
  </si>
  <si>
    <t>windows 7. need to upgrade to windows 10</t>
  </si>
  <si>
    <t>M00105000801</t>
  </si>
  <si>
    <t>M00120000387</t>
  </si>
  <si>
    <t xml:space="preserve">repaired pc of mam shirley </t>
  </si>
  <si>
    <t>repaired system unit . no display</t>
  </si>
  <si>
    <t>M00120000388</t>
  </si>
  <si>
    <t>PRepare new SYSTEM UNIT - server pc</t>
  </si>
  <si>
    <t>M00120000389</t>
  </si>
  <si>
    <t>replace new system unit/ backload old system unit</t>
  </si>
  <si>
    <t>Samsung - Robinson Calasiao</t>
  </si>
  <si>
    <t>M00120000390</t>
  </si>
  <si>
    <t>C036</t>
  </si>
  <si>
    <t>update wifi password and give to manager</t>
  </si>
  <si>
    <t>access updated</t>
  </si>
  <si>
    <t>M00120000391</t>
  </si>
  <si>
    <t>bluescreen - bull's eye system unit</t>
  </si>
  <si>
    <t xml:space="preserve">done. Bull's Eye System unit </t>
  </si>
  <si>
    <t>M00120000392</t>
  </si>
  <si>
    <t>GK-HCM-Epson L3110 leak</t>
  </si>
  <si>
    <t>M00120000393</t>
  </si>
  <si>
    <t>backload keyboard. for replacement</t>
  </si>
  <si>
    <t>asset transfer by Carlo</t>
  </si>
  <si>
    <t>M00120000394</t>
  </si>
  <si>
    <t>backload printer from Records. Epson LX300 - Unit1</t>
  </si>
  <si>
    <t>M00120000395</t>
  </si>
  <si>
    <t>backload printer from Records. Epson LX300 - Unit2</t>
  </si>
  <si>
    <t>M00120000396</t>
  </si>
  <si>
    <t>Video card of Boss Jude Lo. for checking</t>
  </si>
  <si>
    <t>M00120000397</t>
  </si>
  <si>
    <t>Antenna at GK pointing Suzuki Dagupan - can't access need to check</t>
  </si>
  <si>
    <t>M00120000398</t>
  </si>
  <si>
    <t>laptop of engineer amy. Install autocad, and other engineering apps</t>
  </si>
  <si>
    <t>M00110018534</t>
  </si>
  <si>
    <t>M00120000399</t>
  </si>
  <si>
    <t>replace old spare pc og accounting</t>
  </si>
  <si>
    <t>M00120000400</t>
  </si>
  <si>
    <t>reformat and install autocad laptop of engineer ami</t>
  </si>
  <si>
    <t>M00120000401</t>
  </si>
  <si>
    <t>corrupted os</t>
  </si>
  <si>
    <t>M00120000402</t>
  </si>
  <si>
    <t>pinadala lahat ng unit sa parcel</t>
  </si>
  <si>
    <t>M00120000403</t>
  </si>
  <si>
    <t>release Epson L120 - for Anolid Shipping (Asset transfer)</t>
  </si>
  <si>
    <t>M00109019180</t>
  </si>
  <si>
    <t>M00120000404</t>
  </si>
  <si>
    <t>Asset transfer - repaired server PC</t>
  </si>
  <si>
    <t>MCC San Fernando PAM - Multi</t>
  </si>
  <si>
    <t>M00120000405</t>
  </si>
  <si>
    <t>M112</t>
  </si>
  <si>
    <t>offline printer need to troubleshoot</t>
  </si>
  <si>
    <t>online na</t>
  </si>
  <si>
    <t>M00120000406</t>
  </si>
  <si>
    <t>access branch update wifi password</t>
  </si>
  <si>
    <t>updated give to manager</t>
  </si>
  <si>
    <t>M00120000407</t>
  </si>
  <si>
    <t>back up files and reformat clien pc</t>
  </si>
  <si>
    <t>M00120000408</t>
  </si>
  <si>
    <t>installed ms office</t>
  </si>
  <si>
    <t>installed na po</t>
  </si>
  <si>
    <t>M00120000409</t>
  </si>
  <si>
    <t>parcel/pinadala lahat ng unit sa mga branch at recieved na din ng mga backload</t>
  </si>
  <si>
    <t>M00120000410</t>
  </si>
  <si>
    <t xml:space="preserve">GK Line 2 - no dial tone - follow up thru email </t>
  </si>
  <si>
    <t>Samsung - SM Telabastagan</t>
  </si>
  <si>
    <t>M00120000411</t>
  </si>
  <si>
    <t>C073</t>
  </si>
  <si>
    <t>All camera - naglolose pag nagagalaw ng branch., need to relocate position of DVR. FOR VISIT</t>
  </si>
  <si>
    <t>M00120000412</t>
  </si>
  <si>
    <t>no display pc of hr</t>
  </si>
  <si>
    <t>M00120000413</t>
  </si>
  <si>
    <t>access asm pc for reset printer</t>
  </si>
  <si>
    <t>reset na po</t>
  </si>
  <si>
    <t>UEMI Angeles - Multi</t>
  </si>
  <si>
    <t>M00120000414</t>
  </si>
  <si>
    <t>M011</t>
  </si>
  <si>
    <t>email account of sir marlon give to manager</t>
  </si>
  <si>
    <t>nabigay na</t>
  </si>
  <si>
    <t>M00120000415</t>
  </si>
  <si>
    <t>Replace router at 2h-Anolid</t>
  </si>
  <si>
    <t>M00120000416</t>
  </si>
  <si>
    <t>Assist GLOBE PERSONNEL - about installation of Signal Booster at offices</t>
  </si>
  <si>
    <t>M00120000417</t>
  </si>
  <si>
    <t>for E-Commerce PC @ CP Warehouse</t>
  </si>
  <si>
    <t>M00120000418</t>
  </si>
  <si>
    <t>isolate internet of multimedia</t>
  </si>
  <si>
    <t>may intenet na sila</t>
  </si>
  <si>
    <t>M00120000419</t>
  </si>
  <si>
    <t>setup and install ID card printer of Multimedia</t>
  </si>
  <si>
    <t>M00120000420</t>
  </si>
  <si>
    <t>records - request scanner only</t>
  </si>
  <si>
    <t>M00120000421</t>
  </si>
  <si>
    <t>recrimp utp cable oh hr</t>
  </si>
  <si>
    <t>na recrimp na okay na internet nya</t>
  </si>
  <si>
    <t>M00120000422</t>
  </si>
  <si>
    <t>pick up laptop charger of Sir Arnold Guillen - GMA Office</t>
  </si>
  <si>
    <t>M00109011793</t>
  </si>
  <si>
    <t>M00120000423</t>
  </si>
  <si>
    <t>P.O. cctv for mcc baguio - flagship - for approve by sir rex</t>
  </si>
  <si>
    <t>M00120000424</t>
  </si>
  <si>
    <t>no internet pc of telemktg</t>
  </si>
  <si>
    <t>changed ip address</t>
  </si>
  <si>
    <t>M00120000425</t>
  </si>
  <si>
    <t>backup old files and transfer to new unit</t>
  </si>
  <si>
    <t>M00120000426</t>
  </si>
  <si>
    <t>no internet pc of mam ivy</t>
  </si>
  <si>
    <t>meron ng net</t>
  </si>
  <si>
    <t>GMC Pasuquin - Multi</t>
  </si>
  <si>
    <t>M00120000427</t>
  </si>
  <si>
    <t>M041</t>
  </si>
  <si>
    <t>CCTV Monitoring</t>
  </si>
  <si>
    <t>GMC Vigan - Honda</t>
  </si>
  <si>
    <t>M00120000428</t>
  </si>
  <si>
    <t>M016</t>
  </si>
  <si>
    <t>LGK San Nicolas - Honda</t>
  </si>
  <si>
    <t>M00120000429</t>
  </si>
  <si>
    <t>M031</t>
  </si>
  <si>
    <t>MCC Batac - Honda</t>
  </si>
  <si>
    <t>M00120000430</t>
  </si>
  <si>
    <t>M024</t>
  </si>
  <si>
    <t>MCC Sinait - Multi</t>
  </si>
  <si>
    <t>M00120000431</t>
  </si>
  <si>
    <t>M157</t>
  </si>
  <si>
    <t>MCC Sto. Domingo - Multi</t>
  </si>
  <si>
    <t>M00120000432</t>
  </si>
  <si>
    <t>M165</t>
  </si>
  <si>
    <t>UEMI Bangued - Multi</t>
  </si>
  <si>
    <t>M00120000433</t>
  </si>
  <si>
    <t>M036</t>
  </si>
  <si>
    <t>UEMI Bangued - Yamaha</t>
  </si>
  <si>
    <t>M00120000434</t>
  </si>
  <si>
    <t>M082</t>
  </si>
  <si>
    <t>UEMI Batac - Yamaha</t>
  </si>
  <si>
    <t>M00120000435</t>
  </si>
  <si>
    <t>M104</t>
  </si>
  <si>
    <t>UEMI Cabugao - Multi</t>
  </si>
  <si>
    <t>M00120000436</t>
  </si>
  <si>
    <t>M055</t>
  </si>
  <si>
    <t>UEMI Dingras - Multi</t>
  </si>
  <si>
    <t>M00120000437</t>
  </si>
  <si>
    <t>M072</t>
  </si>
  <si>
    <t>UEMI Laoag - Multi</t>
  </si>
  <si>
    <t>M00120000438</t>
  </si>
  <si>
    <t>M009</t>
  </si>
  <si>
    <t>UEMI Laoag - Yamaha</t>
  </si>
  <si>
    <t>M00120000439</t>
  </si>
  <si>
    <t>M056</t>
  </si>
  <si>
    <t>M00120000440</t>
  </si>
  <si>
    <t>UEMI Vigan - 2H</t>
  </si>
  <si>
    <t>M00120000441</t>
  </si>
  <si>
    <t>M102</t>
  </si>
  <si>
    <t>UEMI Vigan - Multi</t>
  </si>
  <si>
    <t>M00120000442</t>
  </si>
  <si>
    <t>M049</t>
  </si>
  <si>
    <t>M00120000443</t>
  </si>
  <si>
    <t>GMC San Fernando LUN - Honda</t>
  </si>
  <si>
    <t>M00120000444</t>
  </si>
  <si>
    <t>M003</t>
  </si>
  <si>
    <t>M00120000445</t>
  </si>
  <si>
    <t>M00120000446</t>
  </si>
  <si>
    <t>M00120000447</t>
  </si>
  <si>
    <t>UEMI Agoo - Yamaha</t>
  </si>
  <si>
    <t>M00120000448</t>
  </si>
  <si>
    <t>M136</t>
  </si>
  <si>
    <t>UEMI Bacnotan - Multi</t>
  </si>
  <si>
    <t>M00120000449</t>
  </si>
  <si>
    <t>M019</t>
  </si>
  <si>
    <t>UEMI Candon - Multi</t>
  </si>
  <si>
    <t>M00120000450</t>
  </si>
  <si>
    <t>M043</t>
  </si>
  <si>
    <t>M00120000451</t>
  </si>
  <si>
    <t>UEMI Narvacan - Multi</t>
  </si>
  <si>
    <t>M00120000452</t>
  </si>
  <si>
    <t>M047</t>
  </si>
  <si>
    <t>UEMI Narvacan - Yamaha</t>
  </si>
  <si>
    <t>M00120000453</t>
  </si>
  <si>
    <t>M149</t>
  </si>
  <si>
    <t>M00120000454</t>
  </si>
  <si>
    <t>M00120000455</t>
  </si>
  <si>
    <t>M00120000456</t>
  </si>
  <si>
    <t>internet of mirla - hr fix</t>
  </si>
  <si>
    <t>M00117000331</t>
  </si>
  <si>
    <t>M00120000457</t>
  </si>
  <si>
    <t>no internet of multimedia</t>
  </si>
  <si>
    <t>may internet na meron na</t>
  </si>
  <si>
    <t>Mobitek Vigan</t>
  </si>
  <si>
    <t>M00120000458</t>
  </si>
  <si>
    <t>C015</t>
  </si>
  <si>
    <t>Assist Sir George Esperida about Slow performace of his LAPTOP</t>
  </si>
  <si>
    <t>M01606001405</t>
  </si>
  <si>
    <t>M00120000459</t>
  </si>
  <si>
    <t>restart wifi @ third floor</t>
  </si>
  <si>
    <t>restarted</t>
  </si>
  <si>
    <t>M00120000460</t>
  </si>
  <si>
    <t>inaayos ko inventory sim and gps</t>
  </si>
  <si>
    <t>M00120000461</t>
  </si>
  <si>
    <t>register sim card on gps area of sir roly</t>
  </si>
  <si>
    <t>M00120000462</t>
  </si>
  <si>
    <t>register sim card of gps area of sir david</t>
  </si>
  <si>
    <t>M00120000463</t>
  </si>
  <si>
    <t>nirecieved mga cctv na request sa engi. dept</t>
  </si>
  <si>
    <t>na recieved nanamin</t>
  </si>
  <si>
    <t>M00120000464</t>
  </si>
  <si>
    <t>Accounting - Mam Marj Printer L120 - repaired! done</t>
  </si>
  <si>
    <t>M00120000465</t>
  </si>
  <si>
    <t>Old Printer of HCM - Epson L3110 - temporary setup at MIS</t>
  </si>
  <si>
    <t>M00120000466</t>
  </si>
  <si>
    <t>back up files and reformat bluescree</t>
  </si>
  <si>
    <t>M00120000467</t>
  </si>
  <si>
    <t>released touchscreen monitor and system unit pick up by bryan</t>
  </si>
  <si>
    <t>M00120000468</t>
  </si>
  <si>
    <t>reset printer of TAX - Epson L120</t>
  </si>
  <si>
    <t>M00111006212</t>
  </si>
  <si>
    <t>Mobitek Magic Urdaneta</t>
  </si>
  <si>
    <t>M00120000469</t>
  </si>
  <si>
    <t>C006</t>
  </si>
  <si>
    <t>PLDT - no dial tone no internet. for temporary issue pocket wifi</t>
  </si>
  <si>
    <t>M00120000470</t>
  </si>
  <si>
    <t>reformat Sir Richard laptop</t>
  </si>
  <si>
    <t>M00120000471</t>
  </si>
  <si>
    <t>virus infected PC of CSS-Elle Rosal</t>
  </si>
  <si>
    <t>M00120000472</t>
  </si>
  <si>
    <t>Mobitek Nepo Mart Alaminos</t>
  </si>
  <si>
    <t>M00120000473</t>
  </si>
  <si>
    <t>C005</t>
  </si>
  <si>
    <t xml:space="preserve">Activate microsoft office 2019.. excel can't edit </t>
  </si>
  <si>
    <t>M00120000474</t>
  </si>
  <si>
    <t>Activate microsoft office. problem: not activated</t>
  </si>
  <si>
    <t>UEMI Valenzuela - Multi</t>
  </si>
  <si>
    <t>M00120000475</t>
  </si>
  <si>
    <t>M034</t>
  </si>
  <si>
    <t>access branch for cctv playback</t>
  </si>
  <si>
    <t>access cctv and playback</t>
  </si>
  <si>
    <t>Macarling, Federico Jr Romano</t>
  </si>
  <si>
    <t>Cuison, Bernard Ramos</t>
  </si>
  <si>
    <t>Velasquez, Jayson Alon</t>
  </si>
  <si>
    <t>Trinidad, Jan Carlo Aquino</t>
  </si>
  <si>
    <t>Encoder</t>
  </si>
  <si>
    <t>Row Labels</t>
  </si>
  <si>
    <t>Grand Total</t>
  </si>
  <si>
    <t>Count of sTransNox</t>
  </si>
  <si>
    <t>STATUS</t>
  </si>
  <si>
    <t>ACTUAL STATUS</t>
  </si>
  <si>
    <t>SUPPORTED WITHIN 2DAYS</t>
  </si>
  <si>
    <t>NOT SUPPORTED WITHIN 2DAYS</t>
  </si>
  <si>
    <t>ACTUAL STATUS no formula</t>
  </si>
  <si>
    <t>Column Labels</t>
  </si>
  <si>
    <t>(blank)</t>
  </si>
  <si>
    <t>JO SUMMARY PER CATEGORY - NOV 2020</t>
  </si>
  <si>
    <t>JO SUMMARY STATUS - NOV 2020</t>
  </si>
  <si>
    <t>sAreaDesc</t>
  </si>
  <si>
    <t>sAreaCode</t>
  </si>
  <si>
    <t>dDateInst</t>
  </si>
  <si>
    <t>sBrandNme</t>
  </si>
  <si>
    <t>nNoCamera</t>
  </si>
  <si>
    <t>sDVRPassw</t>
  </si>
  <si>
    <t>sWIFIName</t>
  </si>
  <si>
    <t>sWIFIPass</t>
  </si>
  <si>
    <t>sHIKStatx</t>
  </si>
  <si>
    <t>sCCTVStat</t>
  </si>
  <si>
    <t>dMonitorx</t>
  </si>
  <si>
    <t>sMonitorx</t>
  </si>
  <si>
    <t>sVerifyCd</t>
  </si>
  <si>
    <t>sWthTAlrm</t>
  </si>
  <si>
    <t>\N</t>
  </si>
  <si>
    <t>Area 1 (MP)</t>
  </si>
  <si>
    <t>Huawei - SM Baguio</t>
  </si>
  <si>
    <t>C079</t>
  </si>
  <si>
    <t>hikvision</t>
  </si>
  <si>
    <t>gtcAdmin19</t>
  </si>
  <si>
    <t>qwerty</t>
  </si>
  <si>
    <t>NO VIDEO CAMERA 2.. 3 camera installed only</t>
  </si>
  <si>
    <t>ONLINE</t>
  </si>
  <si>
    <t>RECORDING</t>
  </si>
  <si>
    <t>Macarling, Federico</t>
  </si>
  <si>
    <t>no</t>
  </si>
  <si>
    <t>Huawei - SM Center Dagupan</t>
  </si>
  <si>
    <t>C085</t>
  </si>
  <si>
    <t>HIKVISION</t>
  </si>
  <si>
    <t>ggcAdmin85</t>
  </si>
  <si>
    <t>GUANZON_C085</t>
  </si>
  <si>
    <t>huawei4826966477</t>
  </si>
  <si>
    <t>GOOD</t>
  </si>
  <si>
    <t>n/a</t>
  </si>
  <si>
    <t>Mobitek City Mall</t>
  </si>
  <si>
    <t>C002</t>
  </si>
  <si>
    <t>gtcAdmin02</t>
  </si>
  <si>
    <t>good. 3camera only installed</t>
  </si>
  <si>
    <t>-</t>
  </si>
  <si>
    <t>Mobitek JTC Tagudin</t>
  </si>
  <si>
    <t>C047</t>
  </si>
  <si>
    <t>DVR-DVS</t>
  </si>
  <si>
    <t>gtcAdmin47</t>
  </si>
  <si>
    <t>DVR DVS recorder/ platform not supported. FOR REPLACEMENT DVR</t>
  </si>
  <si>
    <t>OFFLINE</t>
  </si>
  <si>
    <t>FOR VISIT</t>
  </si>
  <si>
    <t>Mobitek Metroplaza</t>
  </si>
  <si>
    <t>C049</t>
  </si>
  <si>
    <t>hikvison</t>
  </si>
  <si>
    <t>gtcAdmin49</t>
  </si>
  <si>
    <t>camera 3 NO VIDEO</t>
  </si>
  <si>
    <t>gtcAdmin08</t>
  </si>
  <si>
    <t>offline to hikconnect</t>
  </si>
  <si>
    <t>Mobitek Perez</t>
  </si>
  <si>
    <t>C001</t>
  </si>
  <si>
    <t>gtcAdmin01</t>
  </si>
  <si>
    <t>mobitekdagupanmain01</t>
  </si>
  <si>
    <t>good</t>
  </si>
  <si>
    <t>Mobitek SM Center Dagupan</t>
  </si>
  <si>
    <t>C084</t>
  </si>
  <si>
    <t>gtcAdmin84</t>
  </si>
  <si>
    <t>GUANZON_C084</t>
  </si>
  <si>
    <t>mobitek48208423646</t>
  </si>
  <si>
    <t>Mobitek Stern Mall Candon</t>
  </si>
  <si>
    <t>C011</t>
  </si>
  <si>
    <t>gtcAdmin11</t>
  </si>
  <si>
    <t>G48201123646G</t>
  </si>
  <si>
    <t>cam 1 and 4 video loss. For Visit</t>
  </si>
  <si>
    <t>gtcAdmin15</t>
  </si>
  <si>
    <t>CAMERA 3 NO VIDEO. STOCK ROOM. FOR VISIT</t>
  </si>
  <si>
    <t>TTHOCH</t>
  </si>
  <si>
    <t>Mobitek Xentro Mall Vigan</t>
  </si>
  <si>
    <t>C089</t>
  </si>
  <si>
    <t>gtcAdmin</t>
  </si>
  <si>
    <t>GUANZON_C89</t>
  </si>
  <si>
    <t>gtcAdmin67</t>
  </si>
  <si>
    <t>Good and online</t>
  </si>
  <si>
    <t>Samsung - Nepo Mall Dagupan</t>
  </si>
  <si>
    <t>C058</t>
  </si>
  <si>
    <t>gtcAdmin58</t>
  </si>
  <si>
    <t>RETURNED DVR ORIGINAL - OK</t>
  </si>
  <si>
    <t>Samsung - SM Center Dagupan</t>
  </si>
  <si>
    <t>C086</t>
  </si>
  <si>
    <t>gtcAdmin86</t>
  </si>
  <si>
    <t>SAMSUNG_C086</t>
  </si>
  <si>
    <t>samsung48208623646</t>
  </si>
  <si>
    <t>CAM 1 AND CAM 2 - NO VIDEO - FOR VISIT</t>
  </si>
  <si>
    <t>NO</t>
  </si>
  <si>
    <t>Samsung - Vigan</t>
  </si>
  <si>
    <t>C040</t>
  </si>
  <si>
    <t>gtcAdmin40</t>
  </si>
  <si>
    <t>need router to enable hik connect online</t>
  </si>
  <si>
    <t>Area 2 (MP)</t>
  </si>
  <si>
    <t>Huawei - Magic Mall 2 San Carlos</t>
  </si>
  <si>
    <t>C080</t>
  </si>
  <si>
    <t>gtcAdmin80</t>
  </si>
  <si>
    <t>good. 3 camera installed only</t>
  </si>
  <si>
    <t>Huawei - Robinson Calasiao</t>
  </si>
  <si>
    <t>C078</t>
  </si>
  <si>
    <t>Hikvision</t>
  </si>
  <si>
    <t>gtcAdmin78</t>
  </si>
  <si>
    <t>G48207823646</t>
  </si>
  <si>
    <t>good and online</t>
  </si>
  <si>
    <t>Mobitek - Magic Urdaneta - Annex</t>
  </si>
  <si>
    <t>Mobitek Magic Mall 2 San Carlos</t>
  </si>
  <si>
    <t>C082</t>
  </si>
  <si>
    <t>gtcAdmin82</t>
  </si>
  <si>
    <t>Mobitek Magic San Carlos</t>
  </si>
  <si>
    <t>C004</t>
  </si>
  <si>
    <t>gtcAdmin04</t>
  </si>
  <si>
    <t>PLDT problem no internet - kaya offline and DVR</t>
  </si>
  <si>
    <t>ggcAdmin27</t>
  </si>
  <si>
    <t>camera 3 - stock room. need to relocate. for visit asap</t>
  </si>
  <si>
    <t>gtcAdmin06</t>
  </si>
  <si>
    <t xml:space="preserve">SYMIZF </t>
  </si>
  <si>
    <t>Mobitek Robinson Calasiao</t>
  </si>
  <si>
    <t>C035</t>
  </si>
  <si>
    <t>gtcAdmin35</t>
  </si>
  <si>
    <t>Mobitek Royal Mall Bayambang</t>
  </si>
  <si>
    <t>C029</t>
  </si>
  <si>
    <t>gtcAdmin29</t>
  </si>
  <si>
    <t>GUANZON_WIFI_C029</t>
  </si>
  <si>
    <t>mobitek4820292019</t>
  </si>
  <si>
    <t>dvr for replacement. can't add to hikconnect</t>
  </si>
  <si>
    <t>ZRFFXP</t>
  </si>
  <si>
    <t>Mobitek San Carlos Town Center</t>
  </si>
  <si>
    <t>C068</t>
  </si>
  <si>
    <t>gtcAdmin68</t>
  </si>
  <si>
    <t>G48206823646C068</t>
  </si>
  <si>
    <t>EXPOSE</t>
  </si>
  <si>
    <t>ggcAdmin20</t>
  </si>
  <si>
    <t>Oppo - Magic Urdaneta - Annex</t>
  </si>
  <si>
    <t>OPPO - Robinsons Calasiao</t>
  </si>
  <si>
    <t>C050</t>
  </si>
  <si>
    <t>gtcAdmin50</t>
  </si>
  <si>
    <t>camera 3 and camera 4 - NO VIDEO - FOR VISIT</t>
  </si>
  <si>
    <t>Oppo - SM Urdaneta</t>
  </si>
  <si>
    <t>C071</t>
  </si>
  <si>
    <t>G48223646071</t>
  </si>
  <si>
    <t>GUANZON_OPPO_C071</t>
  </si>
  <si>
    <t>oppo4820712020</t>
  </si>
  <si>
    <t>Samsung - Magic Mall 2 San Carlos</t>
  </si>
  <si>
    <t>C081</t>
  </si>
  <si>
    <t>gtcAdmin81</t>
  </si>
  <si>
    <t>camera 4 - NO VIDEO - FOR VISIT</t>
  </si>
  <si>
    <t>Samsung - Magic Urdaneta - Annex</t>
  </si>
  <si>
    <t>G4822364636</t>
  </si>
  <si>
    <t>camera 3 and 4.. for relocation. need to adjuts position. FIX BLIND SPOT</t>
  </si>
  <si>
    <t>QSEE</t>
  </si>
  <si>
    <t>gtcAdmin43</t>
  </si>
  <si>
    <t>Samsung - SM Urdaneta</t>
  </si>
  <si>
    <t>C070</t>
  </si>
  <si>
    <t>G48223646070</t>
  </si>
  <si>
    <t>samsung48207023646</t>
  </si>
  <si>
    <t>Vivo - SM Urdaneta</t>
  </si>
  <si>
    <t>C072</t>
  </si>
  <si>
    <t>G48223646072</t>
  </si>
  <si>
    <t>qwrtty</t>
  </si>
  <si>
    <t>good. 3camera installed already</t>
  </si>
  <si>
    <t>Area 3 (MP)</t>
  </si>
  <si>
    <t>Huawei - Iba Town Center</t>
  </si>
  <si>
    <t>C083</t>
  </si>
  <si>
    <t>gtcAdmin83</t>
  </si>
  <si>
    <t>PLDTMyDSLBizGUANZON_HUAWEI</t>
  </si>
  <si>
    <t>G48208323646</t>
  </si>
  <si>
    <t>cam 1 and cashier area need to adjust. pldt problem no internet due to unpaid bills</t>
  </si>
  <si>
    <t>Mobitek City Mall Dau</t>
  </si>
  <si>
    <t>C064</t>
  </si>
  <si>
    <t>gtcAdmin64</t>
  </si>
  <si>
    <t>N/A</t>
  </si>
  <si>
    <t>Mobitek Iba Town Center</t>
  </si>
  <si>
    <t>C042</t>
  </si>
  <si>
    <t>gtcAdmin42</t>
  </si>
  <si>
    <t>G48204223646</t>
  </si>
  <si>
    <t>offline due to unpaid bills @ PLDT</t>
  </si>
  <si>
    <t>gtcAdmin33</t>
  </si>
  <si>
    <t>mobitekG48203323646</t>
  </si>
  <si>
    <t>Mobitek Magic Mangatarem</t>
  </si>
  <si>
    <t>C038</t>
  </si>
  <si>
    <t>gtcAdmin38</t>
  </si>
  <si>
    <t>ALL CAMERA VIDEO LOSS. CAN'T ONLINE DVR TO HIKCONNECT</t>
  </si>
  <si>
    <t>.</t>
  </si>
  <si>
    <t>Mobitek Magic Sta. Cruz</t>
  </si>
  <si>
    <t>C034</t>
  </si>
  <si>
    <t>gtcAdmin34</t>
  </si>
  <si>
    <t>gtcAdmin05</t>
  </si>
  <si>
    <t>Good and online..visited by bernard.. old dvr replaced already</t>
  </si>
  <si>
    <t>Mobitek SM Olongapo</t>
  </si>
  <si>
    <t>C059</t>
  </si>
  <si>
    <t>gtcAdmin59</t>
  </si>
  <si>
    <t>Mobitek Vistamall Balanga</t>
  </si>
  <si>
    <t>C063</t>
  </si>
  <si>
    <t>gtcAdmin63</t>
  </si>
  <si>
    <t>camera 3. need to adjust stock room camera-fix blind spot</t>
  </si>
  <si>
    <t>OPPO - City Mall Dau</t>
  </si>
  <si>
    <t>C065</t>
  </si>
  <si>
    <t>gtcAdmin65</t>
  </si>
  <si>
    <t>OPPO_MOBITEK_WIFI</t>
  </si>
  <si>
    <t>oppo4820652019</t>
  </si>
  <si>
    <t>camera 4 no video and camera at stock room need to adjust</t>
  </si>
  <si>
    <t>gtcAdmin73</t>
  </si>
  <si>
    <t>qwert</t>
  </si>
  <si>
    <t>Vivo - Magic Mangatarem</t>
  </si>
  <si>
    <t>C051</t>
  </si>
  <si>
    <t>G48223646051</t>
  </si>
  <si>
    <t xml:space="preserve">offline to hikconnect. </t>
  </si>
  <si>
    <t>Area 4 (MP)</t>
  </si>
  <si>
    <t>Huawei - Robinsons Santiago</t>
  </si>
  <si>
    <t>C048</t>
  </si>
  <si>
    <t>gtcadmin48</t>
  </si>
  <si>
    <t>OFFLINE TO HIKCONNECT</t>
  </si>
  <si>
    <t>Huawei - SM Tarlac</t>
  </si>
  <si>
    <t>C039</t>
  </si>
  <si>
    <t>expose</t>
  </si>
  <si>
    <t>gtcAdmin39</t>
  </si>
  <si>
    <t>qwerrty</t>
  </si>
  <si>
    <t>for replacement dvr.. NOT YET ADDED TO HIKCONNECT</t>
  </si>
  <si>
    <t>FOR REPLACEMENT</t>
  </si>
  <si>
    <t xml:space="preserve"> N/</t>
  </si>
  <si>
    <t>HUAWEI - Waltermart Gapan</t>
  </si>
  <si>
    <t>C087</t>
  </si>
  <si>
    <t>gtcAdmin87</t>
  </si>
  <si>
    <t>GUANZON_C087</t>
  </si>
  <si>
    <t>GOOD. CAMERA AT STOCK ROOM FOR RELOCATION ONLY</t>
  </si>
  <si>
    <t>Mobitek - SM Megacenter Cabanatuan</t>
  </si>
  <si>
    <t>C092</t>
  </si>
  <si>
    <t>gtcAdmin92</t>
  </si>
  <si>
    <t>GUANZON_C092</t>
  </si>
  <si>
    <t>mobitek4826966477</t>
  </si>
  <si>
    <t>NO ISP Yet</t>
  </si>
  <si>
    <t>NO ISP</t>
  </si>
  <si>
    <t>N/a</t>
  </si>
  <si>
    <t>Mobitek Magic San Jose NE</t>
  </si>
  <si>
    <t>C062</t>
  </si>
  <si>
    <t>gtcAdmin62</t>
  </si>
  <si>
    <t>Mobitek NE Pacific Mall</t>
  </si>
  <si>
    <t>C012</t>
  </si>
  <si>
    <t>dvs-dvr</t>
  </si>
  <si>
    <t>CLOSED</t>
  </si>
  <si>
    <t>CLOSED BRANCH</t>
  </si>
  <si>
    <t>gtcAdmin41</t>
  </si>
  <si>
    <t>offfline to hikconnect..CAMERA 1 NO VIDEO. NEED TO ADJUST CAMERA AT STOCK ROOM</t>
  </si>
  <si>
    <t>Mobitek Robinsons Tuguegarao</t>
  </si>
  <si>
    <t>C074</t>
  </si>
  <si>
    <t>gtcAdmin74</t>
  </si>
  <si>
    <t>qwertty</t>
  </si>
  <si>
    <t>ALL CAMERA NO VIDEO. FOR VISIT ASAP</t>
  </si>
  <si>
    <t>Mobitek SM Cabanatuan</t>
  </si>
  <si>
    <t>C055</t>
  </si>
  <si>
    <t>gtcAdmin55</t>
  </si>
  <si>
    <t>DVR REPLACEMENT = OK,, OLD DVR PLS BACKLOAD</t>
  </si>
  <si>
    <t>Mobitek SM Cauayan</t>
  </si>
  <si>
    <t>C044</t>
  </si>
  <si>
    <t>gtcadmin44</t>
  </si>
  <si>
    <t>gtcAdmin24</t>
  </si>
  <si>
    <t>Good</t>
  </si>
  <si>
    <t>Mobitek SM Tuguegarao</t>
  </si>
  <si>
    <t>C066</t>
  </si>
  <si>
    <t>gtcAdmin66</t>
  </si>
  <si>
    <t>Mobitek Waltermart Gapan</t>
  </si>
  <si>
    <t>C032</t>
  </si>
  <si>
    <t>gtcAdmin32</t>
  </si>
  <si>
    <t>Mobitek Waltermart San Jose NE</t>
  </si>
  <si>
    <t>C069</t>
  </si>
  <si>
    <t>gtcAdmin69</t>
  </si>
  <si>
    <t>CAM 2,3 AND 4 NO VIDEO. FOR VISIT ASAP</t>
  </si>
  <si>
    <t>Oppo - Robinsons Tuguegarao</t>
  </si>
  <si>
    <t>C076</t>
  </si>
  <si>
    <t>gtcadmin76</t>
  </si>
  <si>
    <t>NOT YET ADDED TO HIKCONNECT</t>
  </si>
  <si>
    <t>generic</t>
  </si>
  <si>
    <t>gtcadmin54</t>
  </si>
  <si>
    <t>NOT YET ADDED TO HIKCONNECT. FOR VISIT. for replacement DVR</t>
  </si>
  <si>
    <t>gtcAdmin91</t>
  </si>
  <si>
    <t>GUANZON_C091</t>
  </si>
  <si>
    <t>realme4826966477</t>
  </si>
  <si>
    <t>For Installation</t>
  </si>
  <si>
    <t>n/A</t>
  </si>
  <si>
    <t>gtcAdmin75</t>
  </si>
  <si>
    <t>offline dvr to hikconnect and thru lan.. NOT YET ADD TO HIKCONNECT</t>
  </si>
  <si>
    <t>Samsung - SM Cabanatuan</t>
  </si>
  <si>
    <t>C056</t>
  </si>
  <si>
    <t>gtcAdmin56</t>
  </si>
  <si>
    <t>hdd not recording/beeping cctv recorder. DVR and CCTV POwer supply - for replacement</t>
  </si>
  <si>
    <t>Samsung - SM Tarlac</t>
  </si>
  <si>
    <t>C025</t>
  </si>
  <si>
    <t>gtcAdmin25</t>
  </si>
  <si>
    <t>good/online</t>
  </si>
  <si>
    <t>Vivo - SM Cabanatuan</t>
  </si>
  <si>
    <t>C057</t>
  </si>
  <si>
    <t>gtcAdmin57</t>
  </si>
  <si>
    <t>camera 1 and camera 3 - no video. REWIRINGS AND REPLACE CCTV POWER SUPPLY. FOR VISIT</t>
  </si>
  <si>
    <t>AREA 5 (MP)</t>
  </si>
  <si>
    <t>Huawei - Xentro Mall Antipolo</t>
  </si>
  <si>
    <t>C077</t>
  </si>
  <si>
    <t>gtcAdmin77</t>
  </si>
  <si>
    <t>OFFLINE. FOR VISIT</t>
  </si>
  <si>
    <t>Mobitek Robinsons Antipolo</t>
  </si>
  <si>
    <t>C045</t>
  </si>
  <si>
    <t>gtcAdmin45</t>
  </si>
  <si>
    <t>offline. for visit</t>
  </si>
  <si>
    <t>Mobitek Robinsons Galleria</t>
  </si>
  <si>
    <t>C031</t>
  </si>
  <si>
    <t>gtcAdmin31</t>
  </si>
  <si>
    <t>Mobitek SM Baliuag</t>
  </si>
  <si>
    <t>C021</t>
  </si>
  <si>
    <t>gtcAdmin21</t>
  </si>
  <si>
    <t>old dvr for replace</t>
  </si>
  <si>
    <t>Mobitek SM Fairview</t>
  </si>
  <si>
    <t>C028</t>
  </si>
  <si>
    <t>gtcAdmin28</t>
  </si>
  <si>
    <t xml:space="preserve">Good </t>
  </si>
  <si>
    <t>Mobitek SM Marilao</t>
  </si>
  <si>
    <t>C018</t>
  </si>
  <si>
    <t xml:space="preserve">hikvision </t>
  </si>
  <si>
    <t>gtcAdmin18</t>
  </si>
  <si>
    <t>Mobitek SM Novaliches</t>
  </si>
  <si>
    <t>Mobitek SM San Jose Del Monte</t>
  </si>
  <si>
    <t>C060</t>
  </si>
  <si>
    <t>gtcAdmin60</t>
  </si>
  <si>
    <t>NO VIDEO ALL CAMERA. PROBLEM: CCTV POWER SUPPLY</t>
  </si>
  <si>
    <t>Mobitek SM San Mateo</t>
  </si>
  <si>
    <t>C053</t>
  </si>
  <si>
    <t>gtcAdmin53</t>
  </si>
  <si>
    <t>good/online to hikconnect</t>
  </si>
  <si>
    <t>Mobitek SM Valenzuela</t>
  </si>
  <si>
    <t>C016</t>
  </si>
  <si>
    <t>dvr-dvs</t>
  </si>
  <si>
    <t>gtcAdmin16</t>
  </si>
  <si>
    <t>need to replace dvr. can't add to hikconnect. for visit</t>
  </si>
  <si>
    <t>Mobitek StarMall Bulacan</t>
  </si>
  <si>
    <t>C037</t>
  </si>
  <si>
    <t>gtcAdmin37</t>
  </si>
  <si>
    <t>CAMERA 2, 3, AND 4 NO VIDEO.FOR VISIT ASAP</t>
  </si>
  <si>
    <t>Oppo - Metroplaza Caloocan</t>
  </si>
  <si>
    <t>C090</t>
  </si>
  <si>
    <t>gtcAdmin90</t>
  </si>
  <si>
    <t>GUANZON_C090</t>
  </si>
  <si>
    <t>oppo4826966477</t>
  </si>
  <si>
    <t>not yet added to hikconnect</t>
  </si>
  <si>
    <t>OPPO - SM San Mateo</t>
  </si>
  <si>
    <t>C052</t>
  </si>
  <si>
    <t>gtcAdmin52</t>
  </si>
  <si>
    <t>Samsung - Robinsons Antipolo</t>
  </si>
  <si>
    <t>C046</t>
  </si>
  <si>
    <t>gtcadmin46</t>
  </si>
  <si>
    <t>blur in cam 3 and no video cam4. for visit</t>
  </si>
  <si>
    <t>Samsung - SM San Jose Del Monte</t>
  </si>
  <si>
    <t>C061</t>
  </si>
  <si>
    <t>gtcAdmin61</t>
  </si>
  <si>
    <t>192.168.1.100:1945</t>
  </si>
  <si>
    <t>Main 1 (MP)</t>
  </si>
  <si>
    <t>GCO - MP AfterSales WH</t>
  </si>
  <si>
    <t>GCO - MP Old Accessories WH</t>
  </si>
  <si>
    <t>GMO - MP AfterSales WH</t>
  </si>
  <si>
    <t>GMO - MP Warehouse</t>
  </si>
  <si>
    <t>Guanzon Executive</t>
  </si>
  <si>
    <t>Lazada Philippines</t>
  </si>
  <si>
    <t>Main Office</t>
  </si>
  <si>
    <t>2h - Production</t>
  </si>
  <si>
    <t>G44223646123</t>
  </si>
  <si>
    <t>GK WIFI GUESTS</t>
  </si>
  <si>
    <t>voucher password</t>
  </si>
  <si>
    <t>GOOD. ONLINE</t>
  </si>
  <si>
    <t>GMO Wifi</t>
  </si>
  <si>
    <t>GMO48269661945</t>
  </si>
  <si>
    <t>NCR</t>
  </si>
  <si>
    <t>GMC E.Rodriguez - Honda</t>
  </si>
  <si>
    <t>M073</t>
  </si>
  <si>
    <t>Hikvission</t>
  </si>
  <si>
    <t>ggcAdmin73</t>
  </si>
  <si>
    <t>qrty</t>
  </si>
  <si>
    <t>good and online, ISP: Globe</t>
  </si>
  <si>
    <t>yes</t>
  </si>
  <si>
    <t>MCC Caloocan - Honda</t>
  </si>
  <si>
    <t>M103</t>
  </si>
  <si>
    <t>ggcAdmin103</t>
  </si>
  <si>
    <t>CAMERA 6 NO VIDEO @ Service Area</t>
  </si>
  <si>
    <t>qwrty</t>
  </si>
  <si>
    <t>MCC Roosevelt FRISCO - Honda</t>
  </si>
  <si>
    <t>M138</t>
  </si>
  <si>
    <t>ggcAdmin138</t>
  </si>
  <si>
    <t>MCC_GUANZON_M138</t>
  </si>
  <si>
    <t>Yes</t>
  </si>
  <si>
    <t>UEMI Balagtas - Yamaha</t>
  </si>
  <si>
    <t>M078</t>
  </si>
  <si>
    <t>ggcAdmin78</t>
  </si>
  <si>
    <t>defective dvr/ for replace.. For issuance of new DVR</t>
  </si>
  <si>
    <t>AWSFVD</t>
  </si>
  <si>
    <t>UEMI Baliuag - Multi</t>
  </si>
  <si>
    <t>M012</t>
  </si>
  <si>
    <t>ggcAdmin12</t>
  </si>
  <si>
    <t>qwe</t>
  </si>
  <si>
    <t>SNVBHI</t>
  </si>
  <si>
    <t>UEMI Cainta - Yamaha</t>
  </si>
  <si>
    <t>M017</t>
  </si>
  <si>
    <t>ggcAdmin17</t>
  </si>
  <si>
    <t>offline. need to check the pldt port only 1 is working</t>
  </si>
  <si>
    <t>OTPXXH</t>
  </si>
  <si>
    <t>UEMI Malolos - Multi</t>
  </si>
  <si>
    <t>M030</t>
  </si>
  <si>
    <t>ggcAdmin30</t>
  </si>
  <si>
    <t>Offline to hikconnect</t>
  </si>
  <si>
    <t>CHPOTD</t>
  </si>
  <si>
    <t>HIK</t>
  </si>
  <si>
    <t>roosevelt</t>
  </si>
  <si>
    <t>Online ang DVR sa roosevelt except ung GMO Gates CCTV - oflfine</t>
  </si>
  <si>
    <t>UEMI Taytay - Suzuki</t>
  </si>
  <si>
    <t>M026</t>
  </si>
  <si>
    <t>ggcAdmin26</t>
  </si>
  <si>
    <t>qerty</t>
  </si>
  <si>
    <t>fgzugz</t>
  </si>
  <si>
    <t>ggcAdmin34</t>
  </si>
  <si>
    <t>PLDTWifi</t>
  </si>
  <si>
    <t>QHKXTT</t>
  </si>
  <si>
    <t>R1 - A</t>
  </si>
  <si>
    <t>ggcAdmin41</t>
  </si>
  <si>
    <t>offline to hikconnect. can't access thru local ip address</t>
  </si>
  <si>
    <t>EFSLMC</t>
  </si>
  <si>
    <t>--</t>
  </si>
  <si>
    <t>ggcAdmin16</t>
  </si>
  <si>
    <t>vigan44201623646</t>
  </si>
  <si>
    <t>all camera no video. for replacement cctv power supply</t>
  </si>
  <si>
    <t>VEBHRV</t>
  </si>
  <si>
    <t>ggcAdmin31</t>
  </si>
  <si>
    <t>CAMERA 1 AT SERVICE AREA CAMERA BLUR</t>
  </si>
  <si>
    <t>ZRNWTF</t>
  </si>
  <si>
    <t>ggcAdmin24</t>
  </si>
  <si>
    <t>GUANZON44202423646</t>
  </si>
  <si>
    <t>ALL CAMERA NO VIDEO. for visit need to replace cctv power supply</t>
  </si>
  <si>
    <t>XQYQPZ</t>
  </si>
  <si>
    <t>G44223646157</t>
  </si>
  <si>
    <t>GUANZON_M157</t>
  </si>
  <si>
    <t>NO VIDEO CAMERA 4. FOR VISIT</t>
  </si>
  <si>
    <t>ggcAdmin165</t>
  </si>
  <si>
    <t>GUANZON_m165</t>
  </si>
  <si>
    <t>mcc4826966477</t>
  </si>
  <si>
    <t>ggcAdmin36</t>
  </si>
  <si>
    <t>XDZRUT</t>
  </si>
  <si>
    <t>ggcAdmin82</t>
  </si>
  <si>
    <t>need to fix lan cable to dvr internet. offline to hikconnect</t>
  </si>
  <si>
    <t>SEMFAD</t>
  </si>
  <si>
    <t>ggcAdmin104</t>
  </si>
  <si>
    <t>ggcAdmin55</t>
  </si>
  <si>
    <t>offline to hikconnect. for visit</t>
  </si>
  <si>
    <t>FSETPK</t>
  </si>
  <si>
    <t>ggcAdmin72</t>
  </si>
  <si>
    <t>G44207223646</t>
  </si>
  <si>
    <t>FOR VISIT. INSTALL NEW CCTV. NOT YET ADDED TO HIKCONNECT</t>
  </si>
  <si>
    <t>NO CCTV</t>
  </si>
  <si>
    <t>ggcAdmin09</t>
  </si>
  <si>
    <t>CAMERA 1,2 AND 3 NO VIDEO. FOR VISIT.ASAP</t>
  </si>
  <si>
    <t>JVTKIC</t>
  </si>
  <si>
    <t>ggcAdmin56</t>
  </si>
  <si>
    <t>GEFQGU</t>
  </si>
  <si>
    <t>ggcAdmin144</t>
  </si>
  <si>
    <t>ggcAdmin102</t>
  </si>
  <si>
    <t>camera 4 NO VIDEO. FOR VISIT</t>
  </si>
  <si>
    <t>YLYHVG</t>
  </si>
  <si>
    <t>ggcAdmin49</t>
  </si>
  <si>
    <t>no video all camera/ possible defective cctv centralize power supply</t>
  </si>
  <si>
    <t>BVAPZL</t>
  </si>
  <si>
    <t>R1 - B</t>
  </si>
  <si>
    <t>ggcAdmin23</t>
  </si>
  <si>
    <t>JWUUHH</t>
  </si>
  <si>
    <t>ggcAdmin03</t>
  </si>
  <si>
    <t>qwety</t>
  </si>
  <si>
    <t>YXXGQM</t>
  </si>
  <si>
    <t>ggcAdmin08</t>
  </si>
  <si>
    <t>GOOD., ONLINE.. SAME W/ 2H CANDON</t>
  </si>
  <si>
    <t>UKWXXH</t>
  </si>
  <si>
    <t>ggcAdmin15</t>
  </si>
  <si>
    <t>16camera . visited by bernard - ok</t>
  </si>
  <si>
    <t>ggcAdmin94</t>
  </si>
  <si>
    <t>SZXGUU</t>
  </si>
  <si>
    <t>ggcAdmin136</t>
  </si>
  <si>
    <t>ggcAdmin19</t>
  </si>
  <si>
    <t>ALL CAMERA - NO VIDEO. FOR VISIT ASAP</t>
  </si>
  <si>
    <t>HBJVEM</t>
  </si>
  <si>
    <t>ggcAdmin43</t>
  </si>
  <si>
    <t>POBXGE</t>
  </si>
  <si>
    <t>ggcAdmin105</t>
  </si>
  <si>
    <t>need to relocate 1 camera natatakpan na daw according to branch manager</t>
  </si>
  <si>
    <t>For Relocation. no cctv yet. not yet added to hikconnect</t>
  </si>
  <si>
    <t>ggcAdmin149</t>
  </si>
  <si>
    <t>CAMERA 2 and 3 NO VIDEO. For visit</t>
  </si>
  <si>
    <t>ggcAdmin110</t>
  </si>
  <si>
    <t>GUANZON_M110</t>
  </si>
  <si>
    <t>G44211023646@rosario</t>
  </si>
  <si>
    <t>Good and Online</t>
  </si>
  <si>
    <t>YES</t>
  </si>
  <si>
    <t>ggcAdmin96</t>
  </si>
  <si>
    <t>DOANHV</t>
  </si>
  <si>
    <t>R1 - C</t>
  </si>
  <si>
    <t>main</t>
  </si>
  <si>
    <t>ADDED to Main offices hikconnect account</t>
  </si>
  <si>
    <t>ggcAdmin64</t>
  </si>
  <si>
    <t>offline</t>
  </si>
  <si>
    <t>ggcAdmin02</t>
  </si>
  <si>
    <t>good..online</t>
  </si>
  <si>
    <t>MCC Calasiao - Honda</t>
  </si>
  <si>
    <t>M122</t>
  </si>
  <si>
    <t>G44223646122</t>
  </si>
  <si>
    <t>ULFZWZ</t>
  </si>
  <si>
    <t>MCC Dagupan - Honda</t>
  </si>
  <si>
    <t>M028</t>
  </si>
  <si>
    <t>G4422364628</t>
  </si>
  <si>
    <t>GUANZON_M028</t>
  </si>
  <si>
    <t>G44202823646</t>
  </si>
  <si>
    <t>YIARBI</t>
  </si>
  <si>
    <t>G44223646126</t>
  </si>
  <si>
    <t>GUANZON KAWASAKI</t>
  </si>
  <si>
    <t>G44212623646</t>
  </si>
  <si>
    <t>MCC San Fabian - Multi</t>
  </si>
  <si>
    <t>M166</t>
  </si>
  <si>
    <t>ggcAdmin166</t>
  </si>
  <si>
    <t>GUANZON_M166</t>
  </si>
  <si>
    <t>MCC San Jacinto - Multi</t>
  </si>
  <si>
    <t>M164</t>
  </si>
  <si>
    <t>ggcAdmin164</t>
  </si>
  <si>
    <t>GUANZON_M164</t>
  </si>
  <si>
    <t>ALL CAMERA NO VIDEO. FOR VISIT NEED TO REPLACE CCTV POWER SUPPLY</t>
  </si>
  <si>
    <t>ggcAdmin111</t>
  </si>
  <si>
    <t>OFFLINE WALANG INTERNET</t>
  </si>
  <si>
    <t>ggcAdmin80</t>
  </si>
  <si>
    <t>3 camera only</t>
  </si>
  <si>
    <t>YOILBJ</t>
  </si>
  <si>
    <t>UEMI Calasiao - Yamaha</t>
  </si>
  <si>
    <t>M086</t>
  </si>
  <si>
    <t>ggcAdmin86</t>
  </si>
  <si>
    <t>FOR SETUP BY SIR JEFF TO HIKCONNECT</t>
  </si>
  <si>
    <t>ggcAdmin10</t>
  </si>
  <si>
    <t>ok na antenna. update nlng ip address ng dvr</t>
  </si>
  <si>
    <t>CTIOXU</t>
  </si>
  <si>
    <t>UEMI Dagupan - Yamaha</t>
  </si>
  <si>
    <t>M050</t>
  </si>
  <si>
    <t>ggcAdmin50</t>
  </si>
  <si>
    <t>Good..online</t>
  </si>
  <si>
    <t>UEMI Mangaldan - Multi</t>
  </si>
  <si>
    <t>M048</t>
  </si>
  <si>
    <t>ggcAdmin48</t>
  </si>
  <si>
    <t>ggcAdmin156</t>
  </si>
  <si>
    <t>GUANZON SUZUKI</t>
  </si>
  <si>
    <t>suzuki4421562020</t>
  </si>
  <si>
    <t>R1 - D</t>
  </si>
  <si>
    <t>GMC Bayambang - Honda</t>
  </si>
  <si>
    <t>M057</t>
  </si>
  <si>
    <t>ggcAdmin57</t>
  </si>
  <si>
    <t>GMC Manaoag - Honda</t>
  </si>
  <si>
    <t>M059</t>
  </si>
  <si>
    <t>ggcAdmin59</t>
  </si>
  <si>
    <t>GUANZON_M59</t>
  </si>
  <si>
    <t>ggcAdmin38</t>
  </si>
  <si>
    <t>LGK Tayug - Multi</t>
  </si>
  <si>
    <t>M032</t>
  </si>
  <si>
    <t>ggcAdmin32</t>
  </si>
  <si>
    <t>GUANZON_M032</t>
  </si>
  <si>
    <t>G44203223646@tayug</t>
  </si>
  <si>
    <t>pldt modem fiber password: G4826966477@tayug. offline to hikconnect</t>
  </si>
  <si>
    <t>LGK Urdaneta - Honda</t>
  </si>
  <si>
    <t>M005</t>
  </si>
  <si>
    <t>ggcAdmin05</t>
  </si>
  <si>
    <t>G44200523646</t>
  </si>
  <si>
    <t>ALL CAMERA NO VIDEO. for visit</t>
  </si>
  <si>
    <t>MCC Alcala - Honda</t>
  </si>
  <si>
    <t>M145</t>
  </si>
  <si>
    <t>ggcAdmin145</t>
  </si>
  <si>
    <t>MCC Asingan - Multi</t>
  </si>
  <si>
    <t>M150</t>
  </si>
  <si>
    <t>ggcAdmin150</t>
  </si>
  <si>
    <t>MCC Manaoag - Multi</t>
  </si>
  <si>
    <t>M158</t>
  </si>
  <si>
    <t>ggcAdmin158</t>
  </si>
  <si>
    <t>GUANZON_m158</t>
  </si>
  <si>
    <t>MCC San Carlos - Honda</t>
  </si>
  <si>
    <t>M014</t>
  </si>
  <si>
    <t>ggcAdmin14</t>
  </si>
  <si>
    <t>MCC San Carlos - Multi</t>
  </si>
  <si>
    <t>M172</t>
  </si>
  <si>
    <t>ggcAdmin172</t>
  </si>
  <si>
    <t>GUANZON_M172</t>
  </si>
  <si>
    <t>UEMI Alcala - Yamaha</t>
  </si>
  <si>
    <t>M140</t>
  </si>
  <si>
    <t>ggcAdmin140</t>
  </si>
  <si>
    <t>UEMI Bayambang - Yamaha</t>
  </si>
  <si>
    <t>M088</t>
  </si>
  <si>
    <t>ggcAdmin88</t>
  </si>
  <si>
    <t>UEMI Binalonan - Multi</t>
  </si>
  <si>
    <t>M084</t>
  </si>
  <si>
    <t>ggcAdmin84</t>
  </si>
  <si>
    <t>all camera - no video</t>
  </si>
  <si>
    <t>Velasquez, Jayson</t>
  </si>
  <si>
    <t>UEMI Binalonan - Yamaha</t>
  </si>
  <si>
    <t>M107</t>
  </si>
  <si>
    <t>ggcAdmin107</t>
  </si>
  <si>
    <t>PLDTHOMEFIBRGUANZON_M107</t>
  </si>
  <si>
    <t>binalonan4421072020</t>
  </si>
  <si>
    <t>UEMI Carmen - Multi</t>
  </si>
  <si>
    <t>M069</t>
  </si>
  <si>
    <t>ggcAdmin69</t>
  </si>
  <si>
    <t>ggcAdmin53</t>
  </si>
  <si>
    <t>UEMI Pozorrubio - Yamaha</t>
  </si>
  <si>
    <t>M132</t>
  </si>
  <si>
    <t>ggcAdmin132</t>
  </si>
  <si>
    <t>ggcAdmin106</t>
  </si>
  <si>
    <t>UEMI Umingan - Yamaha</t>
  </si>
  <si>
    <t>M163</t>
  </si>
  <si>
    <t>ggcAdmin163</t>
  </si>
  <si>
    <t>GUANZON_M163</t>
  </si>
  <si>
    <t>yamaha4826966477</t>
  </si>
  <si>
    <t>Good. plug and play nlng ang internet.. not yet added to hikconnect</t>
  </si>
  <si>
    <t>ggcAdmin18</t>
  </si>
  <si>
    <t>PLDTMyDSLGUANZON_M018_YAMAHA</t>
  </si>
  <si>
    <t>UEMI Villasis - Yamaha</t>
  </si>
  <si>
    <t>M151</t>
  </si>
  <si>
    <t>ggcAdmin151</t>
  </si>
  <si>
    <t>Need Hub to activate online viewing. not yet added to hikconnect</t>
  </si>
  <si>
    <t>R1 - E</t>
  </si>
  <si>
    <t>ggcAdmin63</t>
  </si>
  <si>
    <t>ggcAdmin35</t>
  </si>
  <si>
    <t>branch to relocate next year/no cctv</t>
  </si>
  <si>
    <t>ggcAdmin07</t>
  </si>
  <si>
    <t>Good and online..visited by bernard 9/29/2020</t>
  </si>
  <si>
    <t>MCC Anda - Multi</t>
  </si>
  <si>
    <t>M154</t>
  </si>
  <si>
    <t>ggcAdmin154</t>
  </si>
  <si>
    <t>GUANZON_M154</t>
  </si>
  <si>
    <t>ggcAdmin146</t>
  </si>
  <si>
    <t>PLDTMyDSLBizGUANZON_M146</t>
  </si>
  <si>
    <t>G44214623646G</t>
  </si>
  <si>
    <t>ggcAdmin120</t>
  </si>
  <si>
    <t>MCC Burgos - Multi</t>
  </si>
  <si>
    <t>M167</t>
  </si>
  <si>
    <t>ggcAdmin167</t>
  </si>
  <si>
    <t>GUANZON_M167</t>
  </si>
  <si>
    <t>ggcAdmin170</t>
  </si>
  <si>
    <t>GUANZON_M170</t>
  </si>
  <si>
    <t>For installation</t>
  </si>
  <si>
    <t>MCC Mangatarem - Honda</t>
  </si>
  <si>
    <t>M133</t>
  </si>
  <si>
    <t>ggcAdmin133</t>
  </si>
  <si>
    <t>UEMI Alaminos - Yamaha</t>
  </si>
  <si>
    <t>M093</t>
  </si>
  <si>
    <t>ggcAdmin93</t>
  </si>
  <si>
    <t>UEMI Binmaley - Yamaha</t>
  </si>
  <si>
    <t>M135</t>
  </si>
  <si>
    <t>ggcAdmin135</t>
  </si>
  <si>
    <t>UEMI Iba ZMB - Multi</t>
  </si>
  <si>
    <t>M083</t>
  </si>
  <si>
    <t>ggcAdmin83</t>
  </si>
  <si>
    <t>all camera - no video. FOR VISIT. NEED TO REPLACE CCTV RECORDER</t>
  </si>
  <si>
    <t>UEMI Lingayen - Yamaha</t>
  </si>
  <si>
    <t>M092</t>
  </si>
  <si>
    <t>ggcAdmin92</t>
  </si>
  <si>
    <t>UEMI Mangatarem - Yamaha</t>
  </si>
  <si>
    <t>M130</t>
  </si>
  <si>
    <t>ggcAdmin130</t>
  </si>
  <si>
    <t>UEMI Sta Cruz ZMB - Multi</t>
  </si>
  <si>
    <t>M079</t>
  </si>
  <si>
    <t>ggcAdmin79</t>
  </si>
  <si>
    <t>R2</t>
  </si>
  <si>
    <t>MCC Alicia - Multi</t>
  </si>
  <si>
    <t>M113</t>
  </si>
  <si>
    <t>ggcAdmin113</t>
  </si>
  <si>
    <t>cant access dvr./..update wifi password..not yet added to hikconnect</t>
  </si>
  <si>
    <t>MCC Cabarroguis - Multi</t>
  </si>
  <si>
    <t>M169</t>
  </si>
  <si>
    <t>ggcAdmin169</t>
  </si>
  <si>
    <t>GUANZON_M169</t>
  </si>
  <si>
    <t>MCC Cordon - Multi</t>
  </si>
  <si>
    <t>M139</t>
  </si>
  <si>
    <t>ggcAdmin139</t>
  </si>
  <si>
    <t>Need to change ip of dvr..not yet added to hikconnect</t>
  </si>
  <si>
    <t>MCC Jones ISA - Multi</t>
  </si>
  <si>
    <t>M160</t>
  </si>
  <si>
    <t>ggcAdmin160</t>
  </si>
  <si>
    <t>GUANZON_M160</t>
  </si>
  <si>
    <t>Napadala na ung cctv kay S' Apjohn. For installation nlng</t>
  </si>
  <si>
    <t>MCC Maddela - Multi</t>
  </si>
  <si>
    <t>MCC San Mateo ISA - Multi</t>
  </si>
  <si>
    <t>M117</t>
  </si>
  <si>
    <t>ggcAdmin117</t>
  </si>
  <si>
    <t>G44223646129</t>
  </si>
  <si>
    <t>PLDTHOMEDSLGUANZON_M129</t>
  </si>
  <si>
    <t>santiago4421292019</t>
  </si>
  <si>
    <t>CAMERA 1 - no video.. MODEM PASSWORD: Guanzon4826966477..online</t>
  </si>
  <si>
    <t>ggcAdmin125</t>
  </si>
  <si>
    <t>cant access dvr..not yet added to hikconnect</t>
  </si>
  <si>
    <t>ggcAdmin51</t>
  </si>
  <si>
    <t>GUANZON_M051</t>
  </si>
  <si>
    <t>UEMI Roxas ISA - Multi</t>
  </si>
  <si>
    <t>M109</t>
  </si>
  <si>
    <t>ggcAdmin109</t>
  </si>
  <si>
    <t>ggcAdmin61</t>
  </si>
  <si>
    <t>GXEIJA</t>
  </si>
  <si>
    <t>UEMI Solano - Multi</t>
  </si>
  <si>
    <t>M052</t>
  </si>
  <si>
    <t>ggcAdmin52</t>
  </si>
  <si>
    <t>ggcAmin71</t>
  </si>
  <si>
    <t>Good.</t>
  </si>
  <si>
    <t>UEMI Tuguegarao - Yamaha</t>
  </si>
  <si>
    <t>M095</t>
  </si>
  <si>
    <t>ggcAdmin95</t>
  </si>
  <si>
    <t>Cam 2 Loss..offline to hikconnect</t>
  </si>
  <si>
    <t>UEMI Tumauini - Multi</t>
  </si>
  <si>
    <t>M100</t>
  </si>
  <si>
    <t>ggcAdmin100</t>
  </si>
  <si>
    <t>R3 - A</t>
  </si>
  <si>
    <t>GMC Paniqui - Honda</t>
  </si>
  <si>
    <t>M025</t>
  </si>
  <si>
    <t>ggcAdmin25</t>
  </si>
  <si>
    <t>cant access dvr.. offline to hikconnect</t>
  </si>
  <si>
    <t>GMC Sta. Ignacia - Honda</t>
  </si>
  <si>
    <t>M058</t>
  </si>
  <si>
    <t>ggcAdmin58</t>
  </si>
  <si>
    <t>MCC Camiling - Multi</t>
  </si>
  <si>
    <t>M114</t>
  </si>
  <si>
    <t>ggcAdmin114</t>
  </si>
  <si>
    <t>CAN'T ACCESS THRU IP ADDRESS. OFFLINE TO HIKCONNECT</t>
  </si>
  <si>
    <t>ggcAdmin171</t>
  </si>
  <si>
    <t>GUANZON_M171</t>
  </si>
  <si>
    <t>MCC Sta. Ignacia - Multi</t>
  </si>
  <si>
    <t>M155</t>
  </si>
  <si>
    <t>ggcAdmin155</t>
  </si>
  <si>
    <t>GUANZON_M155</t>
  </si>
  <si>
    <t>UEMI Capas - Multi</t>
  </si>
  <si>
    <t>M022</t>
  </si>
  <si>
    <t>ggcAdmin22</t>
  </si>
  <si>
    <t>ggcAdmin68</t>
  </si>
  <si>
    <t>UEMI Tarlac - Suzuki</t>
  </si>
  <si>
    <t>M148</t>
  </si>
  <si>
    <t>ggcAdmin148</t>
  </si>
  <si>
    <t>UEMI Tarlac - Yamaha</t>
  </si>
  <si>
    <t>M021</t>
  </si>
  <si>
    <t>ggcAdmin21</t>
  </si>
  <si>
    <t>offline to hikconnect.. for visit</t>
  </si>
  <si>
    <t>YRHIJC</t>
  </si>
  <si>
    <t>UEMI Victoria - Yamaha</t>
  </si>
  <si>
    <t>M128</t>
  </si>
  <si>
    <t>ggcAdmin128</t>
  </si>
  <si>
    <t>OFFLINE TO HIKCONNECT.. for visit</t>
  </si>
  <si>
    <t>R3 - B</t>
  </si>
  <si>
    <t>ggcAdmin162</t>
  </si>
  <si>
    <t>GUANZON_M162</t>
  </si>
  <si>
    <t>For installation. napadala na kay sir David ung cctv</t>
  </si>
  <si>
    <t>MCC Zaragoza - Multi</t>
  </si>
  <si>
    <t>M131</t>
  </si>
  <si>
    <t>ggcAdmin131</t>
  </si>
  <si>
    <t>UEMI Cabanatuan - Multi</t>
  </si>
  <si>
    <t>M004</t>
  </si>
  <si>
    <t>ggcAdmin04</t>
  </si>
  <si>
    <t>GUANZON_M004</t>
  </si>
  <si>
    <t>cabanatuan4420042019</t>
  </si>
  <si>
    <t>naputol daw lan cable / need to replace..modem password: pldt4826966477..offfline to hikconnect</t>
  </si>
  <si>
    <t>UEMI Gapan - Multi</t>
  </si>
  <si>
    <t>M037</t>
  </si>
  <si>
    <t>ggcAdmin37</t>
  </si>
  <si>
    <t>UEMI Guimba - Multi</t>
  </si>
  <si>
    <t>M076</t>
  </si>
  <si>
    <t>ggcAdmin76</t>
  </si>
  <si>
    <t>UEMI San Jose NUE - Multi</t>
  </si>
  <si>
    <t>M062</t>
  </si>
  <si>
    <t>ggcAdmin62</t>
  </si>
  <si>
    <t>R3 - C</t>
  </si>
  <si>
    <t>GMC Olongapo - Honda</t>
  </si>
  <si>
    <t>M013</t>
  </si>
  <si>
    <t>ggcAdmin13</t>
  </si>
  <si>
    <t>CAMERA 4. NO VIDEO</t>
  </si>
  <si>
    <t>IIERDL</t>
  </si>
  <si>
    <t>GMC Orani - Honda</t>
  </si>
  <si>
    <t>M101</t>
  </si>
  <si>
    <t>ggcAdmin101</t>
  </si>
  <si>
    <t>CAMERA 3 NO VIDEO. HDD NOT DETECTED.. CCTV not recording</t>
  </si>
  <si>
    <t>MCC Balanga - Kawasaki</t>
  </si>
  <si>
    <t>M152</t>
  </si>
  <si>
    <t>ggcAdmin152</t>
  </si>
  <si>
    <t>BKCCZH</t>
  </si>
  <si>
    <t>ggcAdmin134</t>
  </si>
  <si>
    <t>for visit. need to fix wirings</t>
  </si>
  <si>
    <t>ggcAdmin112</t>
  </si>
  <si>
    <t>DVR NOT RECORDING..hdd failure</t>
  </si>
  <si>
    <t>HZVFJO</t>
  </si>
  <si>
    <t>ggcAdmin11</t>
  </si>
  <si>
    <t>cant access dvr..offline to hikconnect</t>
  </si>
  <si>
    <t xml:space="preserve">AHLFZU </t>
  </si>
  <si>
    <t>UEMI Balanga - Yamaha</t>
  </si>
  <si>
    <t>M077</t>
  </si>
  <si>
    <t>ggcAdmin77</t>
  </si>
  <si>
    <t xml:space="preserve">QZBLLN </t>
  </si>
  <si>
    <t>UEMI Dau - 2H</t>
  </si>
  <si>
    <t>M085</t>
  </si>
  <si>
    <t>no cctv, for installation</t>
  </si>
  <si>
    <t>UEMI Floridablanca - YAMAHA</t>
  </si>
  <si>
    <t>M124</t>
  </si>
  <si>
    <t>ggcAdmin124</t>
  </si>
  <si>
    <t>UEMI Lubao - Multi</t>
  </si>
  <si>
    <t>M070</t>
  </si>
  <si>
    <t>ggcAdmin70</t>
  </si>
  <si>
    <t>cant access dvr/need to rewire lan cable to dvr</t>
  </si>
  <si>
    <t>PBSILA</t>
  </si>
  <si>
    <t>M143190012</t>
  </si>
  <si>
    <t>ggcAdmin60</t>
  </si>
  <si>
    <t>FPBFUS</t>
  </si>
  <si>
    <t>UEMI San Fernando PAM - Multi</t>
  </si>
  <si>
    <t>M066</t>
  </si>
  <si>
    <t>ggcAdmin66</t>
  </si>
  <si>
    <t>MFZROB</t>
  </si>
  <si>
    <t>UEMI San Fernando PAM - YAMAHA</t>
  </si>
  <si>
    <t>M045</t>
  </si>
  <si>
    <t>ggcAdmin45</t>
  </si>
  <si>
    <t>VRPUEK</t>
  </si>
  <si>
    <t>UEMI Subic - Yamaha</t>
  </si>
  <si>
    <t>M116</t>
  </si>
  <si>
    <t>ggcAdmin</t>
  </si>
  <si>
    <t>RJZWHA</t>
  </si>
  <si>
    <t>R4 - A</t>
  </si>
  <si>
    <t>MCC Naic - Multi</t>
  </si>
  <si>
    <t>M115</t>
  </si>
  <si>
    <t>ggcAdmin115</t>
  </si>
  <si>
    <t>GUANZON_M115</t>
  </si>
  <si>
    <t>naic44211523646mcc</t>
  </si>
  <si>
    <t>MCC Tanza - Multi</t>
  </si>
  <si>
    <t>M153</t>
  </si>
  <si>
    <t>G44223646153</t>
  </si>
  <si>
    <t>GUANZON_M153</t>
  </si>
  <si>
    <t>tanza4421532020</t>
  </si>
  <si>
    <t>good. visited by bernard 1/29/2020..online</t>
  </si>
  <si>
    <t>UEMI Alabang - Multi</t>
  </si>
  <si>
    <t>M040</t>
  </si>
  <si>
    <t>ggcAdmin40</t>
  </si>
  <si>
    <t>CAMERA 3 AND 4 NO VIDEO..OUTSIDE AND SERVICE AREA NABABASA NG ULAN</t>
  </si>
  <si>
    <t>CAMERA 1..no video..offline to hikconnect</t>
  </si>
  <si>
    <t>UEMI Carmona - Multi</t>
  </si>
  <si>
    <t>M039</t>
  </si>
  <si>
    <t>ggcAdmin39</t>
  </si>
  <si>
    <t>CAMERA 3..NO VIDEO.</t>
  </si>
  <si>
    <t>UEMI Imus - Multi</t>
  </si>
  <si>
    <t>M075</t>
  </si>
  <si>
    <t>ggcAdmin75</t>
  </si>
  <si>
    <t>Cant access dvr..OFFLINE TO HIKCONNECT</t>
  </si>
  <si>
    <t>UEMI Makati - Multi</t>
  </si>
  <si>
    <t>M054</t>
  </si>
  <si>
    <t>ggcAdmin54</t>
  </si>
  <si>
    <t xml:space="preserve">OFFLINE TO HIKCONNECT. </t>
  </si>
  <si>
    <t>YPPIXC</t>
  </si>
  <si>
    <t>UEMI Naic - Yamaha</t>
  </si>
  <si>
    <t>M091</t>
  </si>
  <si>
    <t>ggcAdmin91</t>
  </si>
  <si>
    <t>CAMERA 1 NO VIDEO...offline to hikconnect</t>
  </si>
  <si>
    <t>UEMI San Pablo - Yamaha</t>
  </si>
  <si>
    <t>M121</t>
  </si>
  <si>
    <t>ggcAdmin121</t>
  </si>
  <si>
    <t>UEMI Sta Cruz LAG - Multi</t>
  </si>
  <si>
    <t>M046</t>
  </si>
  <si>
    <t>ggcAdmin46</t>
  </si>
  <si>
    <t>OFFLINE DVR. FOR VISIT</t>
  </si>
  <si>
    <t>UEMI Sta. Rosa - Multi</t>
  </si>
  <si>
    <t>M081</t>
  </si>
  <si>
    <t>ggcAdmin81</t>
  </si>
  <si>
    <t>URGENT FOR VISIT REQUEST BY TONY CABALLERO..OFFLINE TO HIKCONNECT</t>
  </si>
  <si>
    <t>R4 - B</t>
  </si>
  <si>
    <t>ggcAdmin127</t>
  </si>
  <si>
    <t>UEMI Brooke's Point - Multi</t>
  </si>
  <si>
    <t>M099</t>
  </si>
  <si>
    <t>ggcAdmin99</t>
  </si>
  <si>
    <t>dvr no isp/ broadband connection only</t>
  </si>
  <si>
    <t>UEMI Narra PLW - Yamaha</t>
  </si>
  <si>
    <t>M090</t>
  </si>
  <si>
    <t>ggcAdmin90</t>
  </si>
  <si>
    <t>R5</t>
  </si>
  <si>
    <t>MCC Daet - Multi</t>
  </si>
  <si>
    <t>M143</t>
  </si>
  <si>
    <t>gtcAdmin143</t>
  </si>
  <si>
    <t>MCC Legaspi - Multi</t>
  </si>
  <si>
    <t>M168</t>
  </si>
  <si>
    <t>ggcAdmin168</t>
  </si>
  <si>
    <t>GUANZON_M168</t>
  </si>
  <si>
    <t>For installation and for issuance of CCTV</t>
  </si>
  <si>
    <t>R6</t>
  </si>
  <si>
    <t>LGK Iloilo - Honda</t>
  </si>
  <si>
    <t>M074</t>
  </si>
  <si>
    <t>ggcAdmin74</t>
  </si>
  <si>
    <t>ggcAdmin119</t>
  </si>
  <si>
    <t>ALL CAMERA VIDEO LOSS.. FOR REPLACEMENT CCTV POWER SUPPLY</t>
  </si>
  <si>
    <t>ZCHHVA</t>
  </si>
  <si>
    <t>MCC Cabatuan - Multi</t>
  </si>
  <si>
    <t>M137</t>
  </si>
  <si>
    <t>ggcAdmin137</t>
  </si>
  <si>
    <t>ggcAdmin123</t>
  </si>
  <si>
    <t>CAMERA 4.. BLUR.. NEED TO CHECK CAMERA AND VIDEO BALUN</t>
  </si>
  <si>
    <t>OULDYS</t>
  </si>
  <si>
    <t>MCC Roxas CAP - Kawasaki</t>
  </si>
  <si>
    <t>M147</t>
  </si>
  <si>
    <t>ggcAdmin147</t>
  </si>
  <si>
    <t>qwty</t>
  </si>
  <si>
    <t>CAMERA 3. NO VIDEO</t>
  </si>
  <si>
    <t>ggcAdmin87</t>
  </si>
  <si>
    <t>UEMI Iloilo - Yamaha</t>
  </si>
  <si>
    <t>M042</t>
  </si>
  <si>
    <t>ggcAdmin42</t>
  </si>
  <si>
    <t>ALL CAMERA - NO VIDEO..FOR VISIT. NEED TO REPLACE CCTV POWER SUPPLY</t>
  </si>
  <si>
    <t>UEMI Mambusao - Multi</t>
  </si>
  <si>
    <t>M108</t>
  </si>
  <si>
    <t>ggcAdmin108</t>
  </si>
  <si>
    <t>UEMI Passi - Multi</t>
  </si>
  <si>
    <t>M097</t>
  </si>
  <si>
    <t>ggcAdmin97</t>
  </si>
  <si>
    <t>UEMI Roxas CAP - Multi</t>
  </si>
  <si>
    <t>M089</t>
  </si>
  <si>
    <t>ggcAdmin89</t>
  </si>
  <si>
    <t>HINDI PA NAKAINSTALL ANG CCTV RECORDER..FOR VISIT</t>
  </si>
  <si>
    <t>UEMI San Jose ANT - Multi</t>
  </si>
  <si>
    <t>M098</t>
  </si>
  <si>
    <t>ggcAdmin98</t>
  </si>
  <si>
    <t>R7</t>
  </si>
  <si>
    <t>MCC Carmen - Multi</t>
  </si>
  <si>
    <t>M159</t>
  </si>
  <si>
    <t>ggcAdmin159</t>
  </si>
  <si>
    <t>GUANZON_M159</t>
  </si>
  <si>
    <t>MCC Inabanga - Multi</t>
  </si>
  <si>
    <t>M161</t>
  </si>
  <si>
    <t>ggcAdmin161</t>
  </si>
  <si>
    <t>GUANZON_M161</t>
  </si>
  <si>
    <t>Need to make lan connection going to modem. c/o sir sidney</t>
  </si>
  <si>
    <t>MCC Tagbilaran - Multi</t>
  </si>
  <si>
    <t>M118</t>
  </si>
  <si>
    <t>ggcAdmin118</t>
  </si>
  <si>
    <t>ggcAdmin141</t>
  </si>
  <si>
    <t>offline to hikconnect. weak isp connection</t>
  </si>
  <si>
    <t>MCC Tubigon - Multi</t>
  </si>
  <si>
    <t>M142</t>
  </si>
  <si>
    <t>ggcAdmin142</t>
  </si>
  <si>
    <t>Warehouse (MC)</t>
  </si>
  <si>
    <t>Baler Warehouse</t>
  </si>
  <si>
    <t>M0W5</t>
  </si>
  <si>
    <t>GUANZON_M0W5</t>
  </si>
  <si>
    <t>baler4826966477</t>
  </si>
  <si>
    <t>GMC Anolid Warehouse</t>
  </si>
  <si>
    <t>GMC Spareparts Warehouse</t>
  </si>
  <si>
    <t>GMO - MC Warehouse</t>
  </si>
  <si>
    <t>San Antonio Warehouse</t>
  </si>
  <si>
    <t>NOT YET ADDED</t>
  </si>
  <si>
    <t>MONITORED</t>
  </si>
  <si>
    <t>NOT MONITORED</t>
  </si>
  <si>
    <t>Count of sBranchNm</t>
  </si>
  <si>
    <t>CCTV Monitoring for the month of November</t>
  </si>
  <si>
    <t>CCTV Monitoring for HIK Connect the month of November</t>
  </si>
  <si>
    <t>STATUS2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</si>
</sst>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  <xf numFmtId="0" fontId="0" fillId="0" borderId="0" xfId="0" pivotButton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" fontId="0" fillId="0" borderId="1" xfId="0" applyNumberFormat="1" applyBorder="1"/>
    <xf numFmtId="1" fontId="0" fillId="0" borderId="0" xfId="0" applyNumberFormat="1"/>
    <xf numFmtId="0" fontId="1" fillId="0" borderId="1" xfId="0" applyFont="1" applyBorder="1"/>
    <xf numFmtId="0" fontId="1" fillId="0" borderId="1" xfId="0" applyNumberFormat="1" applyFont="1" applyBorder="1"/>
    <xf numFmtId="0" fontId="0" fillId="0" borderId="0" xfId="0" pivotButton="1"/>
    <xf numFmtId="0" fontId="0" fillId="0" borderId="1" xfId="0" pivotButton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NumberFormat="1" applyFont="1" applyBorder="1"/>
    <xf numFmtId="0" fontId="0" fillId="0" borderId="1" xfId="0" applyNumberFormat="1" applyBorder="1"/>
    <xf numFmtId="0" fontId="2" fillId="0" borderId="0" xfId="0" applyFont="1"/>
    <xf numFmtId="0" fontId="2" fillId="0" borderId="1" xfId="0" applyNumberFormat="1" applyFont="1" applyBorder="1"/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1" xfId="0" pivotButton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NumberFormat="1" applyFont="1" applyBorder="1"/>
    <xf numFmtId="0" fontId="0" fillId="0" borderId="1" xfId="0" applyNumberFormat="1" applyBorder="1"/>
    <xf numFmtId="0" fontId="2" fillId="0" borderId="0" xfId="0" applyFont="1"/>
    <xf numFmtId="0" fontId="2" fillId="0" borderId="0" xfId="0" applyFont="1" applyFill="1" applyBorder="1" applyAlignment="1">
      <alignment horizontal="left"/>
    </xf>
    <xf numFmtId="0" fontId="0" fillId="0" borderId="0" xfId="0" applyBorder="1"/>
    <xf numFmtId="0" fontId="0" fillId="0" borderId="0" xfId="0" applyNumberFormat="1" applyBorder="1"/>
    <xf numFmtId="0" fontId="1" fillId="0" borderId="0" xfId="0" applyNumberFormat="1" applyFont="1" applyBorder="1"/>
  </cellXfs>
  <cellStyles count="1">
    <cellStyle name="Normal" xfId="0" builtinId="0"/>
  </cellStyles>
  <dxfs count="49">
    <dxf>
      <numFmt numFmtId="27" formatCode="m/d/yyyy\ h:mm"/>
    </dxf>
    <dxf>
      <numFmt numFmtId="19" formatCode="m/d/yyyy"/>
    </dxf>
    <dxf>
      <numFmt numFmtId="19" formatCode="m/d/yyyy"/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eryl" refreshedDate="44166.511758333334" createdVersion="4" refreshedVersion="4" minRefreshableVersion="3" recordCount="439">
  <cacheSource type="worksheet">
    <worksheetSource ref="A1:V440" sheet="JO"/>
  </cacheSource>
  <cacheFields count="22">
    <cacheField name="sBranchNm" numFmtId="0">
      <sharedItems/>
    </cacheField>
    <cacheField name="JO Status" numFmtId="0">
      <sharedItems/>
    </cacheField>
    <cacheField name="Status" numFmtId="0">
      <sharedItems count="2">
        <s v="POSTED"/>
        <s v="OPEN"/>
      </sharedItems>
    </cacheField>
    <cacheField name="sTransNox" numFmtId="0">
      <sharedItems/>
    </cacheField>
    <cacheField name="dTransact" numFmtId="14">
      <sharedItems containsSemiMixedTypes="0" containsNonDate="0" containsDate="1" containsString="0" minDate="2020-11-01T00:00:00" maxDate="2020-12-01T00:00:00"/>
    </cacheField>
    <cacheField name="sBranchCd" numFmtId="0">
      <sharedItems/>
    </cacheField>
    <cacheField name="sRequestX" numFmtId="0">
      <sharedItems/>
    </cacheField>
    <cacheField name="sDiagnose" numFmtId="0">
      <sharedItems containsBlank="1"/>
    </cacheField>
    <cacheField name="sJOTypexx" numFmtId="0">
      <sharedItems containsBlank="1" count="8">
        <s v="REPAIR"/>
        <s v="Others"/>
        <s v="SUPPORT ASSISTANCE(ACCESS, CALLS..)"/>
        <s v="MAINTENANCE"/>
        <s v="INSTALLATION &amp; CONFIGURATION"/>
        <s v="REPLACEMENT"/>
        <m/>
        <s v="TROUBLESHOOT"/>
      </sharedItems>
    </cacheField>
    <cacheField name="sCategory" numFmtId="0">
      <sharedItems containsBlank="1" count="10">
        <s v="SYSTEM UNIT"/>
        <s v="Others"/>
        <s v="PRINTER"/>
        <s v="OTHER PERIPHERAL DEVICES"/>
        <s v="CCTV"/>
        <s v="TECHNICAL SUPPORT"/>
        <s v="GPS"/>
        <s v="ISP CONCERN"/>
        <s v="NETWORK"/>
        <m/>
      </sharedItems>
    </cacheField>
    <cacheField name="cServerPC" numFmtId="0">
      <sharedItems containsSemiMixedTypes="0" containsString="0" containsNumber="1" containsInteger="1" minValue="0" maxValue="1"/>
    </cacheField>
    <cacheField name="sProblemx" numFmtId="0">
      <sharedItems containsNonDate="0" containsString="0" containsBlank="1"/>
    </cacheField>
    <cacheField name="sRemarksx" numFmtId="0">
      <sharedItems containsBlank="1"/>
    </cacheField>
    <cacheField name="sRqstdIDx" numFmtId="0">
      <sharedItems containsBlank="1"/>
    </cacheField>
    <cacheField name="sSupprtBy" numFmtId="0">
      <sharedItems containsBlank="1"/>
    </cacheField>
    <cacheField name="dPostedxx" numFmtId="14">
      <sharedItems containsSemiMixedTypes="0" containsNonDate="0" containsDate="1" containsString="0" minDate="2020-11-02T00:00:00" maxDate="2020-12-02T00:00:00"/>
    </cacheField>
    <cacheField name="ACTUAL STATUS" numFmtId="1">
      <sharedItems/>
    </cacheField>
    <cacheField name="ACTUAL STATUS no formula" numFmtId="1">
      <sharedItems count="2">
        <s v="SUPPORTED WITHIN 2DAYS"/>
        <s v="NOT SUPPORTED WITHIN 2DAYS"/>
      </sharedItems>
    </cacheField>
    <cacheField name="STATUS2" numFmtId="0">
      <sharedItems containsSemiMixedTypes="0" containsString="0" containsNumber="1" containsInteger="1" minValue="0" maxValue="4"/>
    </cacheField>
    <cacheField name="sModified" numFmtId="0">
      <sharedItems/>
    </cacheField>
    <cacheField name="Encoder" numFmtId="0">
      <sharedItems count="4">
        <s v="Trinidad, Jan Carlo Aquino"/>
        <s v="Macarling, Federico Jr Romano"/>
        <s v="Cuison, Bernard Ramos"/>
        <s v="Velasquez, Jayson Alon"/>
      </sharedItems>
    </cacheField>
    <cacheField name="dModified" numFmtId="22">
      <sharedItems containsSemiMixedTypes="0" containsNonDate="0" containsDate="1" containsString="0" minDate="2020-11-02T09:19:55" maxDate="2020-11-30T14:50: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eryl" refreshedDate="44166.527282291667" createdVersion="4" refreshedVersion="4" minRefreshableVersion="3" recordCount="273">
  <cacheSource type="worksheet">
    <worksheetSource ref="A1:T274" sheet="CCTV"/>
  </cacheSource>
  <cacheFields count="20">
    <cacheField name="sAreaDesc" numFmtId="0">
      <sharedItems count="23">
        <s v="Area 1 (MP)"/>
        <s v="Area 2 (MP)"/>
        <s v="Area 3 (MP)"/>
        <s v="Area 4 (MP)"/>
        <s v="AREA 5 (MP)"/>
        <s v="Main 1 (MP)"/>
        <s v="Main Office"/>
        <s v="NCR"/>
        <s v="R1 - A"/>
        <s v="R1 - B"/>
        <s v="R1 - C"/>
        <s v="R1 - D"/>
        <s v="R1 - E"/>
        <s v="R2"/>
        <s v="R3 - A"/>
        <s v="R3 - B"/>
        <s v="R3 - C"/>
        <s v="R4 - A"/>
        <s v="R4 - B"/>
        <s v="R5"/>
        <s v="R6"/>
        <s v="R7"/>
        <s v="Warehouse (MC)"/>
      </sharedItems>
    </cacheField>
    <cacheField name="sBranchNm" numFmtId="0">
      <sharedItems count="273">
        <s v="Huawei - SM Baguio"/>
        <s v="Huawei - SM Center Dagupan"/>
        <s v="Mobitek City Mall"/>
        <s v="Mobitek JTC Tagudin"/>
        <s v="Mobitek Metroplaza"/>
        <s v="Mobitek Nepo Mall Dagupan"/>
        <s v="Mobitek Perez"/>
        <s v="Mobitek SM Center Dagupan"/>
        <s v="Mobitek Stern Mall Candon"/>
        <s v="Mobitek Vigan"/>
        <s v="Mobitek Xentro Mall Vigan"/>
        <s v="OPPO - Xentro Mall Vigan"/>
        <s v="Samsung - Nepo Mall Dagupan"/>
        <s v="Samsung - SM Center Dagupan"/>
        <s v="Samsung - Vigan"/>
        <s v="Huawei - Magic Mall 2 San Carlos"/>
        <s v="Huawei - Robinson Calasiao"/>
        <s v="Mobitek - Magic Urdaneta - Annex"/>
        <s v="Mobitek Magic Mall 2 San Carlos"/>
        <s v="Mobitek Magic San Carlos"/>
        <s v="Mobitek Magic Tayug"/>
        <s v="Mobitek Magic Urdaneta"/>
        <s v="Mobitek Robinson Calasiao"/>
        <s v="Mobitek Royal Mall Bayambang"/>
        <s v="Mobitek San Carlos Town Center"/>
        <s v="Mobitek SM Rosales"/>
        <s v="Oppo - Magic Urdaneta - Annex"/>
        <s v="OPPO - Robinsons Calasiao"/>
        <s v="Oppo - SM Urdaneta"/>
        <s v="RealMe - Magic Urdaneta - Annex"/>
        <s v="Samsung - Magic Mall 2 San Carlos"/>
        <s v="Samsung - Magic Urdaneta - Annex"/>
        <s v="Samsung - Robinson Calasiao"/>
        <s v="Samsung - SM Rosales"/>
        <s v="Samsung - SM Urdaneta"/>
        <s v="Vivo - SM Urdaneta"/>
        <s v="Huawei - Iba Town Center"/>
        <s v="Mobitek City Mall Dau"/>
        <s v="Mobitek Iba Town Center"/>
        <s v="Mobitek Lingayen"/>
        <s v="Mobitek Magic Mangatarem"/>
        <s v="Mobitek Magic Sta. Cruz"/>
        <s v="Mobitek Nepo Mart Alaminos"/>
        <s v="Mobitek SM Olongapo"/>
        <s v="Mobitek Vistamall Balanga"/>
        <s v="OPPO - City Mall Dau"/>
        <s v="Samsung - SM Telabastagan"/>
        <s v="Vivo - Magic Mangatarem"/>
        <s v="Huawei - Robinsons Santiago"/>
        <s v="Huawei - SM Tarlac"/>
        <s v="HUAWEI - Waltermart Gapan"/>
        <s v="Mobitek - SM Megacenter Cabanatuan"/>
        <s v="Mobitek Magic San Jose NE"/>
        <s v="Mobitek NE Pacific Mall"/>
        <s v="Mobitek Robinsons Santiago"/>
        <s v="Mobitek Robinsons Tuguegarao"/>
        <s v="Mobitek SM Cabanatuan"/>
        <s v="Mobitek SM Cauayan"/>
        <s v="Mobitek SM Tarlac"/>
        <s v="Mobitek SM Tuguegarao"/>
        <s v="Mobitek Waltermart Gapan"/>
        <s v="Mobitek Waltermart San Jose NE"/>
        <s v="Oppo - Robinsons Tuguegarao"/>
        <s v="OPPO - Waltermart Gapan"/>
        <s v="Realme - SM Megacenter Cabanatuan"/>
        <s v="Samsung - Robinsons Tuguegarao"/>
        <s v="Samsung - SM Cabanatuan"/>
        <s v="Samsung - SM Tarlac"/>
        <s v="Vivo - SM Cabanatuan"/>
        <s v="Huawei - Xentro Mall Antipolo"/>
        <s v="Mobitek Robinsons Antipolo"/>
        <s v="Mobitek Robinsons Galleria"/>
        <s v="Mobitek SM Baliuag"/>
        <s v="Mobitek SM Fairview"/>
        <s v="Mobitek SM Marilao"/>
        <s v="Mobitek SM Novaliches"/>
        <s v="Mobitek SM San Jose Del Monte"/>
        <s v="Mobitek SM San Mateo"/>
        <s v="Mobitek SM Valenzuela"/>
        <s v="Mobitek StarMall Bulacan"/>
        <s v="Oppo - Metroplaza Caloocan"/>
        <s v="OPPO - SM San Mateo"/>
        <s v="Samsung - Robinsons Antipolo"/>
        <s v="Samsung - SM San Jose Del Monte"/>
        <s v="GCO - MP AfterSales WH"/>
        <s v="GCO - MP Old Accessories WH"/>
        <s v="GCO - MP Warehouse"/>
        <s v="GMO - MP AfterSales WH"/>
        <s v="GMO - MP Warehouse"/>
        <s v="Guanzon Executive"/>
        <s v="Lazada Philippines"/>
        <s v="2h - Production"/>
        <s v="Guan Kai Office"/>
        <s v="Guanzon Central Office"/>
        <s v="Guanzon Manila Office"/>
        <s v="GMC E.Rodriguez - Honda"/>
        <s v="MCC Caloocan - Honda"/>
        <s v="MCC Marilao - Honda"/>
        <s v="MCC Roosevelt FRISCO - Honda"/>
        <s v="UEMI Balagtas - Yamaha"/>
        <s v="UEMI Baliuag - Multi"/>
        <s v="UEMI Cainta - Yamaha"/>
        <s v="UEMI Malolos - Multi"/>
        <s v="UEMI Roosevelt - Suzuki"/>
        <s v="UEMI Taytay - Suzuki"/>
        <s v="UEMI Valenzuela - Multi"/>
        <s v="GMC Pasuquin - Multi"/>
        <s v="GMC Vigan - Honda"/>
        <s v="LGK San Nicolas - Honda"/>
        <s v="MCC Batac - Honda"/>
        <s v="MCC Sinait - Multi"/>
        <s v="MCC Sto. Domingo - Multi"/>
        <s v="UEMI Bangued - Multi"/>
        <s v="UEMI Bangued - Yamaha"/>
        <s v="UEMI Batac - Yamaha"/>
        <s v="UEMI Cabugao - Multi"/>
        <s v="UEMI Dingras - Multi"/>
        <s v="UEMI Laoag - Multi"/>
        <s v="UEMI Laoag - Yamaha"/>
        <s v="UEMI San Nicolas - Yamaha"/>
        <s v="UEMI Vigan - 2H"/>
        <s v="UEMI Vigan - Multi"/>
        <s v="GMC Agoo - Honda"/>
        <s v="GMC Baguio - Multi"/>
        <s v="GMC San Fernando LUN - Honda"/>
        <s v="LGK Candon - Honda"/>
        <s v="MCC Baguio - Honda"/>
        <s v="MCC Tagudin - Honda"/>
        <s v="UEMI Agoo - Yamaha"/>
        <s v="UEMI Bacnotan - Multi"/>
        <s v="UEMI Candon - Multi"/>
        <s v="UEMI La Trinidad - Yamaha"/>
        <s v="UEMI Narvacan - Multi"/>
        <s v="UEMI Narvacan - Yamaha"/>
        <s v="UEMI Rosario LU - Multi"/>
        <s v="UEMI San Fernando LUN - Yamaha"/>
        <s v="GMC Dagupan - Honda"/>
        <s v="GMC San Fabian - Honda"/>
        <s v="LGK Dagupan - Multi"/>
        <s v="MCC Calasiao - Honda"/>
        <s v="MCC Dagupan - Honda"/>
        <s v="MCC Dagupan - Kawasaki"/>
        <s v="MCC San Fabian - Multi"/>
        <s v="MCC San Jacinto - Multi"/>
        <s v="MCC Sta. Barbara- Honda"/>
        <s v="UEMI Calasiao - Multi"/>
        <s v="UEMI Calasiao - Yamaha"/>
        <s v="UEMI Dagupan - Suzuki"/>
        <s v="UEMI Dagupan - Yamaha"/>
        <s v="UEMI Mangaldan - Multi"/>
        <s v="UEMI Mangaldan - Suzuki"/>
        <s v="UEMI San Fabian - Yamaha"/>
        <s v="GMC Bayambang - Honda"/>
        <s v="GMC Manaoag - Honda"/>
        <s v="LGK Pozorrubio - Honda"/>
        <s v="LGK Tayug - Multi"/>
        <s v="LGK Urdaneta - Honda"/>
        <s v="MCC Alcala - Honda"/>
        <s v="MCC Asingan - Multi"/>
        <s v="MCC Manaoag - Multi"/>
        <s v="MCC San Carlos - Honda"/>
        <s v="MCC San Carlos - Multi"/>
        <s v="UEMI Alcala - Yamaha"/>
        <s v="UEMI Bayambang - Yamaha"/>
        <s v="UEMI Binalonan - Multi"/>
        <s v="UEMI Binalonan - Yamaha"/>
        <s v="UEMI Carmen - Multi"/>
        <s v="UEMI Malasiqui - Multi"/>
        <s v="UEMI Pozorrubio - Yamaha"/>
        <s v="UEMI Tayug - Yamaha"/>
        <s v="UEMI Umingan - Yamaha"/>
        <s v="UEMI Urdaneta - Yamaha"/>
        <s v="UEMI Villasis - Yamaha"/>
        <s v="GMC Bolinao - Multi"/>
        <s v="GMC Lingayen - Honda"/>
        <s v="LGK Alaminos - Honda"/>
        <s v="MCC Anda - Multi"/>
        <s v="MCC Bani - Multi"/>
        <s v="MCC Bolinao - Honda"/>
        <s v="MCC Burgos - Multi"/>
        <s v="MCC Dasol - Multi"/>
        <s v="MCC Mangatarem - Honda"/>
        <s v="UEMI Alaminos - Yamaha"/>
        <s v="UEMI Binmaley - Yamaha"/>
        <s v="UEMI Iba ZMB - Multi"/>
        <s v="UEMI Lingayen - Yamaha"/>
        <s v="UEMI Mangatarem - Yamaha"/>
        <s v="UEMI Sta Cruz ZMB - Multi"/>
        <s v="Guanzon Corporate Center"/>
        <s v="MCC Alicia - Multi"/>
        <s v="MCC Cabarroguis - Multi"/>
        <s v="MCC Cordon - Multi"/>
        <s v="MCC Jones ISA - Multi"/>
        <s v="MCC Maddela - Multi"/>
        <s v="MCC San Mateo ISA - Multi"/>
        <s v="MCC Santiago - Honda"/>
        <s v="UEMI Cabagan - YAMAHA"/>
        <s v="UEMI Cauayan - Multi"/>
        <s v="UEMI Roxas ISA - Multi"/>
        <s v="UEMI Santiago - Multi"/>
        <s v="UEMI Solano - Multi"/>
        <s v="UEMI Tuguegarao - Multi"/>
        <s v="UEMI Tuguegarao - Yamaha"/>
        <s v="UEMI Tumauini - Multi"/>
        <s v="GMC Paniqui - Honda"/>
        <s v="GMC Sta. Ignacia - Honda"/>
        <s v="LGK Tarlac - Honda"/>
        <s v="MCC Camiling - Multi"/>
        <s v="MCC Paniqui - Multi"/>
        <s v="MCC Sta. Ignacia - Multi"/>
        <s v="UEMI Capas - Multi"/>
        <s v="UEMI Concepcion - Multi"/>
        <s v="UEMI Tarlac - Suzuki"/>
        <s v="UEMI Tarlac - Yamaha"/>
        <s v="UEMI Victoria - Yamaha"/>
        <s v="MCC San Leonardo NUE - Multi"/>
        <s v="MCC Zaragoza - Multi"/>
        <s v="UEMI Cabanatuan - Multi"/>
        <s v="UEMI Gapan - Multi"/>
        <s v="UEMI Guimba - Multi"/>
        <s v="UEMI San Jose NUE - Multi"/>
        <s v="GMC Olongapo - Honda"/>
        <s v="GMC Orani - Honda"/>
        <s v="MCC Balanga - Kawasaki"/>
        <s v="MCC Dau - Honda"/>
        <s v="MCC Mabalacat - Multi"/>
        <s v="MCC San Fernando PAM - Multi"/>
        <s v="UEMI Angeles - Multi"/>
        <s v="UEMI Balanga - Yamaha"/>
        <s v="UEMI Dau - 2H"/>
        <s v="UEMI Floridablanca - YAMAHA"/>
        <s v="UEMI Lubao - Multi"/>
        <s v="UEMI Mabalacat - Yamaha"/>
        <s v="UEMI San Fernando PAM - Multi"/>
        <s v="UEMI San Fernando PAM - YAMAHA"/>
        <s v="UEMI Subic - Yamaha"/>
        <s v="MCC Naic - Multi"/>
        <s v="MCC Tanza - Multi"/>
        <s v="UEMI Alabang - Multi"/>
        <s v="UEMI Calamba - Multi"/>
        <s v="UEMI Carmona - Multi"/>
        <s v="UEMI Imus - Multi"/>
        <s v="UEMI Makati - Multi"/>
        <s v="UEMI Naic - Yamaha"/>
        <s v="UEMI San Pablo - Yamaha"/>
        <s v="UEMI Sta Cruz LAG - Multi"/>
        <s v="UEMI Sta. Rosa - Multi"/>
        <s v="MCC Roxas PLW - Multi"/>
        <s v="UEMI Brooke's Point - Multi"/>
        <s v="UEMI Narra PLW - Yamaha"/>
        <s v="MCC Daet - Multi"/>
        <s v="MCC Legaspi - Multi"/>
        <s v="LGK Iloilo - Honda"/>
        <s v="MCC Balasan - Multi"/>
        <s v="MCC Cabatuan - Multi"/>
        <s v="MCC Kalibo - Multi"/>
        <s v="MCC Roxas CAP - Kawasaki"/>
        <s v="UEMI Iloilo - Multi"/>
        <s v="UEMI Iloilo - Yamaha"/>
        <s v="UEMI Mambusao - Multi"/>
        <s v="UEMI Passi - Multi"/>
        <s v="UEMI Roxas CAP - Multi"/>
        <s v="UEMI San Jose ANT - Multi"/>
        <s v="MCC Carmen - Multi"/>
        <s v="MCC Inabanga - Multi"/>
        <s v="MCC Tagbilaran - Multi"/>
        <s v="MCC Talibon - Multi"/>
        <s v="MCC Tubigon - Multi"/>
        <s v="Baler Warehouse"/>
        <s v="GMC Anolid Warehouse"/>
        <s v="GMC Spareparts Warehouse"/>
        <s v="GMO - MC Warehouse"/>
        <s v="San Antonio Warehouse"/>
      </sharedItems>
    </cacheField>
    <cacheField name="sAreaCode" numFmtId="0">
      <sharedItems containsMixedTypes="1" containsNumber="1" containsInteger="1" minValue="1" maxValue="24" count="23">
        <n v="10"/>
        <n v="11"/>
        <s v="\N"/>
        <n v="12"/>
        <n v="16"/>
        <n v="20"/>
        <n v="24"/>
        <n v="9"/>
        <n v="1"/>
        <n v="2"/>
        <n v="3"/>
        <n v="4"/>
        <n v="5"/>
        <n v="8"/>
        <n v="6"/>
        <n v="23"/>
        <n v="7"/>
        <n v="14"/>
        <n v="15"/>
        <n v="21"/>
        <n v="18"/>
        <n v="19"/>
        <n v="17"/>
      </sharedItems>
    </cacheField>
    <cacheField name="sBranchCd" numFmtId="0">
      <sharedItems/>
    </cacheField>
    <cacheField name="dDateInst" numFmtId="0">
      <sharedItems containsDate="1" containsMixedTypes="1" minDate="1990-01-01T00:00:00" maxDate="2020-09-16T00:00:00"/>
    </cacheField>
    <cacheField name="sBrandNme" numFmtId="0">
      <sharedItems containsMixedTypes="1" containsNumber="1" containsInteger="1" minValue="1" maxValue="1"/>
    </cacheField>
    <cacheField name="nNoCamera" numFmtId="0">
      <sharedItems containsMixedTypes="1" containsNumber="1" containsInteger="1" minValue="0" maxValue="36"/>
    </cacheField>
    <cacheField name="sDVRPassw" numFmtId="0">
      <sharedItems containsMixedTypes="1" containsNumber="1" containsInteger="1" minValue="0" maxValue="48269661945029"/>
    </cacheField>
    <cacheField name="sWIFIName" numFmtId="0">
      <sharedItems containsMixedTypes="1" containsNumber="1" containsInteger="1" minValue="1234" maxValue="1234"/>
    </cacheField>
    <cacheField name="sWIFIPass" numFmtId="0">
      <sharedItems containsMixedTypes="1" containsNumber="1" containsInteger="1" minValue="1234" maxValue="442018236462019"/>
    </cacheField>
    <cacheField name="sRemarksx" numFmtId="0">
      <sharedItems/>
    </cacheField>
    <cacheField name="sHIKStatx" numFmtId="0">
      <sharedItems count="3">
        <s v="ONLINE"/>
        <s v="OFFLINE"/>
        <s v="\N"/>
      </sharedItems>
    </cacheField>
    <cacheField name="sCCTVStat" numFmtId="0">
      <sharedItems count="7">
        <s v="RECORDING"/>
        <s v="FOR VISIT"/>
        <s v="\N"/>
        <s v="GOOD"/>
        <s v="FOR REPLACEMENT"/>
        <s v="NO ISP"/>
        <s v="NO CCTV"/>
      </sharedItems>
    </cacheField>
    <cacheField name="dMonitorx" numFmtId="0">
      <sharedItems containsDate="1" containsMixedTypes="1" minDate="2020-09-12T00:00:00" maxDate="2020-11-29T00:00:00"/>
    </cacheField>
    <cacheField name="sMonitorx" numFmtId="0">
      <sharedItems/>
    </cacheField>
    <cacheField name="sVerifyCd" numFmtId="0">
      <sharedItems containsMixedTypes="1" containsNumber="1" containsInteger="1" minValue="12345" maxValue="665578392"/>
    </cacheField>
    <cacheField name="sWthTAlrm" numFmtId="0">
      <sharedItems containsMixedTypes="1" containsNumber="1" containsInteger="1" minValue="1" maxValue="1"/>
    </cacheField>
    <cacheField name="sModified" numFmtId="0">
      <sharedItems/>
    </cacheField>
    <cacheField name="dModified" numFmtId="0">
      <sharedItems containsDate="1" containsMixedTypes="1" minDate="2020-09-12T15:22:14" maxDate="2020-11-28T09:08:26"/>
    </cacheField>
    <cacheField name="STATUS" numFmtId="0">
      <sharedItems count="3">
        <s v="MONITORED"/>
        <s v="NOT MONITORED"/>
        <s v="NOT YET ADD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9">
  <r>
    <s v="Guan Kai Office"/>
    <s v="REPAIRED"/>
    <x v="0"/>
    <s v="GK0120000576"/>
    <d v="2020-11-02T00:00:00"/>
    <s v="GK01"/>
    <s v="No monitor display. "/>
    <s v="nilinisan yung memory. "/>
    <x v="0"/>
    <x v="0"/>
    <n v="0"/>
    <m/>
    <s v="Done "/>
    <s v="M00119001680"/>
    <s v="Trinidad, Ja"/>
    <d v="2020-11-02T00:00:00"/>
    <s v="SUPPORTED WITHIN 2DAYS"/>
    <x v="0"/>
    <n v="0"/>
    <s v="GK01190015"/>
    <x v="0"/>
    <d v="2020-11-02T09:19:55"/>
  </r>
  <r>
    <s v="GMC San Fabian - Honda"/>
    <s v="OTHERS"/>
    <x v="0"/>
    <s v="GK0120000577"/>
    <d v="2020-11-02T00:00:00"/>
    <s v="M064"/>
    <s v="Asset transfer replacement of old keyboard. "/>
    <m/>
    <x v="1"/>
    <x v="1"/>
    <n v="0"/>
    <m/>
    <s v="Done "/>
    <s v="M00119001680"/>
    <s v="Trinidad, Ja"/>
    <d v="2020-11-02T00:00:00"/>
    <s v="SUPPORTED WITHIN 2DAYS"/>
    <x v="0"/>
    <n v="4"/>
    <s v="GK01190015"/>
    <x v="0"/>
    <d v="2020-11-02T09:47:36"/>
  </r>
  <r>
    <s v="Guanzon Corporate Center"/>
    <s v="OTHERS"/>
    <x v="0"/>
    <s v="GK0120000578"/>
    <d v="2020-11-02T00:00:00"/>
    <s v="GCC1"/>
    <s v="Create PO, sticker, and asset transfer of repaired system unit 1 for Records department. "/>
    <m/>
    <x v="2"/>
    <x v="2"/>
    <n v="0"/>
    <m/>
    <s v="Done "/>
    <m/>
    <s v="Trinidad, Ja"/>
    <d v="2020-11-04T00:00:00"/>
    <s v="SUPPORTED WITHIN 2DAYS"/>
    <x v="0"/>
    <n v="4"/>
    <s v="GK01190015"/>
    <x v="0"/>
    <d v="2020-11-02T10:11:10"/>
  </r>
  <r>
    <s v="Guan Kai Office"/>
    <s v="OTHERS"/>
    <x v="0"/>
    <s v="GK0120000579"/>
    <d v="2020-11-02T00:00:00"/>
    <s v="GK01"/>
    <s v="Received backloads. "/>
    <m/>
    <x v="2"/>
    <x v="2"/>
    <n v="0"/>
    <m/>
    <s v="Done "/>
    <m/>
    <s v="Trinidad, Ja"/>
    <d v="2020-11-04T00:00:00"/>
    <s v="SUPPORTED WITHIN 2DAYS"/>
    <x v="0"/>
    <n v="4"/>
    <s v="GK01190015"/>
    <x v="0"/>
    <d v="2020-11-02T14:42:43"/>
  </r>
  <r>
    <s v="GMC Baguio - Multi"/>
    <s v="OTHERS"/>
    <x v="0"/>
    <s v="GK0120000580"/>
    <d v="2020-11-02T00:00:00"/>
    <s v="M175"/>
    <s v="Spare system unit. copy files para mapadala sa kanila."/>
    <m/>
    <x v="1"/>
    <x v="1"/>
    <n v="0"/>
    <m/>
    <s v="Done "/>
    <m/>
    <s v="Trinidad, Ja"/>
    <d v="2020-11-19T00:00:00"/>
    <s v="NOT SUPPORTED WITHIN 2DAYS"/>
    <x v="1"/>
    <n v="4"/>
    <s v="GK01190015"/>
    <x v="0"/>
    <d v="2020-11-02T14:44:43"/>
  </r>
  <r>
    <s v="MCC Sta. Barbara- Honda"/>
    <s v="NEW INSTALL"/>
    <x v="0"/>
    <s v="GK0120000581"/>
    <d v="2020-11-03T00:00:00"/>
    <s v="M111"/>
    <s v="For diagnose. "/>
    <s v="nireformat ni sir Rico. ininstall ko mga softwares. "/>
    <x v="2"/>
    <x v="2"/>
    <n v="0"/>
    <m/>
    <s v="Done "/>
    <m/>
    <s v="Trinidad, Ja"/>
    <d v="2020-11-04T00:00:00"/>
    <s v="SUPPORTED WITHIN 2DAYS"/>
    <x v="0"/>
    <n v="3"/>
    <s v="GK01190015"/>
    <x v="0"/>
    <d v="2020-11-03T11:37:26"/>
  </r>
  <r>
    <s v="Guan Kai Office"/>
    <s v="REPAIRED"/>
    <x v="0"/>
    <s v="GK0120000582"/>
    <d v="2020-11-03T00:00:00"/>
    <s v="GK01"/>
    <s v="connect laptop of sir Gene sa printer ni mam Shirley. "/>
    <m/>
    <x v="2"/>
    <x v="2"/>
    <n v="0"/>
    <m/>
    <s v="Done "/>
    <m/>
    <s v="Trinidad, Ja"/>
    <d v="2020-11-04T00:00:00"/>
    <s v="SUPPORTED WITHIN 2DAYS"/>
    <x v="0"/>
    <n v="0"/>
    <s v="GK01190015"/>
    <x v="0"/>
    <d v="2020-11-03T11:39:13"/>
  </r>
  <r>
    <s v="Mobitek Robinsons Santiago"/>
    <s v="OTHERS"/>
    <x v="0"/>
    <s v="GK0120000583"/>
    <d v="2020-11-03T00:00:00"/>
    <s v="C041"/>
    <s v="Asset transfer repaired UPS with new Battery. "/>
    <m/>
    <x v="2"/>
    <x v="2"/>
    <n v="0"/>
    <m/>
    <s v="Done "/>
    <m/>
    <s v="Trinidad, Ja"/>
    <d v="2020-11-04T00:00:00"/>
    <s v="SUPPORTED WITHIN 2DAYS"/>
    <x v="0"/>
    <n v="4"/>
    <s v="GK01190015"/>
    <x v="0"/>
    <d v="2020-11-03T11:45:59"/>
  </r>
  <r>
    <s v="UEMI San Fabian - Yamaha"/>
    <s v="OTHERS"/>
    <x v="0"/>
    <s v="GK0120000584"/>
    <d v="2020-11-04T00:00:00"/>
    <s v="M174"/>
    <s v="Put stickers on 1 set of computer. except system unit already have. "/>
    <m/>
    <x v="2"/>
    <x v="2"/>
    <n v="0"/>
    <m/>
    <s v="Done "/>
    <m/>
    <s v="Trinidad, Ja"/>
    <d v="2020-11-04T00:00:00"/>
    <s v="SUPPORTED WITHIN 2DAYS"/>
    <x v="0"/>
    <n v="4"/>
    <s v="GK01190015"/>
    <x v="0"/>
    <d v="2020-11-04T09:58:47"/>
  </r>
  <r>
    <s v="UEMI San Fabian - Yamaha"/>
    <s v="OTHERS"/>
    <x v="0"/>
    <s v="GK0120000585"/>
    <d v="2020-11-04T00:00:00"/>
    <s v="M174"/>
    <s v="Asset transfer of new 1 set of computer for new branch. "/>
    <m/>
    <x v="2"/>
    <x v="2"/>
    <n v="0"/>
    <m/>
    <s v="Done "/>
    <m/>
    <s v="Trinidad, Ja"/>
    <d v="2020-11-04T00:00:00"/>
    <s v="SUPPORTED WITHIN 2DAYS"/>
    <x v="0"/>
    <n v="4"/>
    <s v="GK01190015"/>
    <x v="0"/>
    <d v="2020-11-04T09:59:38"/>
  </r>
  <r>
    <s v="GMC Dagupan - Honda"/>
    <s v="OTHERS"/>
    <x v="0"/>
    <s v="GK0120000586"/>
    <d v="2020-11-04T00:00:00"/>
    <s v="M001"/>
    <s v="Create PO receiving of old  UPS.  "/>
    <m/>
    <x v="2"/>
    <x v="2"/>
    <n v="0"/>
    <m/>
    <s v="Done "/>
    <m/>
    <s v="Trinidad, Ja"/>
    <d v="2020-11-04T00:00:00"/>
    <s v="SUPPORTED WITHIN 2DAYS"/>
    <x v="0"/>
    <n v="4"/>
    <s v="GK01190015"/>
    <x v="0"/>
    <d v="2020-11-04T10:02:54"/>
  </r>
  <r>
    <s v="GMC Dagupan - Honda"/>
    <s v="OTHERS"/>
    <x v="0"/>
    <s v="GK0120000587"/>
    <d v="2020-11-04T00:00:00"/>
    <s v="M001"/>
    <s v="Put sticker serial of UPS. "/>
    <m/>
    <x v="2"/>
    <x v="2"/>
    <n v="0"/>
    <m/>
    <s v="Done "/>
    <m/>
    <s v="Trinidad, Ja"/>
    <d v="2020-11-04T00:00:00"/>
    <s v="SUPPORTED WITHIN 2DAYS"/>
    <x v="0"/>
    <n v="4"/>
    <s v="GK01190015"/>
    <x v="0"/>
    <d v="2020-11-04T10:03:15"/>
  </r>
  <r>
    <s v="GMC Dagupan - Honda"/>
    <s v="OTHERS"/>
    <x v="0"/>
    <s v="GK0120000588"/>
    <d v="2020-11-04T00:00:00"/>
    <s v="M001"/>
    <s v="Asset transfer of old UPS. "/>
    <m/>
    <x v="2"/>
    <x v="2"/>
    <n v="0"/>
    <m/>
    <s v="Done "/>
    <m/>
    <s v="Trinidad, Ja"/>
    <d v="2020-11-04T00:00:00"/>
    <s v="SUPPORTED WITHIN 2DAYS"/>
    <x v="0"/>
    <n v="4"/>
    <s v="GK01190015"/>
    <x v="0"/>
    <d v="2020-11-04T10:03:32"/>
  </r>
  <r>
    <s v="GMC San Fabian - Honda"/>
    <s v="NEW INSTALL"/>
    <x v="0"/>
    <s v="GK0120000589"/>
    <d v="2020-11-03T00:00:00"/>
    <s v="M064"/>
    <s v="For checking installed system unit. "/>
    <m/>
    <x v="2"/>
    <x v="2"/>
    <n v="0"/>
    <m/>
    <s v="Done. "/>
    <m/>
    <s v="Trinidad, Ja"/>
    <d v="2020-11-04T00:00:00"/>
    <s v="SUPPORTED WITHIN 2DAYS"/>
    <x v="0"/>
    <n v="3"/>
    <s v="GK01190015"/>
    <x v="0"/>
    <d v="2020-11-04T10:53:48"/>
  </r>
  <r>
    <s v="Guanzon Central Office"/>
    <s v="OTHERS"/>
    <x v="0"/>
    <s v="GK0120000590"/>
    <d v="2020-11-04T00:00:00"/>
    <s v="GCO1"/>
    <s v="Asset transfer repaired system unit with monitor. "/>
    <m/>
    <x v="2"/>
    <x v="2"/>
    <n v="0"/>
    <m/>
    <s v="Done "/>
    <m/>
    <s v="Trinidad, Ja"/>
    <d v="2020-11-04T00:00:00"/>
    <s v="SUPPORTED WITHIN 2DAYS"/>
    <x v="0"/>
    <n v="4"/>
    <s v="GK01190015"/>
    <x v="0"/>
    <d v="2020-11-04T13:35:26"/>
  </r>
  <r>
    <s v="MCC Sta. Barbara- Honda"/>
    <s v="OTHERS"/>
    <x v="0"/>
    <s v="GK0120000591"/>
    <d v="2020-11-04T00:00:00"/>
    <s v="M111"/>
    <s v="install Softwares. "/>
    <m/>
    <x v="3"/>
    <x v="2"/>
    <n v="0"/>
    <m/>
    <s v="Done ready for checking. "/>
    <m/>
    <s v="Trinidad, Ja"/>
    <d v="2020-11-04T00:00:00"/>
    <s v="SUPPORTED WITHIN 2DAYS"/>
    <x v="0"/>
    <n v="4"/>
    <s v="GK01190015"/>
    <x v="0"/>
    <d v="2020-11-04T13:40:53"/>
  </r>
  <r>
    <s v="Guan Kai Office"/>
    <s v="OTHERS"/>
    <x v="0"/>
    <s v="GK0120000592"/>
    <d v="2020-11-04T00:00:00"/>
    <s v="GK01"/>
    <s v="Refill yellow ink. "/>
    <m/>
    <x v="2"/>
    <x v="2"/>
    <n v="0"/>
    <m/>
    <s v="Done "/>
    <m/>
    <s v="Trinidad, Ja"/>
    <d v="2020-11-04T00:00:00"/>
    <s v="SUPPORTED WITHIN 2DAYS"/>
    <x v="0"/>
    <n v="4"/>
    <s v="GK01190015"/>
    <x v="0"/>
    <d v="2020-11-04T14:05:29"/>
  </r>
  <r>
    <s v="Guan Kai Office"/>
    <s v="REPAIRED"/>
    <x v="0"/>
    <s v="GK0120000593"/>
    <d v="2020-11-04T00:00:00"/>
    <s v="GK01"/>
    <s v="Connect pc of sir Charles of HR to printer of mam shirley."/>
    <m/>
    <x v="2"/>
    <x v="2"/>
    <n v="0"/>
    <m/>
    <s v="Done "/>
    <s v="M00118001281"/>
    <s v="Trinidad, Ja"/>
    <d v="2020-11-04T00:00:00"/>
    <s v="SUPPORTED WITHIN 2DAYS"/>
    <x v="0"/>
    <n v="0"/>
    <s v="GK01190015"/>
    <x v="0"/>
    <d v="2020-11-04T14:59:45"/>
  </r>
  <r>
    <s v="UEMI Cauayan - Multi"/>
    <s v="OTHERS"/>
    <x v="0"/>
    <s v="GK0120000594"/>
    <d v="2020-11-05T00:00:00"/>
    <s v="M051"/>
    <s v="tumawag yung branch na ipadala daw po sa kanila yung binackload nilang 5 GPS."/>
    <m/>
    <x v="4"/>
    <x v="0"/>
    <n v="0"/>
    <m/>
    <s v="Done "/>
    <m/>
    <s v="Trinidad, Ja"/>
    <d v="2020-11-09T00:00:00"/>
    <s v="NOT SUPPORTED WITHIN 2DAYS"/>
    <x v="1"/>
    <n v="4"/>
    <s v="GK01190015"/>
    <x v="0"/>
    <d v="2020-11-05T08:22:16"/>
  </r>
  <r>
    <s v="UEMI Mangaldan - Suzuki"/>
    <s v="REPAIRED"/>
    <x v="0"/>
    <s v="GK0120000595"/>
    <d v="2020-11-05T00:00:00"/>
    <s v="M156"/>
    <s v="For backload - start up repair. "/>
    <m/>
    <x v="4"/>
    <x v="0"/>
    <n v="0"/>
    <m/>
    <s v="Done "/>
    <m/>
    <s v="Trinidad, Ja"/>
    <d v="2020-11-09T00:00:00"/>
    <s v="NOT SUPPORTED WITHIN 2DAYS"/>
    <x v="1"/>
    <n v="0"/>
    <s v="GK01190015"/>
    <x v="0"/>
    <d v="2020-11-05T09:07:08"/>
  </r>
  <r>
    <s v="Guan Kai Office"/>
    <s v="REPAIRED"/>
    <x v="0"/>
    <s v="GK0120000596"/>
    <d v="2020-11-05T00:00:00"/>
    <s v="GK01"/>
    <s v="Connect pc ni sir Cholo sa printer ng Hardware. "/>
    <m/>
    <x v="4"/>
    <x v="0"/>
    <n v="0"/>
    <m/>
    <s v="Done "/>
    <s v="M00119000629"/>
    <s v="Trinidad, Ja"/>
    <d v="2020-11-09T00:00:00"/>
    <s v="NOT SUPPORTED WITHIN 2DAYS"/>
    <x v="1"/>
    <n v="0"/>
    <s v="GK01190015"/>
    <x v="0"/>
    <d v="2020-11-05T11:07:28"/>
  </r>
  <r>
    <s v="Guan Kai Office"/>
    <s v="REPAIRED"/>
    <x v="0"/>
    <s v="GK0120000597"/>
    <d v="2020-11-05T00:00:00"/>
    <s v="GK01"/>
    <s v="Connect printer of mam Badeth of HR dept. sa printer ng MIS."/>
    <m/>
    <x v="4"/>
    <x v="0"/>
    <n v="0"/>
    <m/>
    <s v="Done "/>
    <s v="M00116002291"/>
    <s v="Trinidad, Ja"/>
    <d v="2020-11-09T00:00:00"/>
    <s v="NOT SUPPORTED WITHIN 2DAYS"/>
    <x v="1"/>
    <n v="0"/>
    <s v="GK01190015"/>
    <x v="0"/>
    <d v="2020-11-05T11:08:11"/>
  </r>
  <r>
    <s v="Guan Kai Office"/>
    <s v="REPAIRED"/>
    <x v="0"/>
    <s v="GK0120000598"/>
    <d v="2020-11-05T00:00:00"/>
    <s v="GK01"/>
    <s v="puno na yung pod at need ireset. "/>
    <m/>
    <x v="0"/>
    <x v="0"/>
    <n v="0"/>
    <m/>
    <s v="Done "/>
    <s v="M00116002291"/>
    <s v="Trinidad, Ja"/>
    <d v="2020-11-05T00:00:00"/>
    <s v="SUPPORTED WITHIN 2DAYS"/>
    <x v="0"/>
    <n v="0"/>
    <s v="GK01190015"/>
    <x v="0"/>
    <d v="2020-11-05T11:12:23"/>
  </r>
  <r>
    <s v="UEMI Cauayan - Multi"/>
    <s v="OTHERS"/>
    <x v="0"/>
    <s v="GK0120000599"/>
    <d v="2020-11-05T00:00:00"/>
    <s v="M051"/>
    <s v="Document transfer GPS."/>
    <m/>
    <x v="4"/>
    <x v="0"/>
    <n v="0"/>
    <m/>
    <s v="Done "/>
    <m/>
    <s v="Trinidad, Ja"/>
    <d v="2020-11-09T00:00:00"/>
    <s v="NOT SUPPORTED WITHIN 2DAYS"/>
    <x v="1"/>
    <n v="4"/>
    <s v="GK01190015"/>
    <x v="0"/>
    <d v="2020-11-05T14:33:03"/>
  </r>
  <r>
    <s v="Guan Kai Office"/>
    <s v="REPAIRED"/>
    <x v="0"/>
    <s v="GK0120000600"/>
    <d v="2020-11-05T00:00:00"/>
    <s v="GK01"/>
    <s v="No monitor display of mam shirley's PC. "/>
    <s v="kailangang linisan memory para mag open . "/>
    <x v="0"/>
    <x v="0"/>
    <n v="0"/>
    <m/>
    <s v="Done "/>
    <m/>
    <s v="Trinidad, Ja"/>
    <d v="2020-11-05T00:00:00"/>
    <s v="SUPPORTED WITHIN 2DAYS"/>
    <x v="0"/>
    <n v="0"/>
    <s v="GK01190015"/>
    <x v="0"/>
    <d v="2020-11-05T16:18:52"/>
  </r>
  <r>
    <s v="UEMI Malasiqui - Multi"/>
    <s v="REPAIRED"/>
    <x v="0"/>
    <s v="GK0120000601"/>
    <d v="2020-11-06T00:00:00"/>
    <s v="M053"/>
    <s v="Hindi daw po magamit. "/>
    <m/>
    <x v="1"/>
    <x v="1"/>
    <n v="0"/>
    <m/>
    <s v="Done "/>
    <m/>
    <s v="Trinidad, Ja"/>
    <d v="2020-11-19T00:00:00"/>
    <s v="NOT SUPPORTED WITHIN 2DAYS"/>
    <x v="1"/>
    <n v="0"/>
    <s v="GK01190015"/>
    <x v="0"/>
    <d v="2020-11-06T09:16:48"/>
  </r>
  <r>
    <s v="MCC Sta. Barbara- Honda"/>
    <s v="OTHERS"/>
    <x v="0"/>
    <s v="GK0120000602"/>
    <d v="2020-11-06T00:00:00"/>
    <s v="M111"/>
    <s v="Asset transfer of repaired backload system unit. "/>
    <m/>
    <x v="4"/>
    <x v="0"/>
    <n v="0"/>
    <m/>
    <s v="Done "/>
    <m/>
    <s v="Trinidad, Ja"/>
    <d v="2020-11-09T00:00:00"/>
    <s v="NOT SUPPORTED WITHIN 2DAYS"/>
    <x v="1"/>
    <n v="4"/>
    <s v="GK01190015"/>
    <x v="0"/>
    <d v="2020-11-06T09:17:23"/>
  </r>
  <r>
    <s v="Guan Kai Office"/>
    <s v="OTHERS"/>
    <x v="0"/>
    <s v="GK0120000603"/>
    <d v="2020-11-06T00:00:00"/>
    <s v="GK01"/>
    <s v="Document transfer system unit for CFF. "/>
    <m/>
    <x v="4"/>
    <x v="0"/>
    <n v="0"/>
    <m/>
    <s v="Done "/>
    <m/>
    <s v="Trinidad, Ja"/>
    <d v="2020-11-09T00:00:00"/>
    <s v="NOT SUPPORTED WITHIN 2DAYS"/>
    <x v="1"/>
    <n v="4"/>
    <s v="GK01190015"/>
    <x v="0"/>
    <d v="2020-11-06T11:31:29"/>
  </r>
  <r>
    <s v="MCC Balasan - Multi"/>
    <s v="OTHERS"/>
    <x v="0"/>
    <s v="GK0120000604"/>
    <d v="2020-11-06T00:00:00"/>
    <s v="M119"/>
    <s v="Create sticker and asset transfer of requested 1 keyboard for replacement. "/>
    <m/>
    <x v="4"/>
    <x v="0"/>
    <n v="0"/>
    <m/>
    <s v="Done "/>
    <m/>
    <s v="Trinidad, Ja"/>
    <d v="2020-11-09T00:00:00"/>
    <s v="NOT SUPPORTED WITHIN 2DAYS"/>
    <x v="1"/>
    <n v="4"/>
    <s v="GK01190015"/>
    <x v="0"/>
    <d v="2020-11-06T15:34:13"/>
  </r>
  <r>
    <s v="MCC Balasan - Multi"/>
    <s v="OTHERS"/>
    <x v="0"/>
    <s v="GK0120000605"/>
    <d v="2020-11-06T00:00:00"/>
    <s v="M119"/>
    <s v="Create asset transfer and sticker of repaired system unit. "/>
    <m/>
    <x v="4"/>
    <x v="0"/>
    <n v="0"/>
    <m/>
    <s v="Done "/>
    <m/>
    <s v="Trinidad, Ja"/>
    <d v="2020-11-09T00:00:00"/>
    <s v="NOT SUPPORTED WITHIN 2DAYS"/>
    <x v="1"/>
    <n v="4"/>
    <s v="GK01190015"/>
    <x v="0"/>
    <d v="2020-11-06T15:44:38"/>
  </r>
  <r>
    <s v="UEMI Calasiao - Multi"/>
    <s v="NEW INSTALL"/>
    <x v="0"/>
    <s v="GK0120000606"/>
    <d v="2020-11-06T00:00:00"/>
    <s v="M080"/>
    <s v="Create PO of old UPS w/o serial."/>
    <m/>
    <x v="4"/>
    <x v="0"/>
    <n v="0"/>
    <m/>
    <s v="Done "/>
    <m/>
    <s v="Trinidad, Ja"/>
    <d v="2020-11-09T00:00:00"/>
    <s v="NOT SUPPORTED WITHIN 2DAYS"/>
    <x v="1"/>
    <n v="3"/>
    <s v="GK01190015"/>
    <x v="0"/>
    <d v="2020-11-06T15:52:53"/>
  </r>
  <r>
    <s v="UEMI Calasiao - Multi"/>
    <s v="OTHERS"/>
    <x v="0"/>
    <s v="GK0120000607"/>
    <d v="2020-11-06T00:00:00"/>
    <s v="M080"/>
    <s v="Create asset transfer of repaired old system unit. "/>
    <m/>
    <x v="4"/>
    <x v="0"/>
    <n v="0"/>
    <m/>
    <s v="Done "/>
    <m/>
    <s v="Trinidad, Ja"/>
    <d v="2020-11-09T00:00:00"/>
    <s v="NOT SUPPORTED WITHIN 2DAYS"/>
    <x v="1"/>
    <n v="4"/>
    <s v="GK01190015"/>
    <x v="0"/>
    <d v="2020-11-06T15:53:18"/>
  </r>
  <r>
    <s v="Guan Kai Office"/>
    <s v="OTHERS"/>
    <x v="0"/>
    <s v="GK0120000608"/>
    <d v="2020-11-09T00:00:00"/>
    <s v="GK01"/>
    <s v="Create PO and sticker of 2 new Asus charger. "/>
    <m/>
    <x v="4"/>
    <x v="0"/>
    <n v="0"/>
    <m/>
    <s v="Done "/>
    <s v="M00113001232"/>
    <s v="Trinidad, Ja"/>
    <d v="2020-11-09T00:00:00"/>
    <s v="SUPPORTED WITHIN 2DAYS"/>
    <x v="0"/>
    <n v="4"/>
    <s v="GK01190015"/>
    <x v="0"/>
    <d v="2020-11-09T08:41:28"/>
  </r>
  <r>
    <s v="Guan Kai Office"/>
    <s v="OTHERS"/>
    <x v="0"/>
    <s v="GK0120000609"/>
    <d v="2020-11-09T00:00:00"/>
    <s v="GK01"/>
    <s v="Create PO and sticker of 10 new HDD. "/>
    <m/>
    <x v="1"/>
    <x v="1"/>
    <n v="0"/>
    <m/>
    <s v="Done "/>
    <s v="M00113001232"/>
    <s v="Trinidad, Ja"/>
    <d v="2020-11-19T00:00:00"/>
    <s v="NOT SUPPORTED WITHIN 2DAYS"/>
    <x v="1"/>
    <n v="4"/>
    <s v="GK01190015"/>
    <x v="0"/>
    <d v="2020-11-09T08:42:43"/>
  </r>
  <r>
    <s v="Guanzon Corporate Center"/>
    <s v="REPAIRED"/>
    <x v="0"/>
    <s v="GK0120000610"/>
    <d v="2020-11-07T00:00:00"/>
    <s v="GCC1"/>
    <s v="install altertv Tools of teamviewer of ma'am airah of audit. "/>
    <s v="walang Altertool kaya hindi maka connect mga support sa PC ni mam Airah. "/>
    <x v="4"/>
    <x v="0"/>
    <n v="0"/>
    <m/>
    <s v="Done "/>
    <s v="M01911000061"/>
    <s v="Trinidad, Ja"/>
    <d v="2020-11-09T00:00:00"/>
    <s v="SUPPORTED WITHIN 2DAYS"/>
    <x v="0"/>
    <n v="0"/>
    <s v="GK01190015"/>
    <x v="0"/>
    <d v="2020-11-09T08:56:03"/>
  </r>
  <r>
    <s v="Guanzon Corporate Center"/>
    <s v="NEW INSTALL"/>
    <x v="0"/>
    <s v="GK0120000611"/>
    <d v="2020-11-07T00:00:00"/>
    <s v="GCC1"/>
    <s v="install OS and softwares of PC 1 at Washington Warehouse. "/>
    <m/>
    <x v="4"/>
    <x v="0"/>
    <n v="0"/>
    <m/>
    <s v="Done "/>
    <s v="M00110017110"/>
    <s v="Trinidad, Ja"/>
    <d v="2020-11-09T00:00:00"/>
    <s v="SUPPORTED WITHIN 2DAYS"/>
    <x v="0"/>
    <n v="3"/>
    <s v="GK01190015"/>
    <x v="0"/>
    <d v="2020-11-09T08:57:11"/>
  </r>
  <r>
    <s v="Guanzon Corporate Center"/>
    <s v="NEW INSTALL"/>
    <x v="0"/>
    <s v="GK0120000612"/>
    <d v="2020-11-07T00:00:00"/>
    <s v="GCC1"/>
    <s v="install OS and softwares of PC 2 at Washington Warehouse. "/>
    <m/>
    <x v="4"/>
    <x v="0"/>
    <n v="0"/>
    <m/>
    <s v="Done "/>
    <s v="M00110017110"/>
    <s v="Trinidad, Ja"/>
    <d v="2020-11-09T00:00:00"/>
    <s v="SUPPORTED WITHIN 2DAYS"/>
    <x v="0"/>
    <n v="3"/>
    <s v="GK01190015"/>
    <x v="0"/>
    <d v="2020-11-09T08:57:35"/>
  </r>
  <r>
    <s v="Guanzon Corporate Center"/>
    <s v="NEW INSTALL"/>
    <x v="0"/>
    <s v="GK0120000613"/>
    <d v="2020-11-07T00:00:00"/>
    <s v="GCC1"/>
    <s v="Install OS and softwares of PC 3 for stocks. "/>
    <m/>
    <x v="4"/>
    <x v="0"/>
    <n v="0"/>
    <m/>
    <s v="Done "/>
    <s v="M00110017110"/>
    <s v="Trinidad, Ja"/>
    <d v="2020-11-09T00:00:00"/>
    <s v="SUPPORTED WITHIN 2DAYS"/>
    <x v="0"/>
    <n v="3"/>
    <s v="GK01190015"/>
    <x v="0"/>
    <d v="2020-11-09T09:10:36"/>
  </r>
  <r>
    <s v="Guanzon Corporate Center"/>
    <s v="NEW INSTALL"/>
    <x v="0"/>
    <s v="GK0120000614"/>
    <d v="2020-11-07T00:00:00"/>
    <s v="GCC1"/>
    <s v="Install OS and softwares of pc 4 at Washington Warehouse. "/>
    <m/>
    <x v="4"/>
    <x v="0"/>
    <n v="0"/>
    <m/>
    <s v="Done "/>
    <s v="M00110017110"/>
    <s v="Trinidad, Ja"/>
    <d v="2020-11-09T00:00:00"/>
    <s v="SUPPORTED WITHIN 2DAYS"/>
    <x v="0"/>
    <n v="3"/>
    <s v="GK01190015"/>
    <x v="0"/>
    <d v="2020-11-09T09:11:48"/>
  </r>
  <r>
    <s v="Guanzon Corporate Center"/>
    <s v="NEW INSTALL"/>
    <x v="0"/>
    <s v="GK0120000615"/>
    <d v="2020-11-07T00:00:00"/>
    <s v="GCC1"/>
    <s v="Install OS and softwares of PC 5 at Washington Warehouse.  "/>
    <m/>
    <x v="4"/>
    <x v="0"/>
    <n v="0"/>
    <m/>
    <s v="Done "/>
    <s v="M00110017110"/>
    <s v="Trinidad, Ja"/>
    <d v="2020-11-09T00:00:00"/>
    <s v="SUPPORTED WITHIN 2DAYS"/>
    <x v="0"/>
    <n v="3"/>
    <s v="GK01190015"/>
    <x v="0"/>
    <d v="2020-11-09T09:12:19"/>
  </r>
  <r>
    <s v="Guanzon Corporate Center"/>
    <s v="NEW INSTALL"/>
    <x v="0"/>
    <s v="GK0120000616"/>
    <d v="2020-11-07T00:00:00"/>
    <s v="GCC1"/>
    <s v="Install OS and softwares of PC 6 at Washington warehouse."/>
    <m/>
    <x v="4"/>
    <x v="0"/>
    <n v="0"/>
    <m/>
    <s v="Done "/>
    <s v="M00110017110"/>
    <s v="Trinidad, Ja"/>
    <d v="2020-11-09T00:00:00"/>
    <s v="SUPPORTED WITHIN 2DAYS"/>
    <x v="0"/>
    <n v="3"/>
    <s v="GK01190015"/>
    <x v="0"/>
    <d v="2020-11-09T09:12:55"/>
  </r>
  <r>
    <s v="Guanzon Corporate Center"/>
    <s v="NEW INSTALL"/>
    <x v="0"/>
    <s v="GK0120000617"/>
    <d v="2020-11-07T00:00:00"/>
    <s v="GCC1"/>
    <s v="Install OS and softwares of PC 7 at Washington warehouse."/>
    <m/>
    <x v="4"/>
    <x v="0"/>
    <n v="0"/>
    <m/>
    <s v="Done "/>
    <s v="M00110017110"/>
    <s v="Trinidad, Ja"/>
    <d v="2020-11-09T00:00:00"/>
    <s v="SUPPORTED WITHIN 2DAYS"/>
    <x v="0"/>
    <n v="3"/>
    <s v="GK01190015"/>
    <x v="0"/>
    <d v="2020-11-09T09:13:16"/>
  </r>
  <r>
    <s v="Guanzon Corporate Center"/>
    <s v="OTHERS"/>
    <x v="0"/>
    <s v="GK0120000618"/>
    <d v="2020-11-10T00:00:00"/>
    <s v="GCC1"/>
    <s v="lagyan ng stickers mga 4  keyboard at 4 mouse para sa collection.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0T11:27:04"/>
  </r>
  <r>
    <s v="OPPO - Waltermart Gapan"/>
    <s v="OTHERS"/>
    <x v="0"/>
    <s v="GK0120000619"/>
    <d v="2020-11-10T00:00:00"/>
    <s v="C054"/>
    <s v="Create asset transfer of repaired system unit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0T14:51:24"/>
  </r>
  <r>
    <s v="MCC Talibon - Multi"/>
    <s v="REPAIRED"/>
    <x v="1"/>
    <s v="GK0120000620"/>
    <d v="2020-11-13T00:00:00"/>
    <s v="M141"/>
    <s v="yung monitor nila may lines and kulay violet po yung kulay nung screen. "/>
    <m/>
    <x v="5"/>
    <x v="3"/>
    <n v="0"/>
    <m/>
    <m/>
    <m/>
    <m/>
    <d v="2020-11-13T00:00:00"/>
    <s v="SUPPORTED WITHIN 2DAYS"/>
    <x v="0"/>
    <n v="0"/>
    <s v="GK01190015"/>
    <x v="0"/>
    <d v="2020-11-13T09:04:30"/>
  </r>
  <r>
    <s v="MCC Baguio - Honda"/>
    <s v="OTHERS"/>
    <x v="0"/>
    <s v="GK0120000621"/>
    <d v="2020-11-13T00:00:00"/>
    <s v="M015"/>
    <s v="Create asset transfer of 1 set of computer with 16 Turret cam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3T09:16:07"/>
  </r>
  <r>
    <s v="MCC Baguio - Honda"/>
    <s v="OTHERS"/>
    <x v="0"/>
    <s v="GK0120000622"/>
    <d v="2020-11-13T00:00:00"/>
    <s v="M015"/>
    <s v="Create Sticker of new DVR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3T09:33:31"/>
  </r>
  <r>
    <s v="Guan Kai Office"/>
    <s v="OTHERS"/>
    <x v="0"/>
    <s v="GK0120000623"/>
    <d v="2020-11-13T00:00:00"/>
    <s v="GK01"/>
    <s v="Create asset transfer of UEMI mabalacat Pam UPS to Guan kai Support sir Shan's PC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3T09:34:10"/>
  </r>
  <r>
    <s v="Pedritos Mangaldan"/>
    <s v="NEW INSTALL"/>
    <x v="0"/>
    <s v="GK0120000624"/>
    <d v="2020-11-13T00:00:00"/>
    <s v="P004"/>
    <s v="Install OS and softwares. "/>
    <m/>
    <x v="1"/>
    <x v="1"/>
    <n v="0"/>
    <m/>
    <s v="Done."/>
    <s v="M00119002528"/>
    <s v="Trinidad, Ja"/>
    <d v="2020-11-13T00:00:00"/>
    <s v="SUPPORTED WITHIN 2DAYS"/>
    <x v="0"/>
    <n v="3"/>
    <s v="GK01190015"/>
    <x v="0"/>
    <d v="2020-11-13T11:26:00"/>
  </r>
  <r>
    <s v="Guanzon Corporate Center"/>
    <s v="OTHERS"/>
    <x v="0"/>
    <s v="GK0120000625"/>
    <d v="2020-11-13T00:00:00"/>
    <s v="GCC1"/>
    <s v="Document transfer 2 external to MIS dept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3T13:26:38"/>
  </r>
  <r>
    <s v="MCC Dasol - Multi"/>
    <s v="OTHERS"/>
    <x v="0"/>
    <s v="GK0120000626"/>
    <d v="2020-11-13T00:00:00"/>
    <s v="M170"/>
    <s v="Asset transfer new system unit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3T15:18:31"/>
  </r>
  <r>
    <s v="Guanzon Corporate Center"/>
    <s v="OTHERS"/>
    <x v="0"/>
    <s v="GK0120000627"/>
    <d v="2020-11-13T00:00:00"/>
    <s v="GCC1"/>
    <s v="Create asset transfer of repaired laptop for DRS dept. "/>
    <m/>
    <x v="1"/>
    <x v="1"/>
    <n v="0"/>
    <m/>
    <s v="Done "/>
    <m/>
    <s v="Trinidad, Ja"/>
    <d v="2020-11-13T00:00:00"/>
    <s v="SUPPORTED WITHIN 2DAYS"/>
    <x v="0"/>
    <n v="4"/>
    <s v="GK01190015"/>
    <x v="0"/>
    <d v="2020-11-13T16:18:06"/>
  </r>
  <r>
    <s v="Guanzon Manila Office"/>
    <s v="NEW INSTALL"/>
    <x v="0"/>
    <s v="GK0120000628"/>
    <d v="2020-11-13T00:00:00"/>
    <s v="GMO1"/>
    <s v="Asset transfer 2 system unit for MIS c/o sir Xavier Mas. "/>
    <m/>
    <x v="1"/>
    <x v="1"/>
    <n v="0"/>
    <m/>
    <s v="Done "/>
    <m/>
    <s v="Trinidad, Ja"/>
    <d v="2020-11-13T00:00:00"/>
    <s v="SUPPORTED WITHIN 2DAYS"/>
    <x v="0"/>
    <n v="3"/>
    <s v="GK01190015"/>
    <x v="0"/>
    <d v="2020-11-13T16:37:08"/>
  </r>
  <r>
    <s v="MCC Bolinao - Honda"/>
    <s v="OTHERS"/>
    <x v="0"/>
    <s v="GK0120000629"/>
    <d v="2020-11-13T00:00:00"/>
    <s v="M120"/>
    <s v="Create Asset transfer and sticker of repaired old system unit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3T16:49:13"/>
  </r>
  <r>
    <s v="Guanzon Corporate Center"/>
    <s v="NEW INSTALL"/>
    <x v="0"/>
    <s v="GK0120000630"/>
    <d v="2020-11-14T00:00:00"/>
    <s v="GCC1"/>
    <s v="Install softwares for CSS dept. "/>
    <m/>
    <x v="1"/>
    <x v="1"/>
    <n v="0"/>
    <m/>
    <s v="Done"/>
    <m/>
    <s v="Trinidad, Ja"/>
    <d v="2020-11-19T00:00:00"/>
    <s v="NOT SUPPORTED WITHIN 2DAYS"/>
    <x v="1"/>
    <n v="3"/>
    <s v="GK01190015"/>
    <x v="0"/>
    <d v="2020-11-14T08:39:51"/>
  </r>
  <r>
    <s v="Guan Kai Office"/>
    <s v="OTHERS"/>
    <x v="0"/>
    <s v="GK0120000631"/>
    <d v="2020-11-14T00:00:00"/>
    <s v="GK01"/>
    <s v="Create Asset transfer and stickers of 1 set computer for new support 1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4T09:25:31"/>
  </r>
  <r>
    <s v="Guan Kai Office"/>
    <s v="OTHERS"/>
    <x v="0"/>
    <s v="GK0120000632"/>
    <d v="2020-11-14T00:00:00"/>
    <s v="GK01"/>
    <s v="Create Asset transfer and stickers of 1 set computer for new support 2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4T09:25:43"/>
  </r>
  <r>
    <s v="Guanzon Central Office"/>
    <s v="OTHERS"/>
    <x v="0"/>
    <s v="GK0120000633"/>
    <d v="2020-11-14T00:00:00"/>
    <s v="GCO1"/>
    <s v="Document transfer Orig. HP Ink. For MP Executive C/o Ma'am Mylene Lo.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4T10:51:20"/>
  </r>
  <r>
    <s v="Pedritos Mangaldan"/>
    <s v="OTHERS"/>
    <x v="0"/>
    <s v="GK0120000634"/>
    <d v="2020-11-14T00:00:00"/>
    <s v="P004"/>
    <s v="Create Asset transfer of new system unit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4T13:13:35"/>
  </r>
  <r>
    <s v="LGK Candon - Honda"/>
    <s v="OTHERS"/>
    <x v="0"/>
    <s v="GK0120000635"/>
    <d v="2020-11-14T00:00:00"/>
    <s v="M008"/>
    <s v="Document transfer 4 simcards for GPS. "/>
    <m/>
    <x v="1"/>
    <x v="1"/>
    <n v="0"/>
    <m/>
    <s v="Done"/>
    <s v="M00117001838"/>
    <s v="Trinidad, Ja"/>
    <d v="2020-11-19T00:00:00"/>
    <s v="NOT SUPPORTED WITHIN 2DAYS"/>
    <x v="1"/>
    <n v="4"/>
    <s v="GK01190015"/>
    <x v="0"/>
    <d v="2020-11-14T14:04:39"/>
  </r>
  <r>
    <s v="Guan Kai Office"/>
    <s v="REPAIRED"/>
    <x v="0"/>
    <s v="GK0120000636"/>
    <d v="2020-11-16T00:00:00"/>
    <s v="GK01"/>
    <s v="walang internet connection si sir Rowel ng Support team. "/>
    <m/>
    <x v="1"/>
    <x v="1"/>
    <n v="0"/>
    <m/>
    <s v="Done"/>
    <s v="M00119001680"/>
    <s v="Trinidad, Ja"/>
    <d v="2020-11-19T00:00:00"/>
    <s v="NOT SUPPORTED WITHIN 2DAYS"/>
    <x v="1"/>
    <n v="0"/>
    <s v="GK01190015"/>
    <x v="0"/>
    <d v="2020-11-16T08:51:57"/>
  </r>
  <r>
    <s v="UEMI San Fabian - Yamaha"/>
    <s v="OTHERS"/>
    <x v="0"/>
    <s v="GK0120000637"/>
    <d v="2020-11-16T00:00:00"/>
    <s v="M174"/>
    <s v="Document transfer USB cable for printer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6T09:23:03"/>
  </r>
  <r>
    <s v="Guan Kai Office"/>
    <s v="REPAIRED"/>
    <x v="0"/>
    <s v="GK0120000638"/>
    <d v="2020-11-16T00:00:00"/>
    <s v="GK01"/>
    <s v="namamatay matay yung CPU. "/>
    <s v="palitan ng CMOS battery. system unit ng multimedia. "/>
    <x v="0"/>
    <x v="0"/>
    <n v="0"/>
    <m/>
    <s v="Done "/>
    <m/>
    <s v="Trinidad, Ja"/>
    <d v="2020-11-16T00:00:00"/>
    <s v="SUPPORTED WITHIN 2DAYS"/>
    <x v="0"/>
    <n v="0"/>
    <s v="GK01190015"/>
    <x v="0"/>
    <d v="2020-11-16T11:20:17"/>
  </r>
  <r>
    <s v="MCC Baguio - Honda"/>
    <s v="OTHERS"/>
    <x v="0"/>
    <s v="GK0120000639"/>
    <d v="2020-11-16T00:00:00"/>
    <s v="M015"/>
    <s v="lagyan lahat ng stickers yung 3 sets na computer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6T11:28:00"/>
  </r>
  <r>
    <s v="MCC Baguio - Honda"/>
    <s v="OTHERS"/>
    <x v="0"/>
    <s v="GK0120000640"/>
    <d v="2020-11-16T00:00:00"/>
    <s v="M015"/>
    <s v="Create asset transfer 3 sets of computer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6T11:28:25"/>
  </r>
  <r>
    <s v="Guanzon Central Office"/>
    <s v="OTHERS"/>
    <x v="0"/>
    <s v="GK0120000641"/>
    <d v="2020-11-16T00:00:00"/>
    <s v="GCO1"/>
    <s v="Asset transfer repaired printer to engineering services. 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6T14:44:31"/>
  </r>
  <r>
    <s v="Guanzon Corporate Center"/>
    <s v="OTHERS"/>
    <x v="0"/>
    <s v="GK0120000642"/>
    <d v="2020-11-16T00:00:00"/>
    <s v="GCC1"/>
    <s v="Asset transfer repaired printer to Compliance Management.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6T14:45:00"/>
  </r>
  <r>
    <s v="Guanzon Corporate Center"/>
    <s v="OTHERS"/>
    <x v="0"/>
    <s v="GK0120000643"/>
    <d v="2020-11-16T00:00:00"/>
    <s v="GCC1"/>
    <s v="Create new sticker for pc 1.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6T16:01:31"/>
  </r>
  <r>
    <s v="Guanzon Corporate Center"/>
    <s v="OTHERS"/>
    <x v="0"/>
    <s v="GK0120000644"/>
    <d v="2020-11-16T00:00:00"/>
    <s v="GCC1"/>
    <s v="Create new sticker for pc 2.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6T16:01:45"/>
  </r>
  <r>
    <s v="Guanzon Corporate Center"/>
    <s v="OTHERS"/>
    <x v="0"/>
    <s v="GK0120000645"/>
    <d v="2020-11-16T00:00:00"/>
    <s v="GCC1"/>
    <s v="Create new sticker for pc 3.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6T16:01:58"/>
  </r>
  <r>
    <s v="Guanzon Corporate Center"/>
    <s v="OTHERS"/>
    <x v="0"/>
    <s v="GK0120000646"/>
    <d v="2020-11-16T00:00:00"/>
    <s v="GCC1"/>
    <s v="Create new sticker for pc 4."/>
    <m/>
    <x v="1"/>
    <x v="1"/>
    <n v="0"/>
    <m/>
    <s v="Done"/>
    <m/>
    <s v="Trinidad, Ja"/>
    <d v="2020-11-19T00:00:00"/>
    <s v="NOT SUPPORTED WITHIN 2DAYS"/>
    <x v="1"/>
    <n v="4"/>
    <s v="GK01190015"/>
    <x v="0"/>
    <d v="2020-11-16T16:02:12"/>
  </r>
  <r>
    <s v="GMC Agoo - Honda"/>
    <s v="REPAIRED"/>
    <x v="0"/>
    <s v="GK0120000647"/>
    <d v="2020-11-17T00:00:00"/>
    <s v="M023"/>
    <s v="offline printer LX310"/>
    <s v="done"/>
    <x v="4"/>
    <x v="0"/>
    <n v="0"/>
    <m/>
    <s v="Done"/>
    <m/>
    <s v="Macarling, F"/>
    <d v="2020-12-01T00:00:00"/>
    <s v="NOT SUPPORTED WITHIN 2DAYS"/>
    <x v="1"/>
    <n v="0"/>
    <s v="M001170038"/>
    <x v="1"/>
    <d v="2020-11-17T08:58:57"/>
  </r>
  <r>
    <s v="UEMI Cabagan - YAMAHA"/>
    <s v="OTHERS"/>
    <x v="0"/>
    <s v="GK0120000648"/>
    <d v="2020-11-18T00:00:00"/>
    <s v="M125"/>
    <s v="Create asset transfer of repaired old system unit. "/>
    <m/>
    <x v="1"/>
    <x v="1"/>
    <n v="0"/>
    <m/>
    <s v="Done"/>
    <m/>
    <s v="Trinidad, Ja"/>
    <d v="2020-11-19T00:00:00"/>
    <s v="SUPPORTED WITHIN 2DAYS"/>
    <x v="0"/>
    <n v="4"/>
    <s v="GK01190015"/>
    <x v="0"/>
    <d v="2020-11-18T11:09:54"/>
  </r>
  <r>
    <s v="UEMI San Nicolas - Yamaha"/>
    <s v="OTHERS"/>
    <x v="0"/>
    <s v="GK0120000649"/>
    <d v="2020-11-18T00:00:00"/>
    <s v="M144"/>
    <s v="Asset transfer replacement of system unit. "/>
    <m/>
    <x v="1"/>
    <x v="1"/>
    <n v="0"/>
    <m/>
    <s v="Done"/>
    <m/>
    <s v="Trinidad, Ja"/>
    <d v="2020-11-19T00:00:00"/>
    <s v="SUPPORTED WITHIN 2DAYS"/>
    <x v="0"/>
    <n v="4"/>
    <s v="GK01190015"/>
    <x v="0"/>
    <d v="2020-11-18T13:27:54"/>
  </r>
  <r>
    <s v="Guanzon Corporate Center"/>
    <s v="OTHERS"/>
    <x v="0"/>
    <s v="GK0120000650"/>
    <d v="2020-11-18T00:00:00"/>
    <s v="GCC1"/>
    <s v="Create asset transfer and PO of router for Pre owned management. "/>
    <m/>
    <x v="1"/>
    <x v="1"/>
    <n v="0"/>
    <m/>
    <s v="Done"/>
    <m/>
    <s v="Trinidad, Ja"/>
    <d v="2020-11-19T00:00:00"/>
    <s v="SUPPORTED WITHIN 2DAYS"/>
    <x v="0"/>
    <n v="4"/>
    <s v="GK01190015"/>
    <x v="0"/>
    <d v="2020-11-18T13:28:25"/>
  </r>
  <r>
    <s v="Guanzon Corporate Center"/>
    <s v="OTHERS"/>
    <x v="0"/>
    <s v="GK0120000651"/>
    <d v="2020-11-18T00:00:00"/>
    <s v="GCC1"/>
    <s v="Asset transfer 4 sets of computer to CSS."/>
    <m/>
    <x v="1"/>
    <x v="1"/>
    <n v="0"/>
    <m/>
    <s v="Done"/>
    <m/>
    <s v="Trinidad, Ja"/>
    <d v="2020-11-19T00:00:00"/>
    <s v="SUPPORTED WITHIN 2DAYS"/>
    <x v="0"/>
    <n v="4"/>
    <s v="GK01190015"/>
    <x v="0"/>
    <d v="2020-11-18T14:29:33"/>
  </r>
  <r>
    <s v="Guanzon Central Office"/>
    <s v="OTHERS"/>
    <x v="0"/>
    <s v="GK0120000652"/>
    <d v="2020-11-18T00:00:00"/>
    <s v="GCO1"/>
    <s v="Asset transfer External to MIS dept. "/>
    <m/>
    <x v="1"/>
    <x v="1"/>
    <n v="0"/>
    <m/>
    <s v="Done"/>
    <s v="M00113001338"/>
    <s v="Trinidad, Ja"/>
    <d v="2020-11-19T00:00:00"/>
    <s v="SUPPORTED WITHIN 2DAYS"/>
    <x v="0"/>
    <n v="4"/>
    <s v="GK01190015"/>
    <x v="0"/>
    <d v="2020-11-18T14:30:22"/>
  </r>
  <r>
    <s v="Guanzon Corporate Center"/>
    <s v="OTHERS"/>
    <x v="0"/>
    <s v="GK0120000653"/>
    <d v="2020-11-18T00:00:00"/>
    <s v="GCC1"/>
    <s v="Create asset transfer of repaired laptop to Audit. "/>
    <m/>
    <x v="1"/>
    <x v="1"/>
    <n v="0"/>
    <m/>
    <s v="Done"/>
    <s v="M00113001338"/>
    <s v="Trinidad, Ja"/>
    <d v="2020-11-19T00:00:00"/>
    <s v="SUPPORTED WITHIN 2DAYS"/>
    <x v="0"/>
    <n v="4"/>
    <s v="GK01190015"/>
    <x v="0"/>
    <d v="2020-11-18T15:32:17"/>
  </r>
  <r>
    <s v="Guanzon Corporate Center"/>
    <s v="OTHERS"/>
    <x v="0"/>
    <s v="GK0120000654"/>
    <d v="2020-11-18T00:00:00"/>
    <s v="GCC1"/>
    <s v="Create sticker of old repaired laptop. hindi na mabasa yung serial. "/>
    <m/>
    <x v="1"/>
    <x v="1"/>
    <n v="0"/>
    <m/>
    <s v="Done"/>
    <s v="M00113001338"/>
    <s v="Trinidad, Ja"/>
    <d v="2020-11-19T00:00:00"/>
    <s v="SUPPORTED WITHIN 2DAYS"/>
    <x v="0"/>
    <n v="4"/>
    <s v="GK01190015"/>
    <x v="0"/>
    <d v="2020-11-18T15:58:55"/>
  </r>
  <r>
    <s v="LGK Dagupan - Multi"/>
    <s v="OTHERS"/>
    <x v="0"/>
    <s v="GK0120000655"/>
    <d v="2020-11-18T00:00:00"/>
    <s v="M002"/>
    <s v="Create Asset transfer of repaired old system unit."/>
    <m/>
    <x v="1"/>
    <x v="1"/>
    <n v="0"/>
    <m/>
    <s v="Done"/>
    <s v="M00113001338"/>
    <s v="Trinidad, Ja"/>
    <d v="2020-11-19T00:00:00"/>
    <s v="SUPPORTED WITHIN 2DAYS"/>
    <x v="0"/>
    <n v="4"/>
    <s v="GK01190015"/>
    <x v="0"/>
    <d v="2020-11-18T16:05:06"/>
  </r>
  <r>
    <s v="UEMI San Fabian - Yamaha"/>
    <s v="REPAIRED"/>
    <x v="1"/>
    <s v="GK0120000656"/>
    <d v="2020-11-14T00:00:00"/>
    <s v="M174"/>
    <s v="to intall cctv"/>
    <s v="no cctv installed allready"/>
    <x v="4"/>
    <x v="4"/>
    <n v="0"/>
    <m/>
    <s v="ok na......................"/>
    <m/>
    <s v="Cuison, Bern"/>
    <d v="2020-11-19T00:00:00"/>
    <s v="NOT SUPPORTED WITHIN 2DAYS"/>
    <x v="1"/>
    <n v="0"/>
    <s v="GK01190010"/>
    <x v="2"/>
    <d v="2020-11-19T08:54:55"/>
  </r>
  <r>
    <s v="UEMI San Fabian - Yamaha"/>
    <s v="REPAIRED"/>
    <x v="1"/>
    <s v="GK0120000657"/>
    <d v="2020-11-01T00:00:00"/>
    <s v="M174"/>
    <s v="to install cctv"/>
    <m/>
    <x v="4"/>
    <x v="4"/>
    <n v="0"/>
    <m/>
    <m/>
    <m/>
    <m/>
    <d v="2020-11-19T00:00:00"/>
    <s v="NOT SUPPORTED WITHIN 2DAYS"/>
    <x v="1"/>
    <n v="0"/>
    <s v="GK01190010"/>
    <x v="2"/>
    <d v="2020-11-19T08:57:57"/>
  </r>
  <r>
    <s v="UEMI San Fabian - Yamaha"/>
    <s v="REPAIRED"/>
    <x v="1"/>
    <s v="GK0120000658"/>
    <d v="2020-11-14T00:00:00"/>
    <s v="M174"/>
    <s v="to install cctv"/>
    <m/>
    <x v="4"/>
    <x v="4"/>
    <n v="0"/>
    <m/>
    <m/>
    <m/>
    <m/>
    <d v="2020-11-19T00:00:00"/>
    <s v="NOT SUPPORTED WITHIN 2DAYS"/>
    <x v="1"/>
    <n v="0"/>
    <s v="GK01190010"/>
    <x v="2"/>
    <d v="2020-11-19T09:00:32"/>
  </r>
  <r>
    <s v="GCO - MP Warehouse"/>
    <s v="REPAIRED"/>
    <x v="1"/>
    <s v="GK0120000659"/>
    <d v="2020-11-18T00:00:00"/>
    <s v="C0W1"/>
    <s v="replaced not clear cctv cam"/>
    <m/>
    <x v="5"/>
    <x v="4"/>
    <n v="0"/>
    <m/>
    <m/>
    <m/>
    <m/>
    <d v="2020-11-19T00:00:00"/>
    <s v="SUPPORTED WITHIN 2DAYS"/>
    <x v="0"/>
    <n v="0"/>
    <s v="GK01190010"/>
    <x v="2"/>
    <d v="2020-11-19T09:09:26"/>
  </r>
  <r>
    <s v="UEMI San Fernando LUN - Yamaha"/>
    <s v="REPAIRED"/>
    <x v="0"/>
    <s v="GK0120000660"/>
    <d v="2020-11-19T00:00:00"/>
    <s v="M096"/>
    <s v="For diagnos. "/>
    <m/>
    <x v="2"/>
    <x v="5"/>
    <n v="0"/>
    <m/>
    <s v="Done "/>
    <m/>
    <s v="Trinidad, Ja"/>
    <d v="2020-11-23T00:00:00"/>
    <s v="NOT SUPPORTED WITHIN 2DAYS"/>
    <x v="1"/>
    <n v="0"/>
    <s v="GK01190015"/>
    <x v="0"/>
    <d v="2020-11-19T09:20:41"/>
  </r>
  <r>
    <s v="MCC Mabalacat - Multi"/>
    <s v="REPAIRED"/>
    <x v="0"/>
    <s v="GK0120000661"/>
    <d v="2020-11-19T00:00:00"/>
    <s v="M134"/>
    <s v="Virus infected server system unit. "/>
    <s v="Repaired. back up files and reformat. "/>
    <x v="2"/>
    <x v="3"/>
    <n v="0"/>
    <m/>
    <s v="Done. "/>
    <m/>
    <s v="Trinidad, Ja"/>
    <d v="2020-11-20T00:00:00"/>
    <s v="SUPPORTED WITHIN 2DAYS"/>
    <x v="0"/>
    <n v="0"/>
    <s v="GK01190015"/>
    <x v="0"/>
    <d v="2020-11-19T09:21:24"/>
  </r>
  <r>
    <s v="GCO - MP Warehouse"/>
    <s v="REPAIRED"/>
    <x v="1"/>
    <s v="GK0120000662"/>
    <d v="2020-11-18T00:00:00"/>
    <s v="C0W1"/>
    <s v="tto replaced cctv cam not clear"/>
    <s v="replaced cctv cam"/>
    <x v="5"/>
    <x v="4"/>
    <n v="0"/>
    <m/>
    <s v="ok na......................"/>
    <m/>
    <s v="Cuison, Bern"/>
    <d v="2020-11-19T00:00:00"/>
    <s v="SUPPORTED WITHIN 2DAYS"/>
    <x v="0"/>
    <n v="0"/>
    <s v="GK01190010"/>
    <x v="2"/>
    <d v="2020-11-19T09:24:09"/>
  </r>
  <r>
    <s v="Guanzon Corporate Center"/>
    <s v="OTHERS"/>
    <x v="0"/>
    <s v="GK0120000663"/>
    <d v="2020-11-19T00:00:00"/>
    <s v="GCC1"/>
    <s v="Document transfer 4 Power cord and 4 VGA cable to Collection dept. "/>
    <m/>
    <x v="1"/>
    <x v="1"/>
    <n v="0"/>
    <m/>
    <s v="Done"/>
    <m/>
    <s v="Trinidad, Ja"/>
    <d v="2020-11-19T00:00:00"/>
    <s v="SUPPORTED WITHIN 2DAYS"/>
    <x v="0"/>
    <n v="4"/>
    <s v="GK01190015"/>
    <x v="0"/>
    <d v="2020-11-19T09:25:08"/>
  </r>
  <r>
    <s v="MCC Baguio - Honda"/>
    <s v="REPAIRED"/>
    <x v="1"/>
    <s v="GK0120000664"/>
    <d v="2020-11-17T00:00:00"/>
    <s v="M015"/>
    <s v="cctv installation"/>
    <s v="to install cctv"/>
    <x v="4"/>
    <x v="4"/>
    <n v="0"/>
    <m/>
    <s v="not yet finish"/>
    <m/>
    <s v="Cuison, Bern"/>
    <d v="2020-11-19T00:00:00"/>
    <s v="SUPPORTED WITHIN 2DAYS"/>
    <x v="0"/>
    <n v="0"/>
    <s v="GK01190010"/>
    <x v="2"/>
    <d v="2020-11-19T09:28:42"/>
  </r>
  <r>
    <s v="Guanzon Central Office"/>
    <s v="OTHERS"/>
    <x v="0"/>
    <s v="GK0120000665"/>
    <d v="2020-11-19T00:00:00"/>
    <s v="GCO1"/>
    <s v="Document transfer envelope to sir Rex. "/>
    <m/>
    <x v="1"/>
    <x v="1"/>
    <n v="0"/>
    <m/>
    <s v="Done"/>
    <m/>
    <s v="Trinidad, Ja"/>
    <d v="2020-11-19T00:00:00"/>
    <s v="SUPPORTED WITHIN 2DAYS"/>
    <x v="0"/>
    <n v="4"/>
    <s v="GK01190015"/>
    <x v="0"/>
    <d v="2020-11-19T09:49:29"/>
  </r>
  <r>
    <s v="Guan Kai Office"/>
    <s v="OTHERS"/>
    <x v="0"/>
    <s v="GK0120000666"/>
    <d v="2020-11-19T00:00:00"/>
    <s v="GK01"/>
    <s v="create asset transfer of replacement of system unit for CFF. from san nicolas Yamaha system unit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19T11:47:37"/>
  </r>
  <r>
    <s v="UEMI Dagupan - Suzuki"/>
    <s v="OTHERS"/>
    <x v="0"/>
    <s v="GK0120000667"/>
    <d v="2020-11-19T00:00:00"/>
    <s v="M010"/>
    <s v="Asset transfer pocket wifi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19T14:05:06"/>
  </r>
  <r>
    <s v="Guanzon Central Office"/>
    <s v="OTHERS"/>
    <x v="0"/>
    <s v="GK0120000668"/>
    <d v="2020-11-19T00:00:00"/>
    <s v="GCO1"/>
    <s v="nag pa laminate ng ID kay Sir Jaime. "/>
    <m/>
    <x v="2"/>
    <x v="5"/>
    <n v="0"/>
    <m/>
    <s v="Done "/>
    <s v="M00103001137"/>
    <s v="Trinidad, Ja"/>
    <d v="2020-11-23T00:00:00"/>
    <s v="NOT SUPPORTED WITHIN 2DAYS"/>
    <x v="1"/>
    <n v="4"/>
    <s v="GK01190015"/>
    <x v="0"/>
    <d v="2020-11-19T16:15:37"/>
  </r>
  <r>
    <s v="Monarch Hotel"/>
    <s v="OTHERS"/>
    <x v="0"/>
    <s v="GK0120000669"/>
    <d v="2020-11-19T00:00:00"/>
    <s v="H002"/>
    <s v="Nag puntang Monarch para i abot yung ID kay Sir Wilson Ang. "/>
    <m/>
    <x v="2"/>
    <x v="5"/>
    <n v="0"/>
    <m/>
    <s v="Done. "/>
    <s v="M00103001137"/>
    <s v="Trinidad, Ja"/>
    <d v="2020-11-23T00:00:00"/>
    <s v="NOT SUPPORTED WITHIN 2DAYS"/>
    <x v="1"/>
    <n v="4"/>
    <s v="GK01190015"/>
    <x v="0"/>
    <d v="2020-11-19T16:16:11"/>
  </r>
  <r>
    <s v="UEMI Mabalacat - Yamaha"/>
    <s v="OTHERS"/>
    <x v="0"/>
    <s v="GK0120000670"/>
    <d v="2020-11-20T00:00:00"/>
    <s v="M060"/>
    <s v="CCTV review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08:58:38"/>
  </r>
  <r>
    <s v="Guanzon Corporate Center"/>
    <s v="REPAIRED"/>
    <x v="1"/>
    <s v="GK0120000671"/>
    <d v="2020-11-19T00:00:00"/>
    <s v="GCC1"/>
    <s v="to repair"/>
    <s v="stockup"/>
    <x v="0"/>
    <x v="2"/>
    <n v="0"/>
    <m/>
    <s v="ok na.........."/>
    <m/>
    <s v="Cuison, Bern"/>
    <d v="2020-11-20T00:00:00"/>
    <s v="SUPPORTED WITHIN 2DAYS"/>
    <x v="0"/>
    <n v="0"/>
    <s v="GK01190010"/>
    <x v="2"/>
    <d v="2020-11-20T09:19:18"/>
  </r>
  <r>
    <s v="Guanzon Central Office"/>
    <s v="OTHERS"/>
    <x v="0"/>
    <s v="GK0120000672"/>
    <d v="2020-11-20T00:00:00"/>
    <s v="GCO1"/>
    <s v="Create DOcument transfer of repaired laptop of Engr Amelito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09:46:56"/>
  </r>
  <r>
    <s v="OPPO - Xentro Mall Vigan"/>
    <s v="OTHERS"/>
    <x v="0"/>
    <s v="GK0120000673"/>
    <d v="2020-11-20T00:00:00"/>
    <s v="C067"/>
    <s v="Canvas new keyboard. hindi na daw po kasi nila magamit yung keyboard. "/>
    <s v="330 po yung keyboard na nacanvas. approved by mam She. "/>
    <x v="2"/>
    <x v="3"/>
    <n v="0"/>
    <m/>
    <s v="Done "/>
    <m/>
    <s v="Trinidad, Ja"/>
    <d v="2020-11-20T00:00:00"/>
    <s v="SUPPORTED WITHIN 2DAYS"/>
    <x v="0"/>
    <n v="4"/>
    <s v="GK01190015"/>
    <x v="0"/>
    <d v="2020-11-20T11:11:00"/>
  </r>
  <r>
    <s v="Guanzon Central Office"/>
    <s v="OTHERS"/>
    <x v="0"/>
    <s v="GK0120000674"/>
    <d v="2020-11-20T00:00:00"/>
    <s v="GCO1"/>
    <s v="Document transfer  4 DYI INK. for MIS dept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13:21:10"/>
  </r>
  <r>
    <s v="UEMI Roosevelt - Suzuki"/>
    <s v="OTHERS"/>
    <x v="0"/>
    <s v="GK0120000675"/>
    <d v="2020-11-20T00:00:00"/>
    <s v="M029"/>
    <s v="document transfer 1 magent, 4 black, 1 yellow, and 1 cyan ink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13:22:01"/>
  </r>
  <r>
    <s v="Monarch Hotel"/>
    <s v="OTHERS"/>
    <x v="0"/>
    <s v="GK0120000676"/>
    <d v="2020-11-20T00:00:00"/>
    <s v="H002"/>
    <s v="document transfer 1 yello,1 magenta, and 1 cyan of ink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13:22:40"/>
  </r>
  <r>
    <s v="Guanzon Corporate Center"/>
    <s v="OTHERS"/>
    <x v="0"/>
    <s v="GK0120000677"/>
    <d v="2020-11-20T00:00:00"/>
    <s v="GCC1"/>
    <s v="document transfer UV DYE ink. 2 black, 1 yellow, 1 magenta, and 1 cyan of ink. For tax and permit. 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13:23:56"/>
  </r>
  <r>
    <s v="Guan Kai Office"/>
    <s v="OTHERS"/>
    <x v="0"/>
    <s v="GK0120000678"/>
    <d v="2020-11-20T00:00:00"/>
    <s v="GK01"/>
    <s v="Asset transfer replacement of Power supply to Multimedia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14:18:39"/>
  </r>
  <r>
    <s v="MCC Baguio - Honda"/>
    <s v="OTHERS"/>
    <x v="0"/>
    <s v="GK0120000679"/>
    <d v="2020-11-20T00:00:00"/>
    <s v="M015"/>
    <s v="Create Sticker of 8 port Switch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14:27:32"/>
  </r>
  <r>
    <s v="MCC Baguio - Honda"/>
    <s v="OTHERS"/>
    <x v="0"/>
    <s v="GK0120000680"/>
    <d v="2020-11-20T00:00:00"/>
    <s v="M015"/>
    <s v="Asset transfer Switch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14:27:55"/>
  </r>
  <r>
    <s v="Guan Kai Office"/>
    <s v="OTHERS"/>
    <x v="0"/>
    <s v="GK0120000681"/>
    <d v="2020-11-20T00:00:00"/>
    <s v="GK01"/>
    <s v="Create PO of new Switch 8 port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14:42:45"/>
  </r>
  <r>
    <s v="MCC Mabalacat - Multi"/>
    <s v="OTHERS"/>
    <x v="0"/>
    <s v="GK0120000682"/>
    <d v="2020-11-20T00:00:00"/>
    <s v="M134"/>
    <s v="Asset transfer repaired system unit. "/>
    <m/>
    <x v="2"/>
    <x v="5"/>
    <n v="0"/>
    <m/>
    <s v="Done "/>
    <m/>
    <s v="Trinidad, Ja"/>
    <d v="2020-11-23T00:00:00"/>
    <s v="NOT SUPPORTED WITHIN 2DAYS"/>
    <x v="1"/>
    <n v="4"/>
    <s v="GK01190015"/>
    <x v="0"/>
    <d v="2020-11-20T14:56:36"/>
  </r>
  <r>
    <s v="Guan Kai Office"/>
    <s v="REPAIRED"/>
    <x v="0"/>
    <s v="GK0120000683"/>
    <d v="2020-11-20T00:00:00"/>
    <s v="GK01"/>
    <s v="Corrupted OS. Multimedia "/>
    <s v="Back up files and format."/>
    <x v="0"/>
    <x v="0"/>
    <n v="0"/>
    <m/>
    <s v="Done "/>
    <s v="M00118002231"/>
    <s v="Trinidad, Ja"/>
    <d v="2020-11-20T00:00:00"/>
    <s v="SUPPORTED WITHIN 2DAYS"/>
    <x v="0"/>
    <n v="0"/>
    <s v="GK01190015"/>
    <x v="0"/>
    <d v="2020-11-20T15:51:33"/>
  </r>
  <r>
    <s v="UEMI La Trinidad - Yamaha"/>
    <s v="REPAIRED"/>
    <x v="0"/>
    <s v="GK0120000684"/>
    <d v="2020-11-21T00:00:00"/>
    <s v="M105"/>
    <s v="received System unit. for diagnos. client pc! for repair"/>
    <s v="done"/>
    <x v="4"/>
    <x v="0"/>
    <n v="0"/>
    <m/>
    <s v="Done"/>
    <m/>
    <s v="Macarling, F"/>
    <d v="2020-12-01T00:00:00"/>
    <s v="NOT SUPPORTED WITHIN 2DAYS"/>
    <x v="1"/>
    <n v="0"/>
    <s v="M001170038"/>
    <x v="1"/>
    <d v="2020-11-21T16:00:36"/>
  </r>
  <r>
    <s v="MCC Dau - Honda"/>
    <s v="REPAIRED"/>
    <x v="0"/>
    <s v="GK0120000685"/>
    <d v="2020-11-21T00:00:00"/>
    <s v="M020"/>
    <s v="received System unit! for diagnos. client pc"/>
    <s v="done"/>
    <x v="4"/>
    <x v="0"/>
    <n v="0"/>
    <m/>
    <s v="Done"/>
    <m/>
    <s v="Macarling, F"/>
    <d v="2020-12-01T00:00:00"/>
    <s v="NOT SUPPORTED WITHIN 2DAYS"/>
    <x v="1"/>
    <n v="0"/>
    <s v="M001170038"/>
    <x v="1"/>
    <d v="2020-11-21T16:01:58"/>
  </r>
  <r>
    <s v="MCC Dau - Honda"/>
    <s v="REPAIRED"/>
    <x v="0"/>
    <s v="GK0120000686"/>
    <d v="2020-11-21T00:00:00"/>
    <s v="M020"/>
    <s v="received System unit. for diagnose"/>
    <s v="done"/>
    <x v="4"/>
    <x v="0"/>
    <n v="0"/>
    <m/>
    <s v="Done"/>
    <m/>
    <s v="Macarling, F"/>
    <d v="2020-12-01T00:00:00"/>
    <s v="NOT SUPPORTED WITHIN 2DAYS"/>
    <x v="1"/>
    <n v="0"/>
    <s v="M001170038"/>
    <x v="1"/>
    <d v="2020-11-21T16:03:23"/>
  </r>
  <r>
    <s v="MCC Bani - Multi"/>
    <s v="OTHERS"/>
    <x v="0"/>
    <s v="GK0120000687"/>
    <d v="2020-11-23T00:00:00"/>
    <s v="M146"/>
    <s v="Create Asset transfer of repaired Laptop."/>
    <m/>
    <x v="2"/>
    <x v="5"/>
    <n v="0"/>
    <m/>
    <s v="Done "/>
    <m/>
    <s v="Trinidad, Ja"/>
    <d v="2020-11-23T00:00:00"/>
    <s v="SUPPORTED WITHIN 2DAYS"/>
    <x v="0"/>
    <n v="4"/>
    <s v="GK01190015"/>
    <x v="0"/>
    <d v="2020-11-23T08:28:12"/>
  </r>
  <r>
    <s v="Guanzon Central Office"/>
    <s v="REPAIRED"/>
    <x v="0"/>
    <s v="GK0120000688"/>
    <d v="2020-11-23T00:00:00"/>
    <s v="GCO1"/>
    <s v="OS problem from engineering Dept. of Engr. Arnado. "/>
    <m/>
    <x v="1"/>
    <x v="3"/>
    <n v="0"/>
    <m/>
    <s v="Done "/>
    <m/>
    <s v="Trinidad, Ja"/>
    <d v="2020-11-27T00:00:00"/>
    <s v="NOT SUPPORTED WITHIN 2DAYS"/>
    <x v="1"/>
    <n v="0"/>
    <s v="GK01190015"/>
    <x v="0"/>
    <d v="2020-11-23T09:35:10"/>
  </r>
  <r>
    <s v="Guanzon Manila Office"/>
    <s v="REPAIRED"/>
    <x v="0"/>
    <s v="GK0120000689"/>
    <d v="2020-11-23T00:00:00"/>
    <s v="GMO1"/>
    <s v="hindi ma open yung excel files sa Gcard Dept. "/>
    <s v="uninstall miscrosoft 2019 and 2010 and reinstall it. "/>
    <x v="2"/>
    <x v="5"/>
    <n v="0"/>
    <m/>
    <s v="OKay na po. "/>
    <m/>
    <s v="Trinidad, Ja"/>
    <d v="2020-11-23T00:00:00"/>
    <s v="SUPPORTED WITHIN 2DAYS"/>
    <x v="0"/>
    <n v="0"/>
    <s v="GK01190015"/>
    <x v="0"/>
    <d v="2020-11-23T09:36:12"/>
  </r>
  <r>
    <s v="MCC Tagudin - Honda"/>
    <s v="OTHERS"/>
    <x v="0"/>
    <s v="GK0120000690"/>
    <d v="2020-11-23T00:00:00"/>
    <s v="M094"/>
    <s v="Create asset transfer of replacement of new system unit. "/>
    <m/>
    <x v="1"/>
    <x v="3"/>
    <n v="0"/>
    <m/>
    <s v="Done "/>
    <m/>
    <s v="Trinidad, Ja"/>
    <d v="2020-11-27T00:00:00"/>
    <s v="NOT SUPPORTED WITHIN 2DAYS"/>
    <x v="1"/>
    <n v="4"/>
    <s v="GK01190015"/>
    <x v="0"/>
    <d v="2020-11-23T11:17:54"/>
  </r>
  <r>
    <s v="Guanzon Central Office"/>
    <s v="REPAIRED"/>
    <x v="0"/>
    <s v="GK0120000691"/>
    <d v="2020-11-23T00:00:00"/>
    <s v="GCO1"/>
    <s v="Document transfer crimper and LAN tester. "/>
    <m/>
    <x v="1"/>
    <x v="3"/>
    <n v="0"/>
    <m/>
    <s v="Done "/>
    <s v="M00116002227"/>
    <s v="Trinidad, Ja"/>
    <d v="2020-11-27T00:00:00"/>
    <s v="NOT SUPPORTED WITHIN 2DAYS"/>
    <x v="1"/>
    <n v="0"/>
    <s v="GK01190015"/>
    <x v="0"/>
    <d v="2020-11-23T13:11:23"/>
  </r>
  <r>
    <s v="Guanzon Central Office"/>
    <s v="OTHERS"/>
    <x v="0"/>
    <s v="GK0120000692"/>
    <d v="2020-11-23T00:00:00"/>
    <s v="GCO1"/>
    <s v="DOcument transfer external to MIS dept. "/>
    <m/>
    <x v="1"/>
    <x v="3"/>
    <n v="0"/>
    <m/>
    <s v="Done "/>
    <s v="M00116002227"/>
    <s v="Trinidad, Ja"/>
    <d v="2020-11-27T00:00:00"/>
    <s v="NOT SUPPORTED WITHIN 2DAYS"/>
    <x v="1"/>
    <n v="4"/>
    <s v="GK01190015"/>
    <x v="0"/>
    <d v="2020-11-23T13:17:53"/>
  </r>
  <r>
    <s v="LGK Pozorrubio - Honda"/>
    <s v="REPLACED"/>
    <x v="0"/>
    <s v="GK0120000693"/>
    <d v="2020-11-23T00:00:00"/>
    <s v="M038"/>
    <s v="Replacement of new monitor. old monitor for Backload. "/>
    <m/>
    <x v="1"/>
    <x v="3"/>
    <n v="0"/>
    <m/>
    <s v="Done "/>
    <s v="M00116002227"/>
    <s v="Trinidad, Ja"/>
    <d v="2020-11-27T00:00:00"/>
    <s v="NOT SUPPORTED WITHIN 2DAYS"/>
    <x v="1"/>
    <n v="1"/>
    <s v="GK01190015"/>
    <x v="0"/>
    <d v="2020-11-23T13:38:38"/>
  </r>
  <r>
    <s v="Guan Kai Office"/>
    <s v="REPAIRED"/>
    <x v="0"/>
    <s v="GK0120000694"/>
    <d v="2020-11-24T00:00:00"/>
    <s v="GK01"/>
    <s v="Fixed the projecter at conference room. "/>
    <m/>
    <x v="1"/>
    <x v="3"/>
    <n v="0"/>
    <m/>
    <s v="Done "/>
    <m/>
    <s v="Trinidad, Ja"/>
    <d v="2020-11-27T00:00:00"/>
    <s v="NOT SUPPORTED WITHIN 2DAYS"/>
    <x v="1"/>
    <n v="0"/>
    <s v="GK01190015"/>
    <x v="0"/>
    <d v="2020-11-24T09:06:41"/>
  </r>
  <r>
    <s v="MCC Mabalacat - Multi"/>
    <s v="OTHERS"/>
    <x v="0"/>
    <s v="GK0120000695"/>
    <d v="2020-11-24T00:00:00"/>
    <s v="M134"/>
    <s v="tumawag si branch para sa update sa system unit nila. "/>
    <m/>
    <x v="1"/>
    <x v="3"/>
    <n v="0"/>
    <m/>
    <s v="Done "/>
    <m/>
    <s v="Trinidad, Ja"/>
    <d v="2020-11-27T00:00:00"/>
    <s v="NOT SUPPORTED WITHIN 2DAYS"/>
    <x v="1"/>
    <n v="4"/>
    <s v="GK01190015"/>
    <x v="0"/>
    <d v="2020-11-24T13:22:26"/>
  </r>
  <r>
    <s v="Mobitek Magic Tayug"/>
    <s v="REPAIRED"/>
    <x v="0"/>
    <s v="GK0120000696"/>
    <d v="2020-11-24T00:00:00"/>
    <s v="C027"/>
    <s v="Wifi change password. "/>
    <m/>
    <x v="1"/>
    <x v="3"/>
    <n v="0"/>
    <m/>
    <s v="Done "/>
    <m/>
    <s v="Trinidad, Ja"/>
    <d v="2020-11-27T00:00:00"/>
    <s v="NOT SUPPORTED WITHIN 2DAYS"/>
    <x v="1"/>
    <n v="0"/>
    <s v="GK01190015"/>
    <x v="0"/>
    <d v="2020-11-24T14:49:51"/>
  </r>
  <r>
    <s v="Pedritos Tapuac"/>
    <s v="OTHERS"/>
    <x v="0"/>
    <s v="GK0120000697"/>
    <d v="2020-11-24T00:00:00"/>
    <s v="P001"/>
    <s v="Create PO, asset transfers and sticker of system unit. "/>
    <m/>
    <x v="1"/>
    <x v="3"/>
    <n v="0"/>
    <m/>
    <s v="Done "/>
    <m/>
    <s v="Trinidad, Ja"/>
    <d v="2020-11-27T00:00:00"/>
    <s v="NOT SUPPORTED WITHIN 2DAYS"/>
    <x v="1"/>
    <n v="4"/>
    <s v="GK01190015"/>
    <x v="0"/>
    <d v="2020-11-24T14:51:07"/>
  </r>
  <r>
    <s v="UEMI San Fernando LUN - Yamaha"/>
    <s v="OTHERS"/>
    <x v="0"/>
    <s v="GK0120000698"/>
    <d v="2020-11-24T00:00:00"/>
    <s v="M096"/>
    <s v="Asset transfer monitor. "/>
    <m/>
    <x v="1"/>
    <x v="3"/>
    <n v="0"/>
    <m/>
    <s v="Done "/>
    <m/>
    <s v="Trinidad, Ja"/>
    <d v="2020-11-27T00:00:00"/>
    <s v="NOT SUPPORTED WITHIN 2DAYS"/>
    <x v="1"/>
    <n v="4"/>
    <s v="GK01190015"/>
    <x v="0"/>
    <d v="2020-11-24T14:54:13"/>
  </r>
  <r>
    <s v="MCC Bani - Multi"/>
    <s v="REPAIRED"/>
    <x v="0"/>
    <s v="GK0120000699"/>
    <d v="2020-11-24T00:00:00"/>
    <s v="M146"/>
    <s v="Hindi naka obtain yung internet kaya walang connection."/>
    <m/>
    <x v="1"/>
    <x v="3"/>
    <n v="0"/>
    <m/>
    <s v="Done "/>
    <m/>
    <s v="Trinidad, Ja"/>
    <d v="2020-11-27T00:00:00"/>
    <s v="NOT SUPPORTED WITHIN 2DAYS"/>
    <x v="1"/>
    <n v="0"/>
    <s v="GK01190015"/>
    <x v="0"/>
    <d v="2020-11-24T15:58:16"/>
  </r>
  <r>
    <s v="Guan Kai Office"/>
    <s v="REPAIRED"/>
    <x v="0"/>
    <s v="GK0120000700"/>
    <d v="2020-11-25T00:00:00"/>
    <s v="GK01"/>
    <s v="Hindi mag on yung monitor ng HR. "/>
    <s v="nilinisan lang yung RAM. "/>
    <x v="1"/>
    <x v="3"/>
    <n v="0"/>
    <m/>
    <s v="Done "/>
    <m/>
    <s v="Trinidad, Ja"/>
    <d v="2020-11-27T00:00:00"/>
    <s v="SUPPORTED WITHIN 2DAYS"/>
    <x v="0"/>
    <n v="0"/>
    <s v="GK01190015"/>
    <x v="0"/>
    <d v="2020-11-25T08:27:24"/>
  </r>
  <r>
    <s v="UEMI Mangaldan - Suzuki"/>
    <s v="REPAIRED"/>
    <x v="0"/>
    <s v="GK0120000701"/>
    <d v="2020-11-25T00:00:00"/>
    <s v="M156"/>
    <s v="CCTV playback - 11-24-20 @ 8am onwards. "/>
    <s v="pina cancel nalang yung CCTV playback "/>
    <x v="1"/>
    <x v="3"/>
    <n v="0"/>
    <m/>
    <s v="Done "/>
    <m/>
    <s v="Trinidad, Ja"/>
    <d v="2020-11-27T00:00:00"/>
    <s v="SUPPORTED WITHIN 2DAYS"/>
    <x v="0"/>
    <n v="0"/>
    <s v="GK01190015"/>
    <x v="0"/>
    <d v="2020-11-25T08:41:43"/>
  </r>
  <r>
    <s v="UEMI San Fernando LUN - Yamaha"/>
    <s v="OTHERS"/>
    <x v="0"/>
    <s v="GK0120000702"/>
    <d v="2020-11-25T00:00:00"/>
    <s v="M096"/>
    <s v="Put sticker and create asset transfer of replacement new monitor. "/>
    <m/>
    <x v="1"/>
    <x v="3"/>
    <n v="0"/>
    <m/>
    <s v="Done "/>
    <m/>
    <s v="Trinidad, Ja"/>
    <d v="2020-11-27T00:00:00"/>
    <s v="SUPPORTED WITHIN 2DAYS"/>
    <x v="0"/>
    <n v="4"/>
    <s v="GK01190015"/>
    <x v="0"/>
    <d v="2020-11-25T10:18:49"/>
  </r>
  <r>
    <s v="UEMI San Nicolas - Yamaha"/>
    <s v="REPAIRED"/>
    <x v="0"/>
    <s v="GK0120000703"/>
    <d v="2020-11-25T00:00:00"/>
    <s v="M144"/>
    <s v="hindi mag open excel. "/>
    <s v="Reinstall Microsoft office. "/>
    <x v="1"/>
    <x v="3"/>
    <n v="0"/>
    <m/>
    <s v="Done "/>
    <m/>
    <s v="Trinidad, Ja"/>
    <d v="2020-11-27T00:00:00"/>
    <s v="SUPPORTED WITHIN 2DAYS"/>
    <x v="0"/>
    <n v="0"/>
    <s v="GK01190015"/>
    <x v="0"/>
    <d v="2020-11-25T10:53:33"/>
  </r>
  <r>
    <s v="UEMI San Nicolas - Yamaha"/>
    <s v="REPAIRED"/>
    <x v="0"/>
    <s v="GK0120000704"/>
    <d v="2020-11-25T00:00:00"/>
    <s v="M144"/>
    <s v="Connect printer. "/>
    <s v="Share printer. "/>
    <x v="1"/>
    <x v="3"/>
    <n v="0"/>
    <m/>
    <s v="Done "/>
    <m/>
    <s v="Trinidad, Ja"/>
    <d v="2020-11-27T00:00:00"/>
    <s v="SUPPORTED WITHIN 2DAYS"/>
    <x v="0"/>
    <n v="0"/>
    <s v="GK01190015"/>
    <x v="0"/>
    <d v="2020-11-25T10:53:52"/>
  </r>
  <r>
    <s v="Pedritos Tapuac"/>
    <s v="OTHERS"/>
    <x v="0"/>
    <s v="GK0120000705"/>
    <d v="2020-11-25T00:00:00"/>
    <s v="P001"/>
    <s v="Asset transfer old system unit. "/>
    <m/>
    <x v="1"/>
    <x v="3"/>
    <n v="0"/>
    <m/>
    <s v="Done "/>
    <m/>
    <s v="Trinidad, Ja"/>
    <d v="2020-11-27T00:00:00"/>
    <s v="SUPPORTED WITHIN 2DAYS"/>
    <x v="0"/>
    <n v="4"/>
    <s v="GK01190015"/>
    <x v="0"/>
    <d v="2020-11-25T11:20:36"/>
  </r>
  <r>
    <s v="Mobitek Lingayen"/>
    <s v="REPAIRED"/>
    <x v="1"/>
    <s v="GK0120000706"/>
    <d v="2020-11-24T00:00:00"/>
    <s v="C033"/>
    <s v="ilipat ang pone at swip sa harap at connetion ng trace alarm"/>
    <m/>
    <x v="1"/>
    <x v="3"/>
    <n v="0"/>
    <m/>
    <s v="ok na......"/>
    <m/>
    <s v="Cuison, Bern"/>
    <d v="2020-11-25T00:00:00"/>
    <s v="SUPPORTED WITHIN 2DAYS"/>
    <x v="0"/>
    <n v="0"/>
    <s v="GK01190010"/>
    <x v="2"/>
    <d v="2020-11-25T11:57:27"/>
  </r>
  <r>
    <s v="Guanzon Central Office"/>
    <s v="REPAIRED"/>
    <x v="0"/>
    <s v="GK0120000707"/>
    <d v="2020-11-25T00:00:00"/>
    <s v="GCO1"/>
    <s v="Back up file and reformat. "/>
    <s v="Para sa Accounting Dept. "/>
    <x v="1"/>
    <x v="3"/>
    <n v="0"/>
    <m/>
    <s v="Done "/>
    <m/>
    <s v="Trinidad, Ja"/>
    <d v="2020-11-27T00:00:00"/>
    <s v="SUPPORTED WITHIN 2DAYS"/>
    <x v="0"/>
    <n v="0"/>
    <s v="GK01190015"/>
    <x v="0"/>
    <d v="2020-11-25T14:46:24"/>
  </r>
  <r>
    <s v="MCC Tagudin - Honda"/>
    <s v="REPAIRED"/>
    <x v="0"/>
    <s v="GK0120000708"/>
    <d v="2020-11-25T00:00:00"/>
    <s v="M094"/>
    <s v="Received Backload system unit na na replaced ng bago. Back up files and reformat para maging spare. "/>
    <m/>
    <x v="1"/>
    <x v="1"/>
    <n v="0"/>
    <m/>
    <s v="Done. "/>
    <m/>
    <s v="Trinidad, Ja"/>
    <d v="2020-11-27T00:00:00"/>
    <s v="SUPPORTED WITHIN 2DAYS"/>
    <x v="0"/>
    <n v="0"/>
    <s v="GK01190015"/>
    <x v="0"/>
    <d v="2020-11-26T09:30:34"/>
  </r>
  <r>
    <s v="Guanzon Corporate Center"/>
    <s v="REPAIRED"/>
    <x v="1"/>
    <s v="GK0120000709"/>
    <d v="2020-11-26T00:00:00"/>
    <s v="GCC1"/>
    <s v="For Diagnose. "/>
    <m/>
    <x v="0"/>
    <x v="0"/>
    <n v="0"/>
    <m/>
    <m/>
    <m/>
    <m/>
    <d v="2020-11-26T00:00:00"/>
    <s v="SUPPORTED WITHIN 2DAYS"/>
    <x v="0"/>
    <n v="0"/>
    <s v="GK01190015"/>
    <x v="0"/>
    <d v="2020-11-26T09:34:40"/>
  </r>
  <r>
    <s v="Guanzon Corporate Center"/>
    <s v="REPAIRED"/>
    <x v="1"/>
    <s v="GK0120000710"/>
    <d v="2020-11-26T00:00:00"/>
    <s v="GCC1"/>
    <s v="For repair. GCC -CSS dept. "/>
    <m/>
    <x v="0"/>
    <x v="0"/>
    <n v="0"/>
    <m/>
    <m/>
    <s v="M00119000705"/>
    <m/>
    <d v="2020-11-26T00:00:00"/>
    <s v="SUPPORTED WITHIN 2DAYS"/>
    <x v="0"/>
    <n v="0"/>
    <s v="GK01190015"/>
    <x v="0"/>
    <d v="2020-11-26T09:35:29"/>
  </r>
  <r>
    <s v="Guanzon Corporate Center"/>
    <s v="OTHERS"/>
    <x v="0"/>
    <s v="GK0120000711"/>
    <d v="2020-11-25T00:00:00"/>
    <s v="GCC1"/>
    <s v="Defective mouse for GCC- CSS dept. "/>
    <s v="hindi na gumagana yung mouse. "/>
    <x v="1"/>
    <x v="3"/>
    <n v="0"/>
    <m/>
    <s v="Done "/>
    <s v="M00119000705"/>
    <s v="Trinidad, Ja"/>
    <d v="2020-11-27T00:00:00"/>
    <s v="SUPPORTED WITHIN 2DAYS"/>
    <x v="0"/>
    <n v="4"/>
    <s v="GK01190015"/>
    <x v="0"/>
    <d v="2020-11-26T09:40:24"/>
  </r>
  <r>
    <s v="Guan Kai Office"/>
    <s v="OTHERS"/>
    <x v="0"/>
    <s v="GK0120000712"/>
    <d v="2020-11-26T00:00:00"/>
    <s v="GK01"/>
    <s v="Create PO and asset transfer of Old mouse for replacement at GCC-CSS dept. "/>
    <m/>
    <x v="1"/>
    <x v="3"/>
    <n v="0"/>
    <m/>
    <s v="Done "/>
    <s v="M00119000705"/>
    <s v="Trinidad, Ja"/>
    <d v="2020-11-27T00:00:00"/>
    <s v="SUPPORTED WITHIN 2DAYS"/>
    <x v="0"/>
    <n v="4"/>
    <s v="GK01190015"/>
    <x v="0"/>
    <d v="2020-11-26T09:41:46"/>
  </r>
  <r>
    <s v="LGK Pozorrubio - Honda"/>
    <s v="REPAIRED"/>
    <x v="0"/>
    <s v="GK0120000713"/>
    <d v="2020-11-26T00:00:00"/>
    <s v="M038"/>
    <s v="ishare yung printer. "/>
    <s v="Hindi naka share yung printer,"/>
    <x v="2"/>
    <x v="5"/>
    <n v="0"/>
    <m/>
    <s v="Done "/>
    <s v="M00119000705"/>
    <s v="Trinidad, Ja"/>
    <d v="2020-11-26T00:00:00"/>
    <s v="SUPPORTED WITHIN 2DAYS"/>
    <x v="0"/>
    <n v="0"/>
    <s v="GK01190015"/>
    <x v="0"/>
    <d v="2020-11-26T09:58:45"/>
  </r>
  <r>
    <s v="UEMI Santiago - Multi"/>
    <s v="OTHERS"/>
    <x v="0"/>
    <s v="GK0120000714"/>
    <d v="2020-11-26T00:00:00"/>
    <s v="M061"/>
    <s v="Replacement of new system unit. old system unit for Backload. "/>
    <m/>
    <x v="1"/>
    <x v="3"/>
    <n v="0"/>
    <m/>
    <s v="Done "/>
    <s v="M00119000705"/>
    <s v="Trinidad, Ja"/>
    <d v="2020-11-27T00:00:00"/>
    <s v="SUPPORTED WITHIN 2DAYS"/>
    <x v="0"/>
    <n v="4"/>
    <s v="GK01190015"/>
    <x v="0"/>
    <d v="2020-11-26T10:31:46"/>
  </r>
  <r>
    <s v="Guanzon Central Office"/>
    <s v="OTHERS"/>
    <x v="0"/>
    <s v="GK0120000715"/>
    <d v="2020-11-26T00:00:00"/>
    <s v="GCO1"/>
    <s v="Create Asset transfer of repaired system unit for Engineering dept. "/>
    <m/>
    <x v="1"/>
    <x v="3"/>
    <n v="0"/>
    <m/>
    <s v="Done "/>
    <m/>
    <s v="Trinidad, Ja"/>
    <d v="2020-11-27T00:00:00"/>
    <s v="SUPPORTED WITHIN 2DAYS"/>
    <x v="0"/>
    <n v="4"/>
    <s v="GK01190015"/>
    <x v="0"/>
    <d v="2020-11-26T11:36:47"/>
  </r>
  <r>
    <s v="Guanzon Central Office"/>
    <s v="OTHERS"/>
    <x v="0"/>
    <s v="GK0120000716"/>
    <d v="2020-11-26T00:00:00"/>
    <s v="GCO1"/>
    <s v="Create asset transfer of replacement old system unit for accounting. "/>
    <m/>
    <x v="1"/>
    <x v="3"/>
    <n v="0"/>
    <m/>
    <s v="Done "/>
    <m/>
    <s v="Trinidad, Ja"/>
    <d v="2020-11-27T00:00:00"/>
    <s v="SUPPORTED WITHIN 2DAYS"/>
    <x v="0"/>
    <n v="4"/>
    <s v="GK01190015"/>
    <x v="0"/>
    <d v="2020-11-26T13:43:20"/>
  </r>
  <r>
    <s v="Pedritos Tapuac"/>
    <s v="REPAIRED"/>
    <x v="0"/>
    <s v="GK0120000717"/>
    <d v="2020-11-26T00:00:00"/>
    <s v="P001"/>
    <s v="Back up files and reformat. "/>
    <m/>
    <x v="1"/>
    <x v="3"/>
    <n v="0"/>
    <m/>
    <s v="Done "/>
    <s v="M00119002528"/>
    <s v="Trinidad, Ja"/>
    <d v="2020-11-27T00:00:00"/>
    <s v="SUPPORTED WITHIN 2DAYS"/>
    <x v="0"/>
    <n v="0"/>
    <s v="GK01190015"/>
    <x v="0"/>
    <d v="2020-11-26T13:58:17"/>
  </r>
  <r>
    <s v="GMC Anolid Warehouse (For CP Dept)"/>
    <s v="REPAIRED"/>
    <x v="1"/>
    <s v="GK0120000718"/>
    <d v="2020-11-25T00:00:00"/>
    <s v="C0A7"/>
    <s v="For diagnose. "/>
    <m/>
    <x v="0"/>
    <x v="0"/>
    <n v="0"/>
    <m/>
    <m/>
    <s v="M00119002528"/>
    <m/>
    <d v="2020-11-26T00:00:00"/>
    <s v="SUPPORTED WITHIN 2DAYS"/>
    <x v="0"/>
    <n v="0"/>
    <s v="GK01190015"/>
    <x v="0"/>
    <d v="2020-11-26T14:19:37"/>
  </r>
  <r>
    <s v="Guan Kai Office"/>
    <s v="OTHERS"/>
    <x v="0"/>
    <s v="GK0120000719"/>
    <d v="2020-11-26T00:00:00"/>
    <s v="GK01"/>
    <s v="nag bigay ng ipapadala sa parcel at nag recieve ng backloads. "/>
    <m/>
    <x v="1"/>
    <x v="3"/>
    <n v="0"/>
    <m/>
    <s v="Done "/>
    <s v="M00119002528"/>
    <s v="Trinidad, Ja"/>
    <d v="2020-11-27T00:00:00"/>
    <s v="SUPPORTED WITHIN 2DAYS"/>
    <x v="0"/>
    <n v="4"/>
    <s v="GK01190015"/>
    <x v="0"/>
    <d v="2020-11-26T14:20:33"/>
  </r>
  <r>
    <s v="Guanzon Central Office"/>
    <s v="OTHERS"/>
    <x v="0"/>
    <s v="GK0120000720"/>
    <d v="2020-11-26T00:00:00"/>
    <s v="GCO1"/>
    <s v="Create document transfer of 110meters of UTP for Honda Wings Lingayen. "/>
    <m/>
    <x v="1"/>
    <x v="3"/>
    <n v="0"/>
    <m/>
    <s v="Done "/>
    <m/>
    <s v="Trinidad, Ja"/>
    <d v="2020-11-27T00:00:00"/>
    <s v="SUPPORTED WITHIN 2DAYS"/>
    <x v="0"/>
    <n v="4"/>
    <s v="GK01190015"/>
    <x v="0"/>
    <d v="2020-11-26T16:51:59"/>
  </r>
  <r>
    <s v="Guan Kai Office"/>
    <s v="REPLACED"/>
    <x v="0"/>
    <s v="GK0120000721"/>
    <d v="2020-11-27T00:00:00"/>
    <s v="GK01"/>
    <s v="Replacement of defective powercord from FSM Dept. "/>
    <m/>
    <x v="1"/>
    <x v="3"/>
    <n v="0"/>
    <m/>
    <s v="Done "/>
    <s v="M00119001128"/>
    <s v="Trinidad, Ja"/>
    <d v="2020-11-27T00:00:00"/>
    <s v="SUPPORTED WITHIN 2DAYS"/>
    <x v="0"/>
    <n v="1"/>
    <s v="GK01190015"/>
    <x v="0"/>
    <d v="2020-11-27T08:30:13"/>
  </r>
  <r>
    <s v="UEMI Urdaneta - Yamaha"/>
    <s v="REPAIRED"/>
    <x v="1"/>
    <s v="GK0120000722"/>
    <d v="2020-11-27T00:00:00"/>
    <s v="M018"/>
    <s v="Replacement of new keyboard and monitor. "/>
    <m/>
    <x v="1"/>
    <x v="1"/>
    <n v="0"/>
    <m/>
    <m/>
    <s v="M00119001128"/>
    <m/>
    <d v="2020-11-27T00:00:00"/>
    <s v="SUPPORTED WITHIN 2DAYS"/>
    <x v="0"/>
    <n v="0"/>
    <s v="GK01190015"/>
    <x v="0"/>
    <d v="2020-11-27T08:45:51"/>
  </r>
  <r>
    <s v="Guanzon Central Office"/>
    <s v="REPAIRED"/>
    <x v="1"/>
    <s v="GK0120000723"/>
    <d v="2020-11-27T00:00:00"/>
    <s v="GCO1"/>
    <s v="Create sticker, PO, and asset transfer of new laptop charger for Sir Arnold Gullien."/>
    <m/>
    <x v="1"/>
    <x v="1"/>
    <n v="0"/>
    <m/>
    <m/>
    <s v="M00119001128"/>
    <m/>
    <d v="2020-11-27T00:00:00"/>
    <s v="SUPPORTED WITHIN 2DAYS"/>
    <x v="0"/>
    <n v="0"/>
    <s v="GK01190015"/>
    <x v="0"/>
    <d v="2020-11-27T09:45:28"/>
  </r>
  <r>
    <s v="Guanzon Corporate Center"/>
    <s v="REPAIRED"/>
    <x v="1"/>
    <s v="GK0120000724"/>
    <d v="2020-11-27T00:00:00"/>
    <s v="GCC1"/>
    <s v="Create asset transfer of repaired laptop charger. "/>
    <m/>
    <x v="1"/>
    <x v="1"/>
    <n v="0"/>
    <m/>
    <m/>
    <s v="M00119001128"/>
    <m/>
    <d v="2020-11-27T00:00:00"/>
    <s v="SUPPORTED WITHIN 2DAYS"/>
    <x v="0"/>
    <n v="0"/>
    <s v="GK01190015"/>
    <x v="0"/>
    <d v="2020-11-27T09:57:56"/>
  </r>
  <r>
    <s v="Guanzon Corporate Center"/>
    <s v="REPAIRED"/>
    <x v="1"/>
    <s v="GK0120000725"/>
    <d v="2020-11-27T00:00:00"/>
    <s v="GCC1"/>
    <s v="Create Asset transfer, Sticker, and PO of old repaired laptop charger."/>
    <m/>
    <x v="1"/>
    <x v="1"/>
    <n v="0"/>
    <m/>
    <m/>
    <s v="M00119001128"/>
    <m/>
    <d v="2020-11-27T00:00:00"/>
    <s v="SUPPORTED WITHIN 2DAYS"/>
    <x v="0"/>
    <n v="0"/>
    <s v="GK01190015"/>
    <x v="0"/>
    <d v="2020-11-27T10:55:54"/>
  </r>
  <r>
    <s v="LGK Alaminos - Honda"/>
    <s v="REPAIRED"/>
    <x v="1"/>
    <s v="GK0120000726"/>
    <d v="2020-11-27T00:00:00"/>
    <s v="M007"/>
    <s v="Create Asset transfer of replaced system unit. "/>
    <m/>
    <x v="1"/>
    <x v="1"/>
    <n v="0"/>
    <m/>
    <m/>
    <s v="M00119001128"/>
    <m/>
    <d v="2020-11-27T00:00:00"/>
    <s v="SUPPORTED WITHIN 2DAYS"/>
    <x v="0"/>
    <n v="0"/>
    <s v="GK01190015"/>
    <x v="0"/>
    <d v="2020-11-27T11:16:16"/>
  </r>
  <r>
    <s v="Guanzon Corporate Center"/>
    <s v="REPAIRED"/>
    <x v="1"/>
    <s v="GK0120000727"/>
    <d v="2020-11-27T00:00:00"/>
    <s v="GCC1"/>
    <s v="Doc. transfer 1 system unit, 2keyboard and mouse and 5 UTP Cable. Para sa Lot Sale "/>
    <m/>
    <x v="1"/>
    <x v="1"/>
    <n v="0"/>
    <m/>
    <m/>
    <s v="M00119001128"/>
    <m/>
    <d v="2020-11-27T00:00:00"/>
    <s v="SUPPORTED WITHIN 2DAYS"/>
    <x v="0"/>
    <n v="0"/>
    <s v="GK01190015"/>
    <x v="0"/>
    <d v="2020-11-27T11:59:05"/>
  </r>
  <r>
    <s v="Pedritos Tapuac"/>
    <s v="REPAIRED"/>
    <x v="1"/>
    <s v="GK0120000728"/>
    <d v="2020-11-27T00:00:00"/>
    <s v="P001"/>
    <s v="Create Asset transfer of repaired old system unit. "/>
    <m/>
    <x v="1"/>
    <x v="1"/>
    <n v="0"/>
    <m/>
    <m/>
    <s v="M00119001128"/>
    <m/>
    <d v="2020-11-27T00:00:00"/>
    <s v="SUPPORTED WITHIN 2DAYS"/>
    <x v="0"/>
    <n v="0"/>
    <s v="GK01190015"/>
    <x v="0"/>
    <d v="2020-11-27T13:14:26"/>
  </r>
  <r>
    <s v="Guanzon Central Office"/>
    <s v="REPAIRED"/>
    <x v="1"/>
    <s v="GK0120000729"/>
    <d v="2020-11-27T00:00:00"/>
    <s v="GCO1"/>
    <s v="Document transfer External for MIS dept. "/>
    <m/>
    <x v="1"/>
    <x v="1"/>
    <n v="0"/>
    <m/>
    <m/>
    <m/>
    <m/>
    <d v="2020-11-27T00:00:00"/>
    <s v="SUPPORTED WITHIN 2DAYS"/>
    <x v="0"/>
    <n v="0"/>
    <s v="GK01190015"/>
    <x v="0"/>
    <d v="2020-11-27T13:56:15"/>
  </r>
  <r>
    <s v="Guan Kai Office"/>
    <s v="REPAIRED"/>
    <x v="1"/>
    <s v="GK0120000730"/>
    <d v="2020-11-27T00:00:00"/>
    <s v="GK01"/>
    <s v="Reformat system unit of mcc Tagudin para maging spare. "/>
    <m/>
    <x v="0"/>
    <x v="0"/>
    <n v="0"/>
    <m/>
    <m/>
    <m/>
    <m/>
    <d v="2020-11-27T00:00:00"/>
    <s v="SUPPORTED WITHIN 2DAYS"/>
    <x v="0"/>
    <n v="0"/>
    <s v="GK01190015"/>
    <x v="0"/>
    <d v="2020-11-27T14:05:24"/>
  </r>
  <r>
    <s v="UEMI Santiago - Multi"/>
    <s v="REPAIRED"/>
    <x v="1"/>
    <s v="GK0120000731"/>
    <d v="2020-11-26T00:00:00"/>
    <s v="M061"/>
    <s v="nareceived na yung backload. for back up files and reformat na para maging spare. "/>
    <m/>
    <x v="5"/>
    <x v="0"/>
    <n v="0"/>
    <m/>
    <m/>
    <m/>
    <m/>
    <d v="2020-11-28T00:00:00"/>
    <s v="SUPPORTED WITHIN 2DAYS"/>
    <x v="0"/>
    <n v="0"/>
    <s v="GK01190015"/>
    <x v="0"/>
    <d v="2020-11-28T08:33:06"/>
  </r>
  <r>
    <s v="RealMe - Magic Urdaneta - Annex"/>
    <s v="REPAIRED"/>
    <x v="1"/>
    <s v="GK0120000732"/>
    <d v="2020-11-28T00:00:00"/>
    <s v="C096"/>
    <s v="No monitor Display. "/>
    <m/>
    <x v="0"/>
    <x v="0"/>
    <n v="0"/>
    <m/>
    <m/>
    <m/>
    <m/>
    <d v="2020-11-28T00:00:00"/>
    <s v="SUPPORTED WITHIN 2DAYS"/>
    <x v="0"/>
    <n v="0"/>
    <s v="GK01190015"/>
    <x v="0"/>
    <d v="2020-11-28T08:49:41"/>
  </r>
  <r>
    <s v="MCC San Leonardo NUE - Multi"/>
    <s v="REPAIRED"/>
    <x v="1"/>
    <s v="GK0120000733"/>
    <d v="2020-11-28T00:00:00"/>
    <s v="M162"/>
    <s v="For diagnose. "/>
    <m/>
    <x v="0"/>
    <x v="0"/>
    <n v="0"/>
    <m/>
    <m/>
    <m/>
    <m/>
    <d v="2020-11-28T00:00:00"/>
    <s v="SUPPORTED WITHIN 2DAYS"/>
    <x v="0"/>
    <n v="0"/>
    <s v="GK01190015"/>
    <x v="0"/>
    <d v="2020-11-28T08:56:14"/>
  </r>
  <r>
    <s v="UEMI Mabalacat - Yamaha"/>
    <s v="REPAIRED"/>
    <x v="1"/>
    <s v="GK0120000734"/>
    <d v="2020-11-28T00:00:00"/>
    <s v="M060"/>
    <s v="Create asset transfer of router. "/>
    <m/>
    <x v="1"/>
    <x v="1"/>
    <n v="0"/>
    <m/>
    <m/>
    <m/>
    <m/>
    <d v="2020-11-28T00:00:00"/>
    <s v="SUPPORTED WITHIN 2DAYS"/>
    <x v="0"/>
    <n v="0"/>
    <s v="GK01190015"/>
    <x v="0"/>
    <d v="2020-11-28T09:31:22"/>
  </r>
  <r>
    <s v="Guan Kai Office"/>
    <s v="REPAIRED"/>
    <x v="1"/>
    <s v="GK0120000735"/>
    <d v="2020-11-28T00:00:00"/>
    <s v="GK01"/>
    <s v="Create Request letter for System unit stocks. "/>
    <m/>
    <x v="1"/>
    <x v="1"/>
    <n v="0"/>
    <m/>
    <m/>
    <s v="M00110017110"/>
    <m/>
    <d v="2020-11-28T00:00:00"/>
    <s v="SUPPORTED WITHIN 2DAYS"/>
    <x v="0"/>
    <n v="0"/>
    <s v="GK01190015"/>
    <x v="0"/>
    <d v="2020-11-28T09:56:05"/>
  </r>
  <r>
    <s v="UEMI Mabalacat - Yamaha"/>
    <s v="REPAIRED"/>
    <x v="1"/>
    <s v="GK0120000736"/>
    <d v="2020-11-28T00:00:00"/>
    <s v="M060"/>
    <s v="Document transfer Modem. approved by sir Jeff. "/>
    <m/>
    <x v="1"/>
    <x v="1"/>
    <n v="0"/>
    <m/>
    <m/>
    <s v="M00110017110"/>
    <m/>
    <d v="2020-11-28T00:00:00"/>
    <s v="SUPPORTED WITHIN 2DAYS"/>
    <x v="0"/>
    <n v="0"/>
    <s v="GK01190015"/>
    <x v="0"/>
    <d v="2020-11-28T10:52:06"/>
  </r>
  <r>
    <s v="MCC Roxas PLW - Multi"/>
    <s v="REPAIRED"/>
    <x v="1"/>
    <s v="GK0120000737"/>
    <d v="2020-11-28T00:00:00"/>
    <s v="M127"/>
    <s v="Asset transfer repaired old system unit. "/>
    <m/>
    <x v="1"/>
    <x v="1"/>
    <n v="0"/>
    <m/>
    <m/>
    <s v="M00110017110"/>
    <m/>
    <d v="2020-11-28T00:00:00"/>
    <s v="SUPPORTED WITHIN 2DAYS"/>
    <x v="0"/>
    <n v="0"/>
    <s v="GK01190015"/>
    <x v="0"/>
    <d v="2020-11-28T11:08:23"/>
  </r>
  <r>
    <s v="Guanzon Central Office"/>
    <s v="REPAIRED"/>
    <x v="1"/>
    <s v="GK0120000738"/>
    <d v="2020-11-28T00:00:00"/>
    <s v="GCO1"/>
    <s v="Create asset transfer of repaired laptop for accounting dept. Replaced print Head."/>
    <m/>
    <x v="1"/>
    <x v="1"/>
    <n v="0"/>
    <m/>
    <m/>
    <s v="M00110017110"/>
    <m/>
    <d v="2020-11-28T00:00:00"/>
    <s v="SUPPORTED WITHIN 2DAYS"/>
    <x v="0"/>
    <n v="0"/>
    <s v="GK01190015"/>
    <x v="0"/>
    <d v="2020-11-28T13:23:08"/>
  </r>
  <r>
    <s v="MCC Dau - Honda"/>
    <s v="OTHERS"/>
    <x v="0"/>
    <s v="GK0120000739"/>
    <d v="2020-11-28T00:00:00"/>
    <s v="M020"/>
    <s v="Create asset transfer of repaired old system unit. create sticker serial hindi na po mabasa. "/>
    <s v="Done "/>
    <x v="1"/>
    <x v="1"/>
    <n v="0"/>
    <m/>
    <s v="Done"/>
    <s v="M00110017110"/>
    <s v="Trinidad, Ja"/>
    <d v="2020-11-30T00:00:00"/>
    <s v="SUPPORTED WITHIN 2DAYS"/>
    <x v="0"/>
    <n v="4"/>
    <s v="GK01190015"/>
    <x v="0"/>
    <d v="2020-11-28T14:39:09"/>
  </r>
  <r>
    <s v="Guanzon Manila Office"/>
    <s v="REPAIRED"/>
    <x v="1"/>
    <s v="GK0120000740"/>
    <d v="2020-11-28T00:00:00"/>
    <s v="GMO1"/>
    <s v="Create sticker and asset transfer of repaired laptop. Scanner only. "/>
    <m/>
    <x v="1"/>
    <x v="1"/>
    <n v="0"/>
    <m/>
    <m/>
    <s v="M00110017110"/>
    <m/>
    <d v="2020-11-28T00:00:00"/>
    <s v="SUPPORTED WITHIN 2DAYS"/>
    <x v="0"/>
    <n v="0"/>
    <s v="GK01190015"/>
    <x v="0"/>
    <d v="2020-11-28T15:29:58"/>
  </r>
  <r>
    <s v="MCC Baguio - Honda"/>
    <s v="REPAIRED"/>
    <x v="1"/>
    <s v="GK0120000741"/>
    <d v="2020-11-21T00:00:00"/>
    <s v="M015"/>
    <s v="to install cctv"/>
    <m/>
    <x v="4"/>
    <x v="4"/>
    <n v="0"/>
    <m/>
    <s v="ok na........"/>
    <m/>
    <s v="Cuison, Bern"/>
    <d v="2020-11-30T00:00:00"/>
    <s v="NOT SUPPORTED WITHIN 2DAYS"/>
    <x v="1"/>
    <n v="0"/>
    <s v="GK01190010"/>
    <x v="2"/>
    <d v="2020-11-30T10:46:28"/>
  </r>
  <r>
    <s v="Guan Kai Office"/>
    <s v="REPAIRED"/>
    <x v="1"/>
    <s v="GK0120000742"/>
    <d v="2020-11-26T00:00:00"/>
    <s v="GK01"/>
    <s v="to repair"/>
    <s v="replace other parts"/>
    <x v="0"/>
    <x v="2"/>
    <n v="0"/>
    <m/>
    <s v="ok na prenter ng ue rosario"/>
    <m/>
    <s v="Cuison, Bern"/>
    <d v="2020-11-30T00:00:00"/>
    <s v="NOT SUPPORTED WITHIN 2DAYS"/>
    <x v="1"/>
    <n v="0"/>
    <s v="GK01190010"/>
    <x v="2"/>
    <d v="2020-11-30T10:52:35"/>
  </r>
  <r>
    <s v="Guan Kai Office"/>
    <s v="REPAIRED"/>
    <x v="1"/>
    <s v="GK0120000743"/>
    <d v="2020-11-28T00:00:00"/>
    <s v="GK01"/>
    <s v="to repair"/>
    <s v="to replace other parts"/>
    <x v="0"/>
    <x v="2"/>
    <n v="0"/>
    <m/>
    <s v="ok na printer ng ue urdaneta yamaha"/>
    <m/>
    <s v="Cuison, Bern"/>
    <d v="2020-11-30T00:00:00"/>
    <s v="SUPPORTED WITHIN 2DAYS"/>
    <x v="0"/>
    <n v="0"/>
    <s v="GK01190010"/>
    <x v="2"/>
    <d v="2020-11-30T10:55:25"/>
  </r>
  <r>
    <s v="Guan Kai Office"/>
    <s v="REPAIRED"/>
    <x v="1"/>
    <s v="GK0120000744"/>
    <d v="2020-11-23T00:00:00"/>
    <s v="GK01"/>
    <s v="to repair"/>
    <s v="to replace other parts"/>
    <x v="0"/>
    <x v="2"/>
    <n v="0"/>
    <m/>
    <s v="ok na printer ng ricords"/>
    <m/>
    <s v="Cuison, Bern"/>
    <d v="2020-11-30T00:00:00"/>
    <s v="NOT SUPPORTED WITHIN 2DAYS"/>
    <x v="1"/>
    <n v="0"/>
    <s v="GK01190010"/>
    <x v="2"/>
    <d v="2020-11-30T10:58:47"/>
  </r>
  <r>
    <s v="MCC Baguio - Honda"/>
    <s v="REPAIRED"/>
    <x v="1"/>
    <s v="GK0120000745"/>
    <d v="2020-11-30T00:00:00"/>
    <s v="M015"/>
    <s v="Document tranasfer Lan teser, Crimper, and 10 RJ45"/>
    <m/>
    <x v="1"/>
    <x v="1"/>
    <n v="0"/>
    <m/>
    <m/>
    <m/>
    <m/>
    <d v="2020-11-30T00:00:00"/>
    <s v="SUPPORTED WITHIN 2DAYS"/>
    <x v="0"/>
    <n v="0"/>
    <s v="GK01190015"/>
    <x v="0"/>
    <d v="2020-11-30T13:32:05"/>
  </r>
  <r>
    <s v="MCC Dau - Honda"/>
    <s v="REPAIRED"/>
    <x v="1"/>
    <s v="GK0120000746"/>
    <d v="2020-11-30T00:00:00"/>
    <s v="M020"/>
    <s v="Create asset transfer and new siticker of old system unit. hindi na po mabasa."/>
    <m/>
    <x v="1"/>
    <x v="1"/>
    <n v="0"/>
    <m/>
    <m/>
    <m/>
    <m/>
    <d v="2020-11-30T00:00:00"/>
    <s v="SUPPORTED WITHIN 2DAYS"/>
    <x v="0"/>
    <n v="0"/>
    <s v="GK01190015"/>
    <x v="0"/>
    <d v="2020-11-30T13:59:58"/>
  </r>
  <r>
    <s v="Guanzon Central Office"/>
    <s v="REPAIRED"/>
    <x v="1"/>
    <s v="GK0120000747"/>
    <d v="2020-11-30T00:00:00"/>
    <s v="GCO1"/>
    <s v="Create sticker and asset transfer of system unit na galing MCC Bani ibibigay sa GCO MP Warehouse. "/>
    <m/>
    <x v="1"/>
    <x v="1"/>
    <n v="0"/>
    <m/>
    <m/>
    <m/>
    <m/>
    <d v="2020-11-30T00:00:00"/>
    <s v="SUPPORTED WITHIN 2DAYS"/>
    <x v="0"/>
    <n v="0"/>
    <s v="GK01190015"/>
    <x v="0"/>
    <d v="2020-11-30T14:50:22"/>
  </r>
  <r>
    <s v="Guanzon Corporate Center"/>
    <s v="REPAIRED"/>
    <x v="0"/>
    <s v="M00120000209"/>
    <d v="2020-11-02T00:00:00"/>
    <s v="GCC1"/>
    <s v="Wirings net connection for SOLAR @ GCC. source net at Mam Arlyn Tadeo residence"/>
    <s v="done"/>
    <x v="0"/>
    <x v="0"/>
    <n v="0"/>
    <m/>
    <s v="Done"/>
    <s v="M00118000543"/>
    <s v="Macarling, F"/>
    <d v="2020-11-09T00:00:00"/>
    <s v="NOT SUPPORTED WITHIN 2DAYS"/>
    <x v="1"/>
    <n v="0"/>
    <s v="M001170038"/>
    <x v="1"/>
    <d v="2020-11-02T10:49:34"/>
  </r>
  <r>
    <s v="Guanzon Central Office"/>
    <s v="REPAIRED"/>
    <x v="0"/>
    <s v="M00120000210"/>
    <d v="2020-11-02T00:00:00"/>
    <s v="GCO1"/>
    <s v="Assist regarding Guanzon email"/>
    <s v="done"/>
    <x v="0"/>
    <x v="0"/>
    <n v="0"/>
    <m/>
    <s v="Done"/>
    <s v="M00106001669"/>
    <s v="Macarling, F"/>
    <d v="2020-11-09T00:00:00"/>
    <s v="NOT SUPPORTED WITHIN 2DAYS"/>
    <x v="1"/>
    <n v="0"/>
    <s v="M001170038"/>
    <x v="1"/>
    <d v="2020-11-02T10:50:09"/>
  </r>
  <r>
    <s v="Guan Kai Office"/>
    <s v="REPAIRED"/>
    <x v="0"/>
    <s v="M00120000211"/>
    <d v="2020-11-02T00:00:00"/>
    <s v="GK01"/>
    <s v="Fix lan connection of telemtkg."/>
    <s v="done"/>
    <x v="2"/>
    <x v="5"/>
    <n v="0"/>
    <m/>
    <s v="Done"/>
    <s v="M00106001669"/>
    <s v="Macarling, F"/>
    <d v="2020-11-03T00:00:00"/>
    <s v="SUPPORTED WITHIN 2DAYS"/>
    <x v="0"/>
    <n v="0"/>
    <s v="M001170038"/>
    <x v="1"/>
    <d v="2020-11-02T10:54:17"/>
  </r>
  <r>
    <s v="Guan Kai Office"/>
    <s v="REPAIRED"/>
    <x v="0"/>
    <s v="M00120000212"/>
    <d v="2020-11-02T00:00:00"/>
    <s v="GK01"/>
    <s v="printer sharing of hr"/>
    <s v="connected"/>
    <x v="1"/>
    <x v="2"/>
    <n v="0"/>
    <m/>
    <s v="okay na"/>
    <m/>
    <s v="Velasquez, J"/>
    <d v="2020-11-02T00:00:00"/>
    <s v="SUPPORTED WITHIN 2DAYS"/>
    <x v="0"/>
    <n v="0"/>
    <s v="M001190058"/>
    <x v="3"/>
    <d v="2020-11-02T13:18:23"/>
  </r>
  <r>
    <s v="GMC Bolinao - Multi"/>
    <s v="REPAIRED"/>
    <x v="0"/>
    <s v="M00120000213"/>
    <d v="2020-11-02T00:00:00"/>
    <s v="M063"/>
    <s v="access branch for printer sharing"/>
    <s v="connected"/>
    <x v="2"/>
    <x v="2"/>
    <n v="0"/>
    <m/>
    <s v="okay na"/>
    <m/>
    <s v="Velasquez, J"/>
    <d v="2020-11-02T00:00:00"/>
    <s v="SUPPORTED WITHIN 2DAYS"/>
    <x v="0"/>
    <n v="0"/>
    <s v="M001190058"/>
    <x v="3"/>
    <d v="2020-11-02T13:18:59"/>
  </r>
  <r>
    <s v="Guan Kai Office"/>
    <s v="REPAIRED"/>
    <x v="0"/>
    <s v="M00120000214"/>
    <d v="2020-11-02T00:00:00"/>
    <s v="GK01"/>
    <s v="check and gather all gps stock if working"/>
    <s v="finished"/>
    <x v="1"/>
    <x v="6"/>
    <n v="0"/>
    <m/>
    <s v="okay na"/>
    <m/>
    <s v="Velasquez, J"/>
    <d v="2020-11-09T00:00:00"/>
    <s v="NOT SUPPORTED WITHIN 2DAYS"/>
    <x v="1"/>
    <n v="0"/>
    <s v="M001190058"/>
    <x v="3"/>
    <d v="2020-11-02T13:19:46"/>
  </r>
  <r>
    <s v="Guan Kai Office"/>
    <s v="REPAIRED"/>
    <x v="0"/>
    <s v="M00120000215"/>
    <d v="2020-11-02T00:00:00"/>
    <s v="GK01"/>
    <s v="send sim card to area manager sir randy/sir david"/>
    <s v="sent/padala kay parcel"/>
    <x v="1"/>
    <x v="6"/>
    <n v="0"/>
    <m/>
    <s v="okay na"/>
    <m/>
    <s v="Velasquez, J"/>
    <d v="2020-11-02T00:00:00"/>
    <s v="SUPPORTED WITHIN 2DAYS"/>
    <x v="0"/>
    <n v="0"/>
    <s v="M001190058"/>
    <x v="3"/>
    <d v="2020-11-02T13:21:06"/>
  </r>
  <r>
    <s v="UEMI Tayug - Yamaha"/>
    <s v="REPAIRED"/>
    <x v="1"/>
    <s v="M00120000216"/>
    <d v="2020-11-02T00:00:00"/>
    <s v="M106"/>
    <s v="need to visit hdd not recording"/>
    <m/>
    <x v="0"/>
    <x v="4"/>
    <n v="0"/>
    <m/>
    <m/>
    <m/>
    <m/>
    <d v="2020-11-02T00:00:00"/>
    <s v="SUPPORTED WITHIN 2DAYS"/>
    <x v="0"/>
    <n v="0"/>
    <s v="M001190058"/>
    <x v="3"/>
    <d v="2020-11-02T15:53:24"/>
  </r>
  <r>
    <s v="Guan Kai Office"/>
    <s v="REPAIRED"/>
    <x v="0"/>
    <s v="M00120000217"/>
    <d v="2020-11-02T00:00:00"/>
    <s v="GK01"/>
    <s v="need replace hdd/ full bad sector"/>
    <s v="DONE. MULTIMEDIA PC"/>
    <x v="0"/>
    <x v="7"/>
    <n v="0"/>
    <m/>
    <s v="Done"/>
    <m/>
    <s v="Macarling, F"/>
    <d v="2020-11-05T00:00:00"/>
    <s v="NOT SUPPORTED WITHIN 2DAYS"/>
    <x v="1"/>
    <n v="0"/>
    <s v="M001190058"/>
    <x v="3"/>
    <d v="2020-11-02T16:23:26"/>
  </r>
  <r>
    <s v="Guanzon Corporate Center"/>
    <s v="REPAIRED"/>
    <x v="0"/>
    <s v="M00120000218"/>
    <d v="2020-11-03T00:00:00"/>
    <s v="GCC1"/>
    <s v="reset waste ink pad of DRS printer Epson L120"/>
    <s v="done. need to clean waste tank"/>
    <x v="2"/>
    <x v="5"/>
    <n v="0"/>
    <m/>
    <s v="Done"/>
    <m/>
    <s v="Macarling, F"/>
    <d v="2020-11-03T00:00:00"/>
    <s v="SUPPORTED WITHIN 2DAYS"/>
    <x v="0"/>
    <n v="0"/>
    <s v="M001170038"/>
    <x v="1"/>
    <d v="2020-11-03T08:34:03"/>
  </r>
  <r>
    <s v="Guanzon Central Office"/>
    <s v="NEW INSTALL"/>
    <x v="0"/>
    <s v="M00120000219"/>
    <d v="2020-11-03T00:00:00"/>
    <s v="GCO1"/>
    <s v="install JAVA Application"/>
    <s v="done"/>
    <x v="2"/>
    <x v="5"/>
    <n v="0"/>
    <m/>
    <s v="Done"/>
    <s v="M00120000269"/>
    <s v="Macarling, F"/>
    <d v="2020-11-03T00:00:00"/>
    <s v="SUPPORTED WITHIN 2DAYS"/>
    <x v="0"/>
    <n v="3"/>
    <s v="M001170038"/>
    <x v="1"/>
    <d v="2020-11-03T09:39:26"/>
  </r>
  <r>
    <s v="Guan Kai Office"/>
    <s v="REPAIRED"/>
    <x v="0"/>
    <s v="M00120000220"/>
    <d v="2020-11-03T00:00:00"/>
    <s v="GK01"/>
    <s v="export all working branches and sent to mam lorraine"/>
    <s v="sent"/>
    <x v="1"/>
    <x v="6"/>
    <n v="0"/>
    <m/>
    <s v="okay na"/>
    <m/>
    <s v="Velasquez, J"/>
    <d v="2020-11-03T00:00:00"/>
    <s v="SUPPORTED WITHIN 2DAYS"/>
    <x v="0"/>
    <n v="0"/>
    <s v="M001190058"/>
    <x v="3"/>
    <d v="2020-11-03T13:35:12"/>
  </r>
  <r>
    <s v="Guan Kai Office"/>
    <s v="REPAIRED"/>
    <x v="0"/>
    <s v="M00120000221"/>
    <d v="2020-11-03T00:00:00"/>
    <s v="GK01"/>
    <s v="no display"/>
    <s v="troubleshoot"/>
    <x v="3"/>
    <x v="0"/>
    <n v="0"/>
    <m/>
    <s v="okay na"/>
    <m/>
    <s v="Velasquez, J"/>
    <d v="2020-11-03T00:00:00"/>
    <s v="SUPPORTED WITHIN 2DAYS"/>
    <x v="0"/>
    <n v="0"/>
    <s v="M001190058"/>
    <x v="3"/>
    <d v="2020-11-03T13:35:32"/>
  </r>
  <r>
    <s v="Guan Kai Office"/>
    <s v="REPAIRED"/>
    <x v="0"/>
    <s v="M00120000222"/>
    <d v="2020-11-03T00:00:00"/>
    <s v="GK01"/>
    <s v="replace modem of server pc"/>
    <s v="replaced"/>
    <x v="5"/>
    <x v="6"/>
    <n v="0"/>
    <m/>
    <s v="okay na"/>
    <m/>
    <s v="Velasquez, J"/>
    <d v="2020-11-03T00:00:00"/>
    <s v="SUPPORTED WITHIN 2DAYS"/>
    <x v="0"/>
    <n v="0"/>
    <s v="M001190058"/>
    <x v="3"/>
    <d v="2020-11-03T13:36:35"/>
  </r>
  <r>
    <s v="UEMI Calamba - Multi"/>
    <s v="REPAIRED"/>
    <x v="0"/>
    <s v="M00120000223"/>
    <d v="2020-11-03T00:00:00"/>
    <s v="M044"/>
    <s v="no internet need to report pldt"/>
    <s v="reported"/>
    <x v="1"/>
    <x v="7"/>
    <n v="0"/>
    <m/>
    <s v="okay na"/>
    <m/>
    <s v="Velasquez, J"/>
    <d v="2020-11-03T00:00:00"/>
    <s v="SUPPORTED WITHIN 2DAYS"/>
    <x v="0"/>
    <n v="0"/>
    <s v="M001190058"/>
    <x v="3"/>
    <d v="2020-11-03T13:38:14"/>
  </r>
  <r>
    <s v="Guan Kai Office"/>
    <s v="REPAIRED"/>
    <x v="0"/>
    <s v="M00120000224"/>
    <d v="2020-11-03T00:00:00"/>
    <s v="GK01"/>
    <s v="Bring printers @ Bitstop (L220, L210, L120, L1300)"/>
    <s v="DONE"/>
    <x v="0"/>
    <x v="7"/>
    <n v="0"/>
    <m/>
    <s v="Done"/>
    <s v="M00120000269"/>
    <s v="Macarling, F"/>
    <d v="2020-11-05T00:00:00"/>
    <s v="SUPPORTED WITHIN 2DAYS"/>
    <x v="0"/>
    <n v="0"/>
    <s v="M001170038"/>
    <x v="1"/>
    <d v="2020-11-03T14:47:07"/>
  </r>
  <r>
    <s v="UEMI Urdaneta - Yamaha"/>
    <s v="REPAIRED"/>
    <x v="0"/>
    <s v="M00120000225"/>
    <d v="2020-11-03T00:00:00"/>
    <s v="M018"/>
    <s v="export report gps  and sent to mam loraine"/>
    <s v="sent email"/>
    <x v="1"/>
    <x v="6"/>
    <n v="0"/>
    <m/>
    <s v="okay na"/>
    <m/>
    <s v="Velasquez, J"/>
    <d v="2020-11-03T00:00:00"/>
    <s v="SUPPORTED WITHIN 2DAYS"/>
    <x v="0"/>
    <n v="0"/>
    <s v="M001190058"/>
    <x v="3"/>
    <d v="2020-11-03T16:31:47"/>
  </r>
  <r>
    <s v="MCC Sta. Barbara- Honda"/>
    <s v="REPAIRED"/>
    <x v="0"/>
    <s v="M00120000226"/>
    <d v="2020-11-04T00:00:00"/>
    <s v="M111"/>
    <s v="OS Corrupted"/>
    <m/>
    <x v="3"/>
    <x v="2"/>
    <n v="0"/>
    <m/>
    <s v="Done "/>
    <s v="M00112001258"/>
    <s v="Macarling, F"/>
    <d v="2020-11-04T00:00:00"/>
    <s v="SUPPORTED WITHIN 2DAYS"/>
    <x v="0"/>
    <n v="0"/>
    <s v="M001170038"/>
    <x v="1"/>
    <d v="2020-11-04T10:27:00"/>
  </r>
  <r>
    <s v="Guanzon Central Office"/>
    <s v="REPAIRED"/>
    <x v="0"/>
    <s v="M00120000227"/>
    <d v="2020-11-04T00:00:00"/>
    <s v="GCO1"/>
    <s v="Corrupted OS.."/>
    <s v="PC OF ENGR, KEVIN.. DONE"/>
    <x v="0"/>
    <x v="7"/>
    <n v="0"/>
    <m/>
    <s v="Done"/>
    <s v="M00112001258"/>
    <s v="Macarling, F"/>
    <d v="2020-11-05T00:00:00"/>
    <s v="SUPPORTED WITHIN 2DAYS"/>
    <x v="0"/>
    <n v="0"/>
    <s v="M001170038"/>
    <x v="1"/>
    <d v="2020-11-04T10:28:10"/>
  </r>
  <r>
    <s v="Guanzon Corporate Center"/>
    <s v="REPAIRED"/>
    <x v="0"/>
    <s v="M00120000228"/>
    <d v="2020-11-04T00:00:00"/>
    <s v="GCC1"/>
    <s v="For reformat - laptop use as desktop of Audit"/>
    <s v="DONE."/>
    <x v="0"/>
    <x v="7"/>
    <n v="0"/>
    <m/>
    <s v="Done"/>
    <s v="M00102000874"/>
    <s v="Macarling, F"/>
    <d v="2020-11-05T00:00:00"/>
    <s v="SUPPORTED WITHIN 2DAYS"/>
    <x v="0"/>
    <n v="0"/>
    <s v="M001170038"/>
    <x v="1"/>
    <d v="2020-11-04T10:31:38"/>
  </r>
  <r>
    <s v="Guan Kai Office"/>
    <s v="REPAIRED"/>
    <x v="0"/>
    <s v="M00120000229"/>
    <d v="2020-11-05T00:00:00"/>
    <s v="GK01"/>
    <s v="Fix local network of CSS"/>
    <s v="DONE"/>
    <x v="0"/>
    <x v="7"/>
    <n v="0"/>
    <m/>
    <s v="Done"/>
    <s v="M00119000532"/>
    <s v="Macarling, F"/>
    <d v="2020-11-05T00:00:00"/>
    <s v="SUPPORTED WITHIN 2DAYS"/>
    <x v="0"/>
    <n v="0"/>
    <s v="M001170038"/>
    <x v="1"/>
    <d v="2020-11-05T09:11:01"/>
  </r>
  <r>
    <s v="Guan Kai Office"/>
    <s v="REPAIRED"/>
    <x v="0"/>
    <s v="M00120000230"/>
    <d v="2020-11-05T00:00:00"/>
    <s v="GK01"/>
    <s v="reset bios setup - pc of myra telemarketing"/>
    <s v="DONE. RESET BIOS SETUP"/>
    <x v="0"/>
    <x v="7"/>
    <n v="0"/>
    <m/>
    <s v="Done"/>
    <s v="M00118002408"/>
    <s v="Macarling, F"/>
    <d v="2020-11-05T00:00:00"/>
    <s v="SUPPORTED WITHIN 2DAYS"/>
    <x v="0"/>
    <n v="0"/>
    <s v="M001170038"/>
    <x v="1"/>
    <d v="2020-11-05T09:11:43"/>
  </r>
  <r>
    <s v="Guan Kai Office"/>
    <s v="REPAIRED"/>
    <x v="0"/>
    <s v="M00120000231"/>
    <d v="2020-11-05T00:00:00"/>
    <s v="GK01"/>
    <s v="inquire router at micronics and bitstop"/>
    <s v="DONE. WAITING FOR PRICELIST"/>
    <x v="0"/>
    <x v="7"/>
    <n v="0"/>
    <m/>
    <s v="Done"/>
    <s v="M00118002408"/>
    <s v="Macarling, F"/>
    <d v="2020-11-05T00:00:00"/>
    <s v="SUPPORTED WITHIN 2DAYS"/>
    <x v="0"/>
    <n v="0"/>
    <s v="M001170038"/>
    <x v="1"/>
    <d v="2020-11-05T09:26:15"/>
  </r>
  <r>
    <s v="Guanzon Central Office"/>
    <s v="REPAIRED"/>
    <x v="1"/>
    <s v="M00120000232"/>
    <d v="2020-11-05T00:00:00"/>
    <s v="GCO1"/>
    <s v="NO DIAL TONE TWO WEEKS NA. PLDT PROBLEM NEED TO VISIT BY PLDT"/>
    <m/>
    <x v="0"/>
    <x v="7"/>
    <n v="0"/>
    <m/>
    <m/>
    <s v="M00118002408"/>
    <m/>
    <d v="2020-11-05T00:00:00"/>
    <s v="SUPPORTED WITHIN 2DAYS"/>
    <x v="0"/>
    <n v="0"/>
    <s v="M001170038"/>
    <x v="1"/>
    <d v="2020-11-05T09:49:06"/>
  </r>
  <r>
    <s v="UEMI Mangaldan - Suzuki"/>
    <s v="REPAIRED"/>
    <x v="0"/>
    <s v="M00120000233"/>
    <d v="2020-11-05T00:00:00"/>
    <s v="M156"/>
    <s v="OS corrupted"/>
    <s v="done./repaired"/>
    <x v="0"/>
    <x v="0"/>
    <n v="0"/>
    <m/>
    <s v="Done"/>
    <s v="M00118002408"/>
    <s v="Macarling, F"/>
    <d v="2020-11-09T00:00:00"/>
    <s v="NOT SUPPORTED WITHIN 2DAYS"/>
    <x v="1"/>
    <n v="0"/>
    <s v="M001170038"/>
    <x v="1"/>
    <d v="2020-11-05T11:48:39"/>
  </r>
  <r>
    <s v="Mobitek SM Rosales"/>
    <s v="REPAIRED"/>
    <x v="0"/>
    <s v="M00120000234"/>
    <d v="2020-11-05T00:00:00"/>
    <s v="C020"/>
    <s v="OS Corrupted"/>
    <s v="done/repaired"/>
    <x v="0"/>
    <x v="0"/>
    <n v="0"/>
    <m/>
    <s v="Done"/>
    <s v="M00118002408"/>
    <s v="Macarling, F"/>
    <d v="2020-11-09T00:00:00"/>
    <s v="NOT SUPPORTED WITHIN 2DAYS"/>
    <x v="1"/>
    <n v="0"/>
    <s v="M001170038"/>
    <x v="1"/>
    <d v="2020-11-05T13:11:01"/>
  </r>
  <r>
    <s v="MCC Bolinao - Honda"/>
    <s v="REPAIRED"/>
    <x v="0"/>
    <s v="M00120000235"/>
    <d v="2020-11-05T00:00:00"/>
    <s v="M120"/>
    <s v="Fix internet connection from statict ginawang obtain"/>
    <s v="done"/>
    <x v="4"/>
    <x v="0"/>
    <n v="0"/>
    <m/>
    <s v="Done"/>
    <s v="M06311000470"/>
    <s v="Macarling, F"/>
    <d v="2020-12-01T00:00:00"/>
    <s v="NOT SUPPORTED WITHIN 2DAYS"/>
    <x v="1"/>
    <n v="0"/>
    <s v="M001170038"/>
    <x v="1"/>
    <d v="2020-11-05T15:32:06"/>
  </r>
  <r>
    <s v="Guan Kai Office"/>
    <s v="REPAIRED"/>
    <x v="1"/>
    <s v="M00120000236"/>
    <d v="2020-11-05T00:00:00"/>
    <s v="GK01"/>
    <s v="inquire ink @ micronics.. for GK, Monarch and GCC-DRS"/>
    <m/>
    <x v="1"/>
    <x v="3"/>
    <n v="0"/>
    <m/>
    <m/>
    <s v="M06311000470"/>
    <m/>
    <d v="2020-11-05T00:00:00"/>
    <s v="SUPPORTED WITHIN 2DAYS"/>
    <x v="0"/>
    <n v="0"/>
    <s v="M001170038"/>
    <x v="1"/>
    <d v="2020-11-05T15:37:41"/>
  </r>
  <r>
    <s v="Guan Kai Office"/>
    <s v="REPAIRED"/>
    <x v="0"/>
    <s v="M00120000237"/>
    <d v="2020-11-05T00:00:00"/>
    <s v="GK01"/>
    <s v="reinstall ms office /fsm"/>
    <s v="installed"/>
    <x v="0"/>
    <x v="3"/>
    <n v="0"/>
    <m/>
    <s v="okay na"/>
    <m/>
    <s v="Velasquez, J"/>
    <d v="2020-11-05T00:00:00"/>
    <s v="SUPPORTED WITHIN 2DAYS"/>
    <x v="0"/>
    <n v="0"/>
    <s v="M001190058"/>
    <x v="3"/>
    <d v="2020-11-05T16:32:20"/>
  </r>
  <r>
    <s v="Guan Kai Office"/>
    <s v="REPAIRED"/>
    <x v="0"/>
    <s v="M00120000238"/>
    <d v="2020-11-05T00:00:00"/>
    <s v="GK01"/>
    <s v="register sim card gps area of  sir sidney"/>
    <s v="registered"/>
    <x v="4"/>
    <x v="6"/>
    <n v="0"/>
    <m/>
    <s v="okay na"/>
    <m/>
    <s v="Velasquez, J"/>
    <d v="2020-11-05T00:00:00"/>
    <s v="SUPPORTED WITHIN 2DAYS"/>
    <x v="0"/>
    <n v="0"/>
    <s v="M001190058"/>
    <x v="3"/>
    <d v="2020-11-05T16:39:39"/>
  </r>
  <r>
    <s v="UEMI Mangaldan - Suzuki"/>
    <s v="REPAIRED"/>
    <x v="0"/>
    <s v="M00120000239"/>
    <d v="2020-11-05T00:00:00"/>
    <s v="M156"/>
    <s v="bluescreen corrupted os back up files/reformat"/>
    <s v="reformat and restore files install app"/>
    <x v="0"/>
    <x v="0"/>
    <n v="1"/>
    <m/>
    <s v="okay na"/>
    <m/>
    <s v="Velasquez, J"/>
    <d v="2020-11-06T00:00:00"/>
    <s v="SUPPORTED WITHIN 2DAYS"/>
    <x v="0"/>
    <n v="0"/>
    <s v="M001190058"/>
    <x v="3"/>
    <d v="2020-11-05T16:40:52"/>
  </r>
  <r>
    <s v="Guan Kai Office"/>
    <s v="REPAIRED"/>
    <x v="1"/>
    <s v="M00120000240"/>
    <d v="2020-11-05T00:00:00"/>
    <s v="GK01"/>
    <s v="check pc of ricky montoya css"/>
    <m/>
    <x v="2"/>
    <x v="5"/>
    <n v="0"/>
    <m/>
    <m/>
    <s v="M00113000641"/>
    <m/>
    <d v="2020-11-05T00:00:00"/>
    <s v="SUPPORTED WITHIN 2DAYS"/>
    <x v="0"/>
    <n v="0"/>
    <s v="M001170038"/>
    <x v="1"/>
    <d v="2020-11-05T16:56:36"/>
  </r>
  <r>
    <s v="MCC Santiago - Honda"/>
    <s v="REPAIRED"/>
    <x v="0"/>
    <s v="M00120000241"/>
    <d v="2020-11-05T00:00:00"/>
    <s v="M129"/>
    <s v="update wifi password and give to branch manager"/>
    <s v="done"/>
    <x v="0"/>
    <x v="0"/>
    <n v="0"/>
    <m/>
    <s v="Done"/>
    <s v="M00113000641"/>
    <s v="Macarling, F"/>
    <d v="2020-11-09T00:00:00"/>
    <s v="NOT SUPPORTED WITHIN 2DAYS"/>
    <x v="1"/>
    <n v="0"/>
    <s v="M001170038"/>
    <x v="1"/>
    <d v="2020-11-05T16:57:09"/>
  </r>
  <r>
    <s v="MCC Santiago - Honda"/>
    <s v="REPAIRED"/>
    <x v="0"/>
    <s v="M00120000242"/>
    <d v="2020-11-06T00:00:00"/>
    <s v="M129"/>
    <s v="wifi concerns req. by branch manager"/>
    <s v="done"/>
    <x v="0"/>
    <x v="0"/>
    <n v="0"/>
    <m/>
    <s v="Done"/>
    <m/>
    <s v="Macarling, F"/>
    <d v="2020-11-09T00:00:00"/>
    <s v="NOT SUPPORTED WITHIN 2DAYS"/>
    <x v="1"/>
    <n v="0"/>
    <s v="M001170038"/>
    <x v="1"/>
    <d v="2020-11-06T08:28:56"/>
  </r>
  <r>
    <s v="Pedritos Head Office"/>
    <s v="REPAIRED"/>
    <x v="1"/>
    <s v="M00120000243"/>
    <d v="2020-11-06T00:00:00"/>
    <s v="PHO1"/>
    <s v="inquire printer 3N1 at micronics and pc cartel"/>
    <m/>
    <x v="1"/>
    <x v="5"/>
    <n v="0"/>
    <m/>
    <m/>
    <s v="M00110017110"/>
    <m/>
    <d v="2020-11-06T00:00:00"/>
    <s v="SUPPORTED WITHIN 2DAYS"/>
    <x v="0"/>
    <n v="0"/>
    <s v="M001170038"/>
    <x v="1"/>
    <d v="2020-11-06T10:22:16"/>
  </r>
  <r>
    <s v="Guanzon Central Office"/>
    <s v="REPAIRED"/>
    <x v="0"/>
    <s v="M00120000244"/>
    <d v="2020-11-06T00:00:00"/>
    <s v="GCO1"/>
    <s v="can't open excel - gco engineering"/>
    <s v="done"/>
    <x v="2"/>
    <x v="5"/>
    <n v="0"/>
    <m/>
    <s v="Done"/>
    <s v="M00109011928"/>
    <s v="Macarling, F"/>
    <d v="2020-11-06T00:00:00"/>
    <s v="SUPPORTED WITHIN 2DAYS"/>
    <x v="0"/>
    <n v="0"/>
    <s v="M001170038"/>
    <x v="1"/>
    <d v="2020-11-06T13:03:32"/>
  </r>
  <r>
    <s v="Guan Kai Office"/>
    <s v="REPAIRED"/>
    <x v="0"/>
    <s v="M00120000245"/>
    <d v="2020-11-06T00:00:00"/>
    <s v="GK01"/>
    <s v="repair connection of telemarketing"/>
    <s v="repaired"/>
    <x v="0"/>
    <x v="8"/>
    <n v="0"/>
    <m/>
    <s v="okay na"/>
    <m/>
    <s v="Velasquez, J"/>
    <d v="2020-11-06T00:00:00"/>
    <s v="SUPPORTED WITHIN 2DAYS"/>
    <x v="0"/>
    <n v="0"/>
    <s v="M001190058"/>
    <x v="3"/>
    <d v="2020-11-06T13:20:44"/>
  </r>
  <r>
    <s v="Guan Kai Office"/>
    <s v="REPAIRED"/>
    <x v="0"/>
    <s v="M00120000246"/>
    <d v="2020-11-06T00:00:00"/>
    <s v="GK01"/>
    <s v="install appliction and drivers of printer"/>
    <s v="installed"/>
    <x v="4"/>
    <x v="0"/>
    <n v="0"/>
    <m/>
    <s v="okay na"/>
    <m/>
    <s v="Velasquez, J"/>
    <d v="2020-11-06T00:00:00"/>
    <s v="SUPPORTED WITHIN 2DAYS"/>
    <x v="0"/>
    <n v="0"/>
    <s v="M001190058"/>
    <x v="3"/>
    <d v="2020-11-06T13:21:12"/>
  </r>
  <r>
    <s v="Guan Kai Office"/>
    <s v="REPAIRED"/>
    <x v="0"/>
    <s v="M00120000247"/>
    <d v="2020-11-06T00:00:00"/>
    <s v="GK01"/>
    <s v="create report and sent to sir mac"/>
    <s v="sent"/>
    <x v="1"/>
    <x v="6"/>
    <n v="0"/>
    <m/>
    <s v="okay na"/>
    <m/>
    <s v="Velasquez, J"/>
    <d v="2020-11-06T00:00:00"/>
    <s v="SUPPORTED WITHIN 2DAYS"/>
    <x v="0"/>
    <n v="0"/>
    <s v="M001190058"/>
    <x v="3"/>
    <d v="2020-11-06T13:23:07"/>
  </r>
  <r>
    <s v="Guan Kai Office"/>
    <s v="OTHERS"/>
    <x v="0"/>
    <s v="M00120000248"/>
    <d v="2020-11-06T00:00:00"/>
    <s v="GK01"/>
    <s v="P.O. ink for GCO, GK, GCC"/>
    <s v="done. for pick up"/>
    <x v="0"/>
    <x v="0"/>
    <n v="0"/>
    <m/>
    <s v="Done"/>
    <s v="M00109011928"/>
    <s v="Macarling, F"/>
    <d v="2020-11-09T00:00:00"/>
    <s v="NOT SUPPORTED WITHIN 2DAYS"/>
    <x v="1"/>
    <n v="4"/>
    <s v="M001170038"/>
    <x v="1"/>
    <d v="2020-11-06T14:24:39"/>
  </r>
  <r>
    <s v="Guan Kai Office"/>
    <s v="REPAIRED"/>
    <x v="1"/>
    <s v="M00120000249"/>
    <d v="2020-11-06T00:00:00"/>
    <s v="GK01"/>
    <s v="P.O. ink request by Monarch - Engineering"/>
    <m/>
    <x v="1"/>
    <x v="1"/>
    <n v="0"/>
    <m/>
    <m/>
    <s v="M00114000092"/>
    <m/>
    <d v="2020-11-06T00:00:00"/>
    <s v="SUPPORTED WITHIN 2DAYS"/>
    <x v="0"/>
    <n v="0"/>
    <s v="M001170038"/>
    <x v="1"/>
    <d v="2020-11-06T14:25:31"/>
  </r>
  <r>
    <s v="UEMI Calamba - Multi"/>
    <s v="REPAIRED"/>
    <x v="0"/>
    <s v="M00120000250"/>
    <d v="2020-11-07T00:00:00"/>
    <s v="M044"/>
    <s v="kinuha ko email ng branch manager para sa isp concern "/>
    <s v="nakuha kona binigay ko na kay sir jeff"/>
    <x v="1"/>
    <x v="3"/>
    <n v="0"/>
    <m/>
    <s v="okay na"/>
    <m/>
    <s v="Velasquez, J"/>
    <d v="2020-11-07T00:00:00"/>
    <s v="SUPPORTED WITHIN 2DAYS"/>
    <x v="0"/>
    <n v="0"/>
    <s v="M001190058"/>
    <x v="3"/>
    <d v="2020-11-07T08:52:13"/>
  </r>
  <r>
    <s v="Guan Kai Office"/>
    <s v="OTHERS"/>
    <x v="0"/>
    <s v="M00120000251"/>
    <d v="2020-11-07T00:00:00"/>
    <s v="GK01"/>
    <s v="Pick up power supply"/>
    <s v="done"/>
    <x v="0"/>
    <x v="0"/>
    <n v="0"/>
    <m/>
    <s v="Done"/>
    <m/>
    <s v="Macarling, F"/>
    <d v="2020-11-09T00:00:00"/>
    <s v="SUPPORTED WITHIN 2DAYS"/>
    <x v="0"/>
    <n v="4"/>
    <s v="M001170038"/>
    <x v="1"/>
    <d v="2020-11-07T11:14:08"/>
  </r>
  <r>
    <s v="Guan Kai Office"/>
    <s v="OTHERS"/>
    <x v="0"/>
    <s v="M00120000252"/>
    <d v="2020-11-07T00:00:00"/>
    <s v="GK01"/>
    <s v="Pick up HDD at micronics"/>
    <s v="done"/>
    <x v="1"/>
    <x v="1"/>
    <n v="0"/>
    <m/>
    <s v="Done"/>
    <m/>
    <s v="Macarling, F"/>
    <d v="2020-11-09T00:00:00"/>
    <s v="SUPPORTED WITHIN 2DAYS"/>
    <x v="0"/>
    <n v="4"/>
    <s v="M001170038"/>
    <x v="1"/>
    <d v="2020-11-07T11:14:29"/>
  </r>
  <r>
    <s v="Guan Kai Office"/>
    <s v="REPAIRED"/>
    <x v="0"/>
    <s v="M00120000253"/>
    <d v="2020-11-07T00:00:00"/>
    <s v="GK01"/>
    <s v="Pick up laptop charger of sir arnold and mam rowei at micronics"/>
    <s v="done"/>
    <x v="0"/>
    <x v="0"/>
    <n v="0"/>
    <m/>
    <s v="Done"/>
    <m/>
    <s v="Macarling, F"/>
    <d v="2020-11-09T00:00:00"/>
    <s v="SUPPORTED WITHIN 2DAYS"/>
    <x v="0"/>
    <n v="0"/>
    <s v="M001170038"/>
    <x v="1"/>
    <d v="2020-11-07T11:14:53"/>
  </r>
  <r>
    <s v="Guanzon Central Office"/>
    <s v="NEW INSTALL"/>
    <x v="0"/>
    <s v="M00120000254"/>
    <d v="2020-11-07T00:00:00"/>
    <s v="GCO1"/>
    <s v="Go to GCO and give usb to sir rex - for AUTOCAD 2020"/>
    <s v="done"/>
    <x v="0"/>
    <x v="0"/>
    <n v="0"/>
    <m/>
    <s v="Done"/>
    <s v="M00102000458"/>
    <s v="Macarling, F"/>
    <d v="2020-11-09T00:00:00"/>
    <s v="SUPPORTED WITHIN 2DAYS"/>
    <x v="0"/>
    <n v="3"/>
    <s v="M001170038"/>
    <x v="1"/>
    <d v="2020-11-07T11:15:42"/>
  </r>
  <r>
    <s v="Guan Kai Office"/>
    <s v="REPAIRED"/>
    <x v="1"/>
    <s v="M00120000255"/>
    <d v="2020-11-07T00:00:00"/>
    <s v="GK01"/>
    <s v="P.o. epson L3110 - for mam rita replacement"/>
    <m/>
    <x v="1"/>
    <x v="3"/>
    <n v="0"/>
    <m/>
    <m/>
    <s v="M00102000458"/>
    <m/>
    <d v="2020-11-07T00:00:00"/>
    <s v="SUPPORTED WITHIN 2DAYS"/>
    <x v="0"/>
    <n v="0"/>
    <s v="M001170038"/>
    <x v="1"/>
    <d v="2020-11-07T11:16:20"/>
  </r>
  <r>
    <s v="Guan Kai Office"/>
    <s v="REPAIRED"/>
    <x v="0"/>
    <s v="M00120000256"/>
    <d v="2020-11-07T00:00:00"/>
    <s v="GK01"/>
    <s v="bincard 10 hdd and 3 power supply - new"/>
    <s v="done"/>
    <x v="0"/>
    <x v="0"/>
    <n v="0"/>
    <m/>
    <s v="Done"/>
    <s v="M00102000458"/>
    <s v="Macarling, F"/>
    <d v="2020-11-09T00:00:00"/>
    <s v="SUPPORTED WITHIN 2DAYS"/>
    <x v="0"/>
    <n v="0"/>
    <s v="M001170038"/>
    <x v="1"/>
    <d v="2020-11-07T11:17:11"/>
  </r>
  <r>
    <s v="Guanzon Corporate Center"/>
    <s v="REPAIRED"/>
    <x v="1"/>
    <s v="M00120000257"/>
    <d v="2020-11-07T00:00:00"/>
    <s v="GCC1"/>
    <s v="Computer 1 - additional at CSS"/>
    <m/>
    <x v="4"/>
    <x v="0"/>
    <n v="0"/>
    <m/>
    <m/>
    <s v="M00109011794"/>
    <m/>
    <d v="2020-11-07T00:00:00"/>
    <s v="SUPPORTED WITHIN 2DAYS"/>
    <x v="0"/>
    <n v="0"/>
    <s v="M001170038"/>
    <x v="1"/>
    <d v="2020-11-07T11:18:11"/>
  </r>
  <r>
    <s v="Guanzon Central Office"/>
    <s v="REPAIRED"/>
    <x v="1"/>
    <s v="M00120000258"/>
    <d v="2020-11-07T00:00:00"/>
    <s v="GCO1"/>
    <s v="Computer 2 - additional at CSS"/>
    <m/>
    <x v="4"/>
    <x v="0"/>
    <n v="0"/>
    <m/>
    <m/>
    <s v="M00109011794"/>
    <m/>
    <d v="2020-11-07T00:00:00"/>
    <s v="SUPPORTED WITHIN 2DAYS"/>
    <x v="0"/>
    <n v="0"/>
    <s v="M001170038"/>
    <x v="1"/>
    <d v="2020-11-07T11:18:32"/>
  </r>
  <r>
    <s v="Guanzon Corporate Center"/>
    <s v="REPAIRED"/>
    <x v="1"/>
    <s v="M00120000259"/>
    <d v="2020-11-07T00:00:00"/>
    <s v="GCC1"/>
    <s v="Computer 3 - additional at CSS"/>
    <m/>
    <x v="4"/>
    <x v="0"/>
    <n v="0"/>
    <m/>
    <m/>
    <s v="M00109011794"/>
    <m/>
    <d v="2020-11-07T00:00:00"/>
    <s v="SUPPORTED WITHIN 2DAYS"/>
    <x v="0"/>
    <n v="0"/>
    <s v="M001170038"/>
    <x v="1"/>
    <d v="2020-11-07T11:18:52"/>
  </r>
  <r>
    <s v="Guanzon Corporate Center"/>
    <s v="REPAIRED"/>
    <x v="1"/>
    <s v="M00120000260"/>
    <d v="2020-11-07T00:00:00"/>
    <s v="GCC1"/>
    <s v="Computer 4 - additional at CSS"/>
    <m/>
    <x v="4"/>
    <x v="0"/>
    <n v="0"/>
    <m/>
    <m/>
    <s v="M00109011794"/>
    <m/>
    <d v="2020-11-07T00:00:00"/>
    <s v="SUPPORTED WITHIN 2DAYS"/>
    <x v="0"/>
    <n v="0"/>
    <s v="M001170038"/>
    <x v="1"/>
    <d v="2020-11-07T11:19:14"/>
  </r>
  <r>
    <s v="Guan Kai Office"/>
    <s v="REPAIRED"/>
    <x v="1"/>
    <s v="M00120000261"/>
    <d v="2020-11-07T00:00:00"/>
    <s v="GK01"/>
    <s v="Request 5 sets of PC at Engr,. nelson office"/>
    <m/>
    <x v="1"/>
    <x v="5"/>
    <n v="0"/>
    <m/>
    <m/>
    <s v="M00109011794"/>
    <m/>
    <d v="2020-11-07T00:00:00"/>
    <s v="SUPPORTED WITHIN 2DAYS"/>
    <x v="0"/>
    <n v="0"/>
    <s v="M001170038"/>
    <x v="1"/>
    <d v="2020-11-07T11:19:44"/>
  </r>
  <r>
    <s v="Guan Kai Office"/>
    <s v="REPAIRED"/>
    <x v="0"/>
    <s v="M00120000262"/>
    <d v="2020-11-07T00:00:00"/>
    <s v="GK01"/>
    <s v="Inquire ink cartridge at micronics - for mam mylene printer"/>
    <s v="done"/>
    <x v="0"/>
    <x v="0"/>
    <n v="0"/>
    <m/>
    <s v="Done"/>
    <s v="M00120001624"/>
    <s v="Macarling, F"/>
    <d v="2020-11-09T00:00:00"/>
    <s v="SUPPORTED WITHIN 2DAYS"/>
    <x v="0"/>
    <n v="0"/>
    <s v="M001170038"/>
    <x v="1"/>
    <d v="2020-11-07T11:20:25"/>
  </r>
  <r>
    <s v="OPPO - Waltermart Gapan"/>
    <s v="REPAIRED"/>
    <x v="1"/>
    <s v="M00120000263"/>
    <d v="2020-11-07T00:00:00"/>
    <s v="C054"/>
    <s v="back up files and reformat"/>
    <s v="restore files reformat and update windows/for checking"/>
    <x v="0"/>
    <x v="0"/>
    <n v="1"/>
    <m/>
    <s v="okay na eto"/>
    <m/>
    <s v="Velasquez, J"/>
    <d v="2020-11-09T00:00:00"/>
    <s v="SUPPORTED WITHIN 2DAYS"/>
    <x v="0"/>
    <n v="0"/>
    <s v="M001190058"/>
    <x v="3"/>
    <d v="2020-11-07T11:25:35"/>
  </r>
  <r>
    <s v="Guan Kai Office"/>
    <s v="REPAIRED"/>
    <x v="0"/>
    <s v="M00120000264"/>
    <d v="2020-11-07T00:00:00"/>
    <s v="GK01"/>
    <s v="no wifi internet of third floor need troubleshoot "/>
    <s v="restart modem"/>
    <x v="3"/>
    <x v="8"/>
    <n v="0"/>
    <m/>
    <s v="okay na"/>
    <m/>
    <s v="Velasquez, J"/>
    <d v="2020-11-07T00:00:00"/>
    <s v="SUPPORTED WITHIN 2DAYS"/>
    <x v="0"/>
    <n v="0"/>
    <s v="M001190058"/>
    <x v="3"/>
    <d v="2020-11-07T11:41:03"/>
  </r>
  <r>
    <s v="Guan Kai Office"/>
    <s v="REPAIRED"/>
    <x v="0"/>
    <s v="M00120000265"/>
    <d v="2020-11-07T00:00:00"/>
    <s v="GK01"/>
    <s v="gather info net of ue alabang sent to sir jeff"/>
    <s v="na sent na po"/>
    <x v="1"/>
    <x v="7"/>
    <n v="0"/>
    <m/>
    <s v="okay na"/>
    <m/>
    <s v="Velasquez, J"/>
    <d v="2020-11-07T00:00:00"/>
    <s v="SUPPORTED WITHIN 2DAYS"/>
    <x v="0"/>
    <n v="0"/>
    <s v="M001190058"/>
    <x v="3"/>
    <d v="2020-11-07T13:14:15"/>
  </r>
  <r>
    <s v="Guan Kai Office"/>
    <s v="REPAIRED"/>
    <x v="0"/>
    <s v="M00120000266"/>
    <d v="2020-11-07T00:00:00"/>
    <s v="GK01"/>
    <s v="back up data base"/>
    <s v="naback up ko na"/>
    <x v="1"/>
    <x v="6"/>
    <n v="0"/>
    <m/>
    <s v="okay na"/>
    <m/>
    <s v="Velasquez, J"/>
    <d v="2020-11-07T00:00:00"/>
    <s v="SUPPORTED WITHIN 2DAYS"/>
    <x v="0"/>
    <n v="0"/>
    <s v="M001190058"/>
    <x v="3"/>
    <d v="2020-11-07T14:42:23"/>
  </r>
  <r>
    <s v="Guan Kai Office"/>
    <s v="REPAIRED"/>
    <x v="0"/>
    <s v="M00120000267"/>
    <d v="2020-11-07T00:00:00"/>
    <s v="GK01"/>
    <s v="nireceived mga request na computer galing kay ingeneer"/>
    <s v="binuhat namin papunta sa stock room with bernard"/>
    <x v="1"/>
    <x v="0"/>
    <n v="0"/>
    <m/>
    <s v="okay na"/>
    <m/>
    <s v="Velasquez, J"/>
    <d v="2020-11-07T00:00:00"/>
    <s v="SUPPORTED WITHIN 2DAYS"/>
    <x v="0"/>
    <n v="0"/>
    <s v="M001190058"/>
    <x v="3"/>
    <d v="2020-11-07T14:46:22"/>
  </r>
  <r>
    <s v="MCC Bolinao - Honda"/>
    <s v="REPAIRED"/>
    <x v="0"/>
    <s v="M00120000268"/>
    <d v="2020-11-07T00:00:00"/>
    <s v="M120"/>
    <s v="For repair - client pc w/ power cord"/>
    <s v="done. repaired. 11/9/2020"/>
    <x v="0"/>
    <x v="2"/>
    <n v="0"/>
    <m/>
    <s v="Done"/>
    <s v="M06311000470"/>
    <s v="Macarling, F"/>
    <d v="2020-11-09T00:00:00"/>
    <s v="SUPPORTED WITHIN 2DAYS"/>
    <x v="0"/>
    <n v="0"/>
    <s v="M001170038"/>
    <x v="1"/>
    <d v="2020-11-09T09:34:46"/>
  </r>
  <r>
    <s v="UEMI Malasiqui - Multi"/>
    <s v="REPAIRED"/>
    <x v="1"/>
    <s v="M00120000269"/>
    <d v="2020-11-09T00:00:00"/>
    <s v="M053"/>
    <s v="replace systen unit old usb port not working/  back up files and reformat"/>
    <s v="pinalitan ng luma spare namin dito for checking"/>
    <x v="0"/>
    <x v="0"/>
    <n v="0"/>
    <m/>
    <s v="okay na "/>
    <m/>
    <s v="Velasquez, J"/>
    <d v="2020-11-11T00:00:00"/>
    <s v="SUPPORTED WITHIN 2DAYS"/>
    <x v="0"/>
    <n v="0"/>
    <s v="M001190058"/>
    <x v="3"/>
    <d v="2020-11-09T10:47:45"/>
  </r>
  <r>
    <s v="Guanzon Central Office"/>
    <s v="REPAIRED"/>
    <x v="1"/>
    <s v="M00120000270"/>
    <d v="2020-11-09T00:00:00"/>
    <s v="GCO1"/>
    <s v="P.O. ink cartridge for Mam Mylene Lo "/>
    <m/>
    <x v="1"/>
    <x v="1"/>
    <n v="0"/>
    <m/>
    <m/>
    <s v="M06311000470"/>
    <m/>
    <d v="2020-11-09T00:00:00"/>
    <s v="SUPPORTED WITHIN 2DAYS"/>
    <x v="0"/>
    <n v="0"/>
    <s v="M001170038"/>
    <x v="1"/>
    <d v="2020-11-09T11:22:21"/>
  </r>
  <r>
    <s v="Mobitek SM Tarlac"/>
    <s v="REPAIRED"/>
    <x v="0"/>
    <s v="M00120000271"/>
    <d v="2020-11-09T00:00:00"/>
    <s v="C024"/>
    <s v="access branch for printer sharing"/>
    <s v="connected"/>
    <x v="2"/>
    <x v="2"/>
    <n v="0"/>
    <m/>
    <s v="okay na"/>
    <m/>
    <s v="Velasquez, J"/>
    <d v="2020-11-09T00:00:00"/>
    <s v="SUPPORTED WITHIN 2DAYS"/>
    <x v="0"/>
    <n v="0"/>
    <s v="M001190058"/>
    <x v="3"/>
    <d v="2020-11-09T11:28:18"/>
  </r>
  <r>
    <s v="Guan Kai Office"/>
    <s v="REPAIRED"/>
    <x v="1"/>
    <s v="M00120000272"/>
    <d v="2020-11-09T00:00:00"/>
    <s v="GK01"/>
    <s v="CFF Printer - no power (model: HP Deskjet ink advantage 2010)"/>
    <m/>
    <x v="0"/>
    <x v="2"/>
    <n v="0"/>
    <m/>
    <m/>
    <s v="M06311000470"/>
    <m/>
    <d v="2020-11-09T00:00:00"/>
    <s v="SUPPORTED WITHIN 2DAYS"/>
    <x v="0"/>
    <n v="0"/>
    <s v="M001170038"/>
    <x v="1"/>
    <d v="2020-11-09T11:47:23"/>
  </r>
  <r>
    <s v="Realme - SM Megacenter Cabanatuan"/>
    <s v="REPAIRED"/>
    <x v="0"/>
    <s v="M00120000273"/>
    <d v="2020-11-09T00:00:00"/>
    <s v="C091"/>
    <s v="access branch for update wifi passwordand give to manager"/>
    <s v="updated"/>
    <x v="2"/>
    <x v="7"/>
    <n v="0"/>
    <m/>
    <s v="okay na"/>
    <m/>
    <s v="Velasquez, J"/>
    <d v="2020-11-09T00:00:00"/>
    <s v="SUPPORTED WITHIN 2DAYS"/>
    <x v="0"/>
    <n v="0"/>
    <s v="M001190058"/>
    <x v="3"/>
    <d v="2020-11-09T13:20:32"/>
  </r>
  <r>
    <s v="Guanzon Corporate Center"/>
    <s v="REPAIRED"/>
    <x v="0"/>
    <s v="M00120000274"/>
    <d v="2020-11-09T00:00:00"/>
    <s v="GCC1"/>
    <s v="access pc of tax and permit  for printer sharing"/>
    <s v="connected"/>
    <x v="2"/>
    <x v="2"/>
    <n v="0"/>
    <m/>
    <s v="okay na"/>
    <m/>
    <s v="Velasquez, J"/>
    <d v="2020-11-09T00:00:00"/>
    <s v="SUPPORTED WITHIN 2DAYS"/>
    <x v="0"/>
    <n v="0"/>
    <s v="M001190058"/>
    <x v="3"/>
    <d v="2020-11-09T13:53:17"/>
  </r>
  <r>
    <s v="Guan Kai Office"/>
    <s v="REPAIRED"/>
    <x v="0"/>
    <s v="M00120000275"/>
    <d v="2020-11-09T00:00:00"/>
    <s v="GK01"/>
    <s v="refill ink printer of mam shirly"/>
    <s v="refilled "/>
    <x v="2"/>
    <x v="2"/>
    <n v="0"/>
    <m/>
    <s v="okay na"/>
    <m/>
    <s v="Velasquez, J"/>
    <d v="2020-11-09T00:00:00"/>
    <s v="SUPPORTED WITHIN 2DAYS"/>
    <x v="0"/>
    <n v="0"/>
    <s v="M001190058"/>
    <x v="3"/>
    <d v="2020-11-09T14:10:28"/>
  </r>
  <r>
    <s v="GMC Baguio - Multi"/>
    <s v="REPAIRED"/>
    <x v="0"/>
    <s v="M00120000276"/>
    <d v="2020-11-09T00:00:00"/>
    <s v="M175"/>
    <s v="INSTALL O.S. AND APPS. - SERVER PC"/>
    <s v="done"/>
    <x v="6"/>
    <x v="9"/>
    <n v="0"/>
    <m/>
    <s v="Done"/>
    <s v="M06311000470"/>
    <s v="Macarling, F"/>
    <d v="2020-11-11T00:00:00"/>
    <s v="SUPPORTED WITHIN 2DAYS"/>
    <x v="0"/>
    <n v="0"/>
    <s v="M001170038"/>
    <x v="1"/>
    <d v="2020-11-09T15:32:04"/>
  </r>
  <r>
    <s v="Samsung - SM Rosales"/>
    <s v="REPAIRED"/>
    <x v="0"/>
    <s v="M00120000277"/>
    <d v="2020-11-09T00:00:00"/>
    <s v="C043"/>
    <s v="access branch and cctv "/>
    <s v="play back cctv okay na"/>
    <x v="2"/>
    <x v="4"/>
    <n v="0"/>
    <m/>
    <s v="okay na"/>
    <m/>
    <s v="Velasquez, J"/>
    <d v="2020-11-09T00:00:00"/>
    <s v="SUPPORTED WITHIN 2DAYS"/>
    <x v="0"/>
    <n v="0"/>
    <s v="M001190058"/>
    <x v="3"/>
    <d v="2020-11-09T16:13:15"/>
  </r>
  <r>
    <s v="MCC Santiago - Honda"/>
    <s v="REPAIRED"/>
    <x v="0"/>
    <s v="M00120000278"/>
    <d v="2020-11-10T00:00:00"/>
    <s v="M129"/>
    <s v="wifi password broadcast and give to sir apjohn"/>
    <s v="done"/>
    <x v="2"/>
    <x v="7"/>
    <n v="0"/>
    <m/>
    <s v="Done"/>
    <m/>
    <s v="Macarling, F"/>
    <d v="2020-11-30T00:00:00"/>
    <s v="NOT SUPPORTED WITHIN 2DAYS"/>
    <x v="1"/>
    <n v="0"/>
    <s v="M001170038"/>
    <x v="1"/>
    <d v="2020-11-10T10:08:12"/>
  </r>
  <r>
    <s v="Guanzon Central Office"/>
    <s v="REPAIRED"/>
    <x v="0"/>
    <s v="M00120000279"/>
    <d v="2020-11-10T00:00:00"/>
    <s v="GCO1"/>
    <s v="network cabling for Sir Boyet salavaria"/>
    <s v="done"/>
    <x v="2"/>
    <x v="7"/>
    <n v="0"/>
    <m/>
    <s v="Done"/>
    <s v="M00117000342"/>
    <s v="Macarling, F"/>
    <d v="2020-11-30T00:00:00"/>
    <s v="NOT SUPPORTED WITHIN 2DAYS"/>
    <x v="1"/>
    <n v="0"/>
    <s v="M001170038"/>
    <x v="1"/>
    <d v="2020-11-10T10:09:47"/>
  </r>
  <r>
    <s v="Guanzon Central Office"/>
    <s v="REPAIRED"/>
    <x v="1"/>
    <s v="M00120000280"/>
    <d v="2020-11-10T00:00:00"/>
    <s v="GCO1"/>
    <s v="network cabling for GMA Office and for mam rowei"/>
    <m/>
    <x v="4"/>
    <x v="8"/>
    <n v="0"/>
    <m/>
    <m/>
    <s v="M00111000671"/>
    <m/>
    <d v="2020-11-10T00:00:00"/>
    <s v="SUPPORTED WITHIN 2DAYS"/>
    <x v="0"/>
    <n v="0"/>
    <s v="M001170038"/>
    <x v="1"/>
    <d v="2020-11-10T10:10:59"/>
  </r>
  <r>
    <s v="Guanzon Corporate Center"/>
    <s v="REPAIRED"/>
    <x v="0"/>
    <s v="M00120000281"/>
    <d v="2020-11-10T00:00:00"/>
    <s v="GCC1"/>
    <s v="network for testing at audit"/>
    <s v="done"/>
    <x v="2"/>
    <x v="7"/>
    <n v="0"/>
    <m/>
    <s v="Done"/>
    <s v="M00102000874"/>
    <s v="Macarling, F"/>
    <d v="2020-11-30T00:00:00"/>
    <s v="NOT SUPPORTED WITHIN 2DAYS"/>
    <x v="1"/>
    <n v="0"/>
    <s v="M001170038"/>
    <x v="1"/>
    <d v="2020-11-10T10:12:16"/>
  </r>
  <r>
    <s v="Guanzon Corporate Center"/>
    <s v="REPAIRED"/>
    <x v="0"/>
    <s v="M00120000282"/>
    <d v="2020-11-10T00:00:00"/>
    <s v="GCC1"/>
    <s v="network cabling for 2new sets of PC at RDS"/>
    <s v="done"/>
    <x v="2"/>
    <x v="7"/>
    <n v="0"/>
    <m/>
    <s v="Done"/>
    <s v="M00110012546"/>
    <s v="Macarling, F"/>
    <d v="2020-11-30T00:00:00"/>
    <s v="NOT SUPPORTED WITHIN 2DAYS"/>
    <x v="1"/>
    <n v="0"/>
    <s v="M001170038"/>
    <x v="1"/>
    <d v="2020-11-10T10:12:52"/>
  </r>
  <r>
    <s v="UEMI San Nicolas - Yamaha"/>
    <s v="REPLACED"/>
    <x v="0"/>
    <s v="M00120000283"/>
    <d v="2020-11-10T00:00:00"/>
    <s v="M144"/>
    <s v="pc automatic repair .os problem backload/replace new system unit"/>
    <s v="replaced new system unit for checking/ibabackload palang yung old"/>
    <x v="0"/>
    <x v="0"/>
    <n v="0"/>
    <m/>
    <s v="okay na"/>
    <m/>
    <s v="Macarling, F"/>
    <d v="2020-11-18T00:00:00"/>
    <s v="NOT SUPPORTED WITHIN 2DAYS"/>
    <x v="1"/>
    <n v="1"/>
    <s v="M001190058"/>
    <x v="3"/>
    <d v="2020-11-10T11:54:19"/>
  </r>
  <r>
    <s v="Guanzon Corporate Center"/>
    <s v="REPAIRED"/>
    <x v="0"/>
    <s v="M00120000284"/>
    <d v="2020-11-10T00:00:00"/>
    <s v="GCC1"/>
    <s v="network cabling -PC 1 - CSS"/>
    <s v="done"/>
    <x v="2"/>
    <x v="7"/>
    <n v="0"/>
    <m/>
    <s v="Done"/>
    <s v="M00109011794"/>
    <s v="Macarling, F"/>
    <d v="2020-11-30T00:00:00"/>
    <s v="NOT SUPPORTED WITHIN 2DAYS"/>
    <x v="1"/>
    <n v="0"/>
    <s v="M001170038"/>
    <x v="1"/>
    <d v="2020-11-10T11:59:39"/>
  </r>
  <r>
    <s v="Guanzon Corporate Center"/>
    <s v="REPAIRED"/>
    <x v="0"/>
    <s v="M00120000285"/>
    <d v="2020-11-10T00:00:00"/>
    <s v="GCC1"/>
    <s v="network cabling -PC 2 - CSS"/>
    <s v="done"/>
    <x v="2"/>
    <x v="7"/>
    <n v="0"/>
    <m/>
    <s v="Done"/>
    <s v="M00109011794"/>
    <s v="Macarling, F"/>
    <d v="2020-11-30T00:00:00"/>
    <s v="NOT SUPPORTED WITHIN 2DAYS"/>
    <x v="1"/>
    <n v="0"/>
    <s v="M001170038"/>
    <x v="1"/>
    <d v="2020-11-10T12:00:03"/>
  </r>
  <r>
    <s v="Guanzon Corporate Center"/>
    <s v="REPAIRED"/>
    <x v="0"/>
    <s v="M00120000286"/>
    <d v="2020-11-10T00:00:00"/>
    <s v="GCC1"/>
    <s v="network cabling -PC 3 - CSS"/>
    <s v="done"/>
    <x v="2"/>
    <x v="7"/>
    <n v="0"/>
    <m/>
    <s v="Done"/>
    <s v="M00109011794"/>
    <s v="Macarling, F"/>
    <d v="2020-11-30T00:00:00"/>
    <s v="NOT SUPPORTED WITHIN 2DAYS"/>
    <x v="1"/>
    <n v="0"/>
    <s v="M001170038"/>
    <x v="1"/>
    <d v="2020-11-10T12:00:26"/>
  </r>
  <r>
    <s v="Guanzon Corporate Center"/>
    <s v="REPAIRED"/>
    <x v="0"/>
    <s v="M00120000287"/>
    <d v="2020-11-10T00:00:00"/>
    <s v="GCC1"/>
    <s v="network cabling -PC 4 - CSS"/>
    <s v="done"/>
    <x v="2"/>
    <x v="7"/>
    <n v="0"/>
    <m/>
    <s v="Done"/>
    <s v="M00109011794"/>
    <s v="Macarling, F"/>
    <d v="2020-11-30T00:00:00"/>
    <s v="NOT SUPPORTED WITHIN 2DAYS"/>
    <x v="1"/>
    <n v="0"/>
    <s v="M001170038"/>
    <x v="1"/>
    <d v="2020-11-10T12:00:46"/>
  </r>
  <r>
    <s v="Guanzon Corporate Center"/>
    <s v="REPAIRED"/>
    <x v="0"/>
    <s v="M00120000288"/>
    <d v="2020-11-10T00:00:00"/>
    <s v="GCC1"/>
    <s v="network cabling -PC 1 - Records depository"/>
    <s v="done"/>
    <x v="2"/>
    <x v="7"/>
    <n v="0"/>
    <m/>
    <s v="Done"/>
    <s v="M00110012546"/>
    <s v="Macarling, F"/>
    <d v="2020-11-30T00:00:00"/>
    <s v="NOT SUPPORTED WITHIN 2DAYS"/>
    <x v="1"/>
    <n v="0"/>
    <s v="M001170038"/>
    <x v="1"/>
    <d v="2020-11-10T12:01:13"/>
  </r>
  <r>
    <s v="Guanzon Corporate Center"/>
    <s v="REPAIRED"/>
    <x v="0"/>
    <s v="M00120000289"/>
    <d v="2020-11-10T00:00:00"/>
    <s v="GCC1"/>
    <s v="network cabling -PC 2 - Records depository"/>
    <s v="done"/>
    <x v="2"/>
    <x v="7"/>
    <n v="0"/>
    <m/>
    <s v="Done"/>
    <s v="M00110012546"/>
    <s v="Macarling, F"/>
    <d v="2020-11-30T00:00:00"/>
    <s v="NOT SUPPORTED WITHIN 2DAYS"/>
    <x v="1"/>
    <n v="0"/>
    <s v="M001170038"/>
    <x v="1"/>
    <d v="2020-11-10T12:01:49"/>
  </r>
  <r>
    <s v="UEMI Tayug - Yamaha"/>
    <s v="REPAIRED"/>
    <x v="0"/>
    <s v="M00120000290"/>
    <d v="2020-11-10T00:00:00"/>
    <s v="M106"/>
    <s v="access branch for update wifi password"/>
    <s v="updated"/>
    <x v="2"/>
    <x v="8"/>
    <n v="0"/>
    <m/>
    <s v="okay na"/>
    <m/>
    <s v="Velasquez, J"/>
    <d v="2020-11-10T00:00:00"/>
    <s v="SUPPORTED WITHIN 2DAYS"/>
    <x v="0"/>
    <n v="0"/>
    <s v="M001190058"/>
    <x v="3"/>
    <d v="2020-11-10T13:12:12"/>
  </r>
  <r>
    <s v="Guan Kai Office"/>
    <s v="REPAIRED"/>
    <x v="0"/>
    <s v="M00120000291"/>
    <d v="2020-11-10T00:00:00"/>
    <s v="GK01"/>
    <s v="register sim card replaced on gps tracker /area of sir apjohn"/>
    <s v="registered"/>
    <x v="4"/>
    <x v="6"/>
    <n v="0"/>
    <m/>
    <s v="okay na"/>
    <m/>
    <s v="Velasquez, J"/>
    <d v="2020-11-10T00:00:00"/>
    <s v="SUPPORTED WITHIN 2DAYS"/>
    <x v="0"/>
    <n v="0"/>
    <s v="M001190058"/>
    <x v="3"/>
    <d v="2020-11-10T14:56:53"/>
  </r>
  <r>
    <s v="Samsung - SM Rosales"/>
    <s v="REPAIRED"/>
    <x v="0"/>
    <s v="M00120000292"/>
    <d v="2020-11-10T00:00:00"/>
    <s v="C043"/>
    <s v="access branch for cctv saving video"/>
    <s v="nasave ko na po ang video nasa administrator log in"/>
    <x v="2"/>
    <x v="4"/>
    <n v="0"/>
    <m/>
    <s v="okay na"/>
    <m/>
    <s v="Velasquez, J"/>
    <d v="2020-11-10T00:00:00"/>
    <s v="SUPPORTED WITHIN 2DAYS"/>
    <x v="0"/>
    <n v="0"/>
    <s v="M001190058"/>
    <x v="3"/>
    <d v="2020-11-10T16:19:47"/>
  </r>
  <r>
    <s v="UEMI Iloilo - Multi"/>
    <s v="REPAIRED"/>
    <x v="0"/>
    <s v="M00120000293"/>
    <d v="2020-11-10T00:00:00"/>
    <s v="M087"/>
    <s v="register replace sim card gps tracker"/>
    <s v="napalitan na ng sim naregister ko na din"/>
    <x v="4"/>
    <x v="6"/>
    <n v="0"/>
    <m/>
    <s v="okay na"/>
    <m/>
    <s v="Velasquez, J"/>
    <d v="2020-11-10T00:00:00"/>
    <s v="SUPPORTED WITHIN 2DAYS"/>
    <x v="0"/>
    <n v="0"/>
    <s v="M001190058"/>
    <x v="3"/>
    <d v="2020-11-10T16:39:59"/>
  </r>
  <r>
    <s v="MCC Paniqui - Multi"/>
    <s v="REPAIRED"/>
    <x v="0"/>
    <s v="M00120000294"/>
    <d v="2020-11-11T00:00:00"/>
    <s v="M171"/>
    <s v="padalahan ng utp cable para sa cctv"/>
    <s v="pinadalahan na "/>
    <x v="1"/>
    <x v="3"/>
    <n v="0"/>
    <m/>
    <s v="okay na"/>
    <m/>
    <s v="Velasquez, J"/>
    <d v="2020-11-11T00:00:00"/>
    <s v="SUPPORTED WITHIN 2DAYS"/>
    <x v="0"/>
    <n v="0"/>
    <s v="M001190058"/>
    <x v="3"/>
    <d v="2020-11-11T09:50:05"/>
  </r>
  <r>
    <s v="Guan Kai Office"/>
    <s v="REPAIRED"/>
    <x v="0"/>
    <s v="M00120000295"/>
    <d v="2020-11-11T00:00:00"/>
    <s v="GK01"/>
    <s v="scan layout of mcc baguio"/>
    <s v="na scan ko na "/>
    <x v="1"/>
    <x v="3"/>
    <n v="0"/>
    <m/>
    <s v="okay na"/>
    <m/>
    <s v="Velasquez, J"/>
    <d v="2020-11-11T00:00:00"/>
    <s v="SUPPORTED WITHIN 2DAYS"/>
    <x v="0"/>
    <n v="0"/>
    <s v="M001190058"/>
    <x v="3"/>
    <d v="2020-11-11T09:50:53"/>
  </r>
  <r>
    <s v="Guan Kai Office"/>
    <s v="REPAIRED"/>
    <x v="1"/>
    <s v="M00120000296"/>
    <d v="2020-11-11T00:00:00"/>
    <s v="GK01"/>
    <s v="install driver pc of fsm"/>
    <m/>
    <x v="4"/>
    <x v="2"/>
    <n v="0"/>
    <m/>
    <m/>
    <m/>
    <m/>
    <d v="2020-11-11T00:00:00"/>
    <s v="SUPPORTED WITHIN 2DAYS"/>
    <x v="0"/>
    <n v="0"/>
    <s v="M001190058"/>
    <x v="3"/>
    <d v="2020-11-11T11:23:03"/>
  </r>
  <r>
    <s v="UEMI Urdaneta - Yamaha"/>
    <s v="REPAIRED"/>
    <x v="1"/>
    <s v="M00120000297"/>
    <d v="2020-11-11T00:00:00"/>
    <s v="M018"/>
    <s v="for diagnos printer"/>
    <m/>
    <x v="0"/>
    <x v="2"/>
    <n v="0"/>
    <m/>
    <m/>
    <m/>
    <m/>
    <d v="2020-11-11T00:00:00"/>
    <s v="SUPPORTED WITHIN 2DAYS"/>
    <x v="0"/>
    <n v="0"/>
    <s v="M001170038"/>
    <x v="1"/>
    <d v="2020-11-11T14:13:55"/>
  </r>
  <r>
    <s v="UEMI Cabagan - YAMAHA"/>
    <s v="REPAIRED"/>
    <x v="1"/>
    <s v="M00120000298"/>
    <d v="2020-11-11T00:00:00"/>
    <s v="M125"/>
    <s v="Server PC - for diagnose"/>
    <m/>
    <x v="0"/>
    <x v="0"/>
    <n v="1"/>
    <m/>
    <m/>
    <m/>
    <m/>
    <d v="2020-11-11T00:00:00"/>
    <s v="SUPPORTED WITHIN 2DAYS"/>
    <x v="0"/>
    <n v="0"/>
    <s v="M001170038"/>
    <x v="1"/>
    <d v="2020-11-11T14:37:12"/>
  </r>
  <r>
    <s v="Guanzon Corporate Center"/>
    <s v="REPAIRED"/>
    <x v="0"/>
    <s v="M00120000299"/>
    <d v="2020-11-11T00:00:00"/>
    <s v="GCC1"/>
    <s v="reset printer of DRS - Epson L120"/>
    <s v="done"/>
    <x v="2"/>
    <x v="5"/>
    <n v="0"/>
    <m/>
    <s v="Done"/>
    <m/>
    <s v="Macarling, F"/>
    <d v="2020-11-11T00:00:00"/>
    <s v="SUPPORTED WITHIN 2DAYS"/>
    <x v="0"/>
    <n v="0"/>
    <s v="M001170038"/>
    <x v="1"/>
    <d v="2020-11-11T14:37:39"/>
  </r>
  <r>
    <s v="Guanzon Corporate Center"/>
    <s v="REPAIRED"/>
    <x v="1"/>
    <s v="M00120000300"/>
    <d v="2020-11-11T00:00:00"/>
    <s v="GCC1"/>
    <s v="fix no systems of anolid - reboot server database"/>
    <m/>
    <x v="7"/>
    <x v="5"/>
    <n v="0"/>
    <m/>
    <m/>
    <m/>
    <m/>
    <d v="2020-11-11T00:00:00"/>
    <s v="SUPPORTED WITHIN 2DAYS"/>
    <x v="0"/>
    <n v="0"/>
    <s v="M001170038"/>
    <x v="1"/>
    <d v="2020-11-11T14:38:18"/>
  </r>
  <r>
    <s v="Guanzon Central Office"/>
    <s v="REPAIRED"/>
    <x v="1"/>
    <s v="M00120000301"/>
    <d v="2020-11-11T00:00:00"/>
    <s v="GCO1"/>
    <s v="transfer PC of Riza - mp executive"/>
    <m/>
    <x v="2"/>
    <x v="5"/>
    <n v="0"/>
    <m/>
    <m/>
    <m/>
    <m/>
    <d v="2020-11-11T00:00:00"/>
    <s v="SUPPORTED WITHIN 2DAYS"/>
    <x v="0"/>
    <n v="0"/>
    <s v="M001170038"/>
    <x v="1"/>
    <d v="2020-11-11T14:39:41"/>
  </r>
  <r>
    <s v="UEMI Urdaneta - Yamaha"/>
    <s v="REPAIRED"/>
    <x v="1"/>
    <s v="M00120000302"/>
    <d v="2020-11-11T00:00:00"/>
    <s v="M018"/>
    <s v="backload old keyboard - for diagnos"/>
    <m/>
    <x v="1"/>
    <x v="3"/>
    <n v="0"/>
    <m/>
    <m/>
    <m/>
    <m/>
    <d v="2020-11-11T00:00:00"/>
    <s v="SUPPORTED WITHIN 2DAYS"/>
    <x v="0"/>
    <n v="0"/>
    <s v="M001170038"/>
    <x v="1"/>
    <d v="2020-11-11T14:42:14"/>
  </r>
  <r>
    <s v="UEMI Urdaneta - Yamaha"/>
    <s v="REPAIRED"/>
    <x v="1"/>
    <s v="M00120000303"/>
    <d v="2020-11-11T00:00:00"/>
    <s v="M018"/>
    <s v="backload computer monitor - for diagnose"/>
    <m/>
    <x v="1"/>
    <x v="3"/>
    <n v="0"/>
    <m/>
    <m/>
    <m/>
    <m/>
    <d v="2020-11-11T00:00:00"/>
    <s v="SUPPORTED WITHIN 2DAYS"/>
    <x v="0"/>
    <n v="0"/>
    <s v="M001170038"/>
    <x v="1"/>
    <d v="2020-11-11T14:42:41"/>
  </r>
  <r>
    <s v="OPPO - Waltermart Gapan"/>
    <s v="REPAIRED"/>
    <x v="0"/>
    <s v="M00120000304"/>
    <d v="2020-11-11T00:00:00"/>
    <s v="C054"/>
    <s v="asset transfer - server system unit. repaired already"/>
    <s v="done"/>
    <x v="0"/>
    <x v="7"/>
    <n v="0"/>
    <m/>
    <s v="Done"/>
    <m/>
    <s v="Macarling, F"/>
    <d v="2020-11-13T00:00:00"/>
    <s v="SUPPORTED WITHIN 2DAYS"/>
    <x v="0"/>
    <n v="0"/>
    <s v="M001170038"/>
    <x v="1"/>
    <d v="2020-11-11T14:44:57"/>
  </r>
  <r>
    <s v="MCC Dagupan - Kawasaki"/>
    <s v="REPAIRED"/>
    <x v="0"/>
    <s v="M00120000305"/>
    <d v="2020-11-11T00:00:00"/>
    <s v="M126"/>
    <s v="access branch for printer sharing"/>
    <s v="connected"/>
    <x v="2"/>
    <x v="2"/>
    <n v="0"/>
    <m/>
    <s v="okay na"/>
    <m/>
    <s v="Velasquez, J"/>
    <d v="2020-11-11T00:00:00"/>
    <s v="SUPPORTED WITHIN 2DAYS"/>
    <x v="0"/>
    <n v="0"/>
    <s v="M001190058"/>
    <x v="3"/>
    <d v="2020-11-11T16:07:33"/>
  </r>
  <r>
    <s v="Guan Kai Office"/>
    <s v="REPAIRED"/>
    <x v="0"/>
    <s v="M00120000306"/>
    <d v="2020-11-11T00:00:00"/>
    <s v="GK01"/>
    <s v="recieved items of ingeneering with bernard"/>
    <s v="recieved na po namin dvr 16 channel 2 hdd 1 4tb 1 1tb"/>
    <x v="1"/>
    <x v="3"/>
    <n v="0"/>
    <m/>
    <s v="okay na"/>
    <m/>
    <s v="Velasquez, J"/>
    <d v="2020-11-11T00:00:00"/>
    <s v="SUPPORTED WITHIN 2DAYS"/>
    <x v="0"/>
    <n v="0"/>
    <s v="M001190058"/>
    <x v="3"/>
    <d v="2020-11-11T16:18:12"/>
  </r>
  <r>
    <s v="Samsung - SM Rosales"/>
    <s v="REPAIRED"/>
    <x v="0"/>
    <s v="M00120000307"/>
    <d v="2020-11-11T00:00:00"/>
    <s v="C043"/>
    <s v="access branch for cctv playback recording"/>
    <s v="assist branch"/>
    <x v="2"/>
    <x v="4"/>
    <n v="0"/>
    <m/>
    <s v="okay na"/>
    <m/>
    <s v="Velasquez, J"/>
    <d v="2020-11-11T00:00:00"/>
    <s v="SUPPORTED WITHIN 2DAYS"/>
    <x v="0"/>
    <n v="0"/>
    <s v="M001190058"/>
    <x v="3"/>
    <d v="2020-11-11T16:23:21"/>
  </r>
  <r>
    <s v="MCC Kalibo - Multi"/>
    <s v="REPAIRED"/>
    <x v="1"/>
    <s v="M00120000308"/>
    <d v="2020-11-12T00:00:00"/>
    <s v="M123"/>
    <s v="DVR continous beep.. problem: HDD not exist"/>
    <m/>
    <x v="2"/>
    <x v="4"/>
    <n v="0"/>
    <m/>
    <m/>
    <m/>
    <m/>
    <d v="2020-11-12T00:00:00"/>
    <s v="SUPPORTED WITHIN 2DAYS"/>
    <x v="0"/>
    <n v="0"/>
    <s v="M001170038"/>
    <x v="1"/>
    <d v="2020-11-12T10:57:13"/>
  </r>
  <r>
    <s v="Guan Kai Office"/>
    <s v="OTHERS"/>
    <x v="0"/>
    <s v="M00120000309"/>
    <d v="2020-11-12T00:00:00"/>
    <s v="GK01"/>
    <s v="refill ink - HCM Printer Epson L120"/>
    <s v="done"/>
    <x v="0"/>
    <x v="7"/>
    <n v="0"/>
    <m/>
    <s v="Done"/>
    <s v="M00114001562"/>
    <s v="Macarling, F"/>
    <d v="2020-11-13T00:00:00"/>
    <s v="SUPPORTED WITHIN 2DAYS"/>
    <x v="0"/>
    <n v="4"/>
    <s v="M001170038"/>
    <x v="1"/>
    <d v="2020-11-12T10:57:45"/>
  </r>
  <r>
    <s v="Guan Kai Office"/>
    <s v="NEW INSTALL"/>
    <x v="0"/>
    <s v="M00120000310"/>
    <d v="2020-11-12T00:00:00"/>
    <s v="GK01"/>
    <s v="Asset transfer - CCTV of UEMI San Fabian Yamaha (1set of CCTV)"/>
    <s v="done.packed already"/>
    <x v="0"/>
    <x v="7"/>
    <n v="0"/>
    <m/>
    <s v="Done"/>
    <s v="M00114001562"/>
    <s v="Macarling, F"/>
    <d v="2020-11-13T00:00:00"/>
    <s v="SUPPORTED WITHIN 2DAYS"/>
    <x v="0"/>
    <n v="3"/>
    <s v="M001170038"/>
    <x v="1"/>
    <d v="2020-11-12T10:58:29"/>
  </r>
  <r>
    <s v="Guan Kai Office"/>
    <s v="NEW INSTALL"/>
    <x v="0"/>
    <s v="M00120000311"/>
    <d v="2020-11-12T00:00:00"/>
    <s v="GK01"/>
    <s v="pack 4 monitor and 4 keyboard w/ mouse - For GCC-CSS use"/>
    <s v="done. ready for dispatch"/>
    <x v="0"/>
    <x v="7"/>
    <n v="0"/>
    <m/>
    <s v="Done."/>
    <s v="M00109011794"/>
    <s v="Macarling, F"/>
    <d v="2020-11-13T00:00:00"/>
    <s v="SUPPORTED WITHIN 2DAYS"/>
    <x v="0"/>
    <n v="3"/>
    <s v="M001170038"/>
    <x v="1"/>
    <d v="2020-11-12T10:59:33"/>
  </r>
  <r>
    <s v="MCC Baguio - Honda"/>
    <s v="NEW INSTALL"/>
    <x v="0"/>
    <s v="M00120000312"/>
    <d v="2020-11-13T00:00:00"/>
    <s v="M015"/>
    <s v="release 1set of cctv.. for installation"/>
    <s v="done. packed already. ready for dispatch"/>
    <x v="0"/>
    <x v="7"/>
    <n v="0"/>
    <m/>
    <s v="Done"/>
    <m/>
    <s v="Macarling, F"/>
    <d v="2020-11-13T00:00:00"/>
    <s v="SUPPORTED WITHIN 2DAYS"/>
    <x v="0"/>
    <n v="3"/>
    <s v="M001170038"/>
    <x v="1"/>
    <d v="2020-11-13T08:29:53"/>
  </r>
  <r>
    <s v="UEMI San Fabian - Yamaha"/>
    <s v="NEW INSTALL"/>
    <x v="0"/>
    <s v="M00120000313"/>
    <d v="2020-11-12T00:00:00"/>
    <s v="M174"/>
    <s v="released 1 set of cctv.. for installation"/>
    <s v="done."/>
    <x v="0"/>
    <x v="7"/>
    <n v="0"/>
    <m/>
    <s v="Done"/>
    <m/>
    <s v="Macarling, F"/>
    <d v="2020-11-13T00:00:00"/>
    <s v="SUPPORTED WITHIN 2DAYS"/>
    <x v="0"/>
    <n v="3"/>
    <s v="M001170038"/>
    <x v="1"/>
    <d v="2020-11-13T08:30:36"/>
  </r>
  <r>
    <s v="Guan Kai Office"/>
    <s v="REPAIRED"/>
    <x v="0"/>
    <s v="M00120000314"/>
    <d v="2020-11-13T00:00:00"/>
    <s v="GK01"/>
    <s v="isolate network of fsm dept"/>
    <s v="isolated"/>
    <x v="0"/>
    <x v="8"/>
    <n v="0"/>
    <m/>
    <s v="okay na"/>
    <m/>
    <s v="Velasquez, J"/>
    <d v="2020-11-13T00:00:00"/>
    <s v="SUPPORTED WITHIN 2DAYS"/>
    <x v="0"/>
    <n v="0"/>
    <s v="M001190058"/>
    <x v="3"/>
    <d v="2020-11-13T09:58:49"/>
  </r>
  <r>
    <s v="Guan Kai Office"/>
    <s v="REPAIRED"/>
    <x v="0"/>
    <s v="M00120000315"/>
    <d v="2020-11-13T00:00:00"/>
    <s v="GK01"/>
    <s v="assist globe staff to remove network"/>
    <s v="assisted"/>
    <x v="2"/>
    <x v="7"/>
    <n v="0"/>
    <m/>
    <s v="okay na"/>
    <m/>
    <s v="Velasquez, J"/>
    <d v="2020-11-13T00:00:00"/>
    <s v="SUPPORTED WITHIN 2DAYS"/>
    <x v="0"/>
    <n v="0"/>
    <s v="M001190058"/>
    <x v="3"/>
    <d v="2020-11-13T10:00:28"/>
  </r>
  <r>
    <s v="Guan Kai Office"/>
    <s v="NEW INSTALL"/>
    <x v="0"/>
    <s v="M00120000316"/>
    <d v="2020-11-12T00:00:00"/>
    <s v="GK01"/>
    <s v="released printer of GK-FSM  - Epson L3110"/>
    <s v="done. installed"/>
    <x v="0"/>
    <x v="7"/>
    <n v="0"/>
    <m/>
    <s v="Done"/>
    <s v="M00108007436"/>
    <s v="Macarling, F"/>
    <d v="2020-11-13T00:00:00"/>
    <s v="SUPPORTED WITHIN 2DAYS"/>
    <x v="0"/>
    <n v="3"/>
    <s v="M001170038"/>
    <x v="1"/>
    <d v="2020-11-13T10:09:20"/>
  </r>
  <r>
    <s v="Guan Kai Office"/>
    <s v="NEW INSTALL"/>
    <x v="0"/>
    <s v="M00120000317"/>
    <d v="2020-11-12T00:00:00"/>
    <s v="GK01"/>
    <s v="install new printer of GK-FSM"/>
    <s v="done"/>
    <x v="0"/>
    <x v="7"/>
    <n v="0"/>
    <m/>
    <s v="Done"/>
    <s v="M00119001128"/>
    <s v="Macarling, F"/>
    <d v="2020-11-13T00:00:00"/>
    <s v="SUPPORTED WITHIN 2DAYS"/>
    <x v="0"/>
    <n v="3"/>
    <s v="M001170038"/>
    <x v="1"/>
    <d v="2020-11-13T10:09:58"/>
  </r>
  <r>
    <s v="Guan Kai Office"/>
    <s v="NEW INSTALL"/>
    <x v="0"/>
    <s v="M00120000318"/>
    <d v="2020-11-13T00:00:00"/>
    <s v="GK01"/>
    <s v="connect PC of Mam Shirly Maynigo to new printer of FSM"/>
    <s v="done. connected"/>
    <x v="0"/>
    <x v="7"/>
    <n v="0"/>
    <m/>
    <s v="Done"/>
    <s v="M00117003242"/>
    <s v="Macarling, F"/>
    <d v="2020-11-13T00:00:00"/>
    <s v="SUPPORTED WITHIN 2DAYS"/>
    <x v="0"/>
    <n v="3"/>
    <s v="M001170038"/>
    <x v="1"/>
    <d v="2020-11-13T10:10:32"/>
  </r>
  <r>
    <s v="Guan Kai Office"/>
    <s v="NEW INSTALL"/>
    <x v="0"/>
    <s v="M00120000319"/>
    <d v="2020-11-12T00:00:00"/>
    <s v="GK01"/>
    <s v="connect PC of Israel Cerna to new printer of FSM"/>
    <s v="done. connected"/>
    <x v="0"/>
    <x v="7"/>
    <n v="0"/>
    <m/>
    <s v="Done"/>
    <s v="M00114001603"/>
    <s v="Macarling, F"/>
    <d v="2020-11-13T00:00:00"/>
    <s v="SUPPORTED WITHIN 2DAYS"/>
    <x v="0"/>
    <n v="3"/>
    <s v="M001170038"/>
    <x v="1"/>
    <d v="2020-11-13T10:11:04"/>
  </r>
  <r>
    <s v="Guan Kai Office"/>
    <s v="OTHERS"/>
    <x v="1"/>
    <s v="M00120000320"/>
    <d v="2020-11-13T00:00:00"/>
    <s v="GK01"/>
    <s v="inquire laptop battery model: HP 14-bs065tx"/>
    <s v="done. waiting for supplier respond"/>
    <x v="0"/>
    <x v="7"/>
    <n v="0"/>
    <m/>
    <s v="Done"/>
    <s v="M00110017110"/>
    <s v="Macarling, F"/>
    <d v="2020-11-13T00:00:00"/>
    <s v="SUPPORTED WITHIN 2DAYS"/>
    <x v="0"/>
    <n v="4"/>
    <s v="M001170038"/>
    <x v="1"/>
    <d v="2020-11-13T10:34:05"/>
  </r>
  <r>
    <s v="Guan Kai Office"/>
    <s v="REPAIRED"/>
    <x v="1"/>
    <s v="M00120000321"/>
    <d v="2020-11-12T00:00:00"/>
    <s v="GK01"/>
    <s v="GK Line 1 - busy tone.. reported already to pldt"/>
    <s v="reported already. ticket#: 36106612  as of 11/12/2020"/>
    <x v="0"/>
    <x v="7"/>
    <n v="0"/>
    <m/>
    <s v="for monitoring"/>
    <s v="M00113001232"/>
    <s v="Velasquez, J"/>
    <d v="2020-11-13T00:00:00"/>
    <s v="SUPPORTED WITHIN 2DAYS"/>
    <x v="0"/>
    <n v="0"/>
    <s v="M001170038"/>
    <x v="1"/>
    <d v="2020-11-13T10:44:05"/>
  </r>
  <r>
    <s v="LGK Dagupan - Multi"/>
    <s v="REPAIRED"/>
    <x v="1"/>
    <s v="M00120000322"/>
    <d v="2020-11-13T00:00:00"/>
    <s v="M002"/>
    <s v="PC 2 diagnosed as virus infected. client pc only"/>
    <m/>
    <x v="2"/>
    <x v="5"/>
    <n v="0"/>
    <m/>
    <m/>
    <s v="M00110017103"/>
    <m/>
    <d v="2020-11-13T00:00:00"/>
    <s v="SUPPORTED WITHIN 2DAYS"/>
    <x v="0"/>
    <n v="0"/>
    <s v="M001170038"/>
    <x v="1"/>
    <d v="2020-11-13T10:53:04"/>
  </r>
  <r>
    <s v="Guan Kai Office"/>
    <s v="REPAIRED"/>
    <x v="0"/>
    <s v="M00120000323"/>
    <d v="2020-11-13T00:00:00"/>
    <s v="GK01"/>
    <s v="troubleshoot network of hr"/>
    <s v="restart hub"/>
    <x v="7"/>
    <x v="8"/>
    <n v="0"/>
    <m/>
    <s v="okay na"/>
    <m/>
    <s v="Velasquez, J"/>
    <d v="2020-11-13T00:00:00"/>
    <s v="SUPPORTED WITHIN 2DAYS"/>
    <x v="0"/>
    <n v="0"/>
    <s v="M001190058"/>
    <x v="3"/>
    <d v="2020-11-13T14:47:15"/>
  </r>
  <r>
    <s v="Guanzon Manila Office"/>
    <s v="REPAIRED"/>
    <x v="1"/>
    <s v="M00120000324"/>
    <d v="2020-11-13T00:00:00"/>
    <s v="GMO1"/>
    <s v="Spare 1 of GMO - MIS"/>
    <m/>
    <x v="4"/>
    <x v="0"/>
    <n v="0"/>
    <m/>
    <m/>
    <s v="M00114001114"/>
    <m/>
    <d v="2020-11-13T00:00:00"/>
    <s v="SUPPORTED WITHIN 2DAYS"/>
    <x v="0"/>
    <n v="0"/>
    <s v="M001170038"/>
    <x v="1"/>
    <d v="2020-11-13T14:56:34"/>
  </r>
  <r>
    <s v="Guanzon Manila Office"/>
    <s v="REPAIRED"/>
    <x v="1"/>
    <s v="M00120000325"/>
    <d v="2020-11-13T00:00:00"/>
    <s v="GMO1"/>
    <s v="Spare 2 of GMO - MIS"/>
    <m/>
    <x v="4"/>
    <x v="0"/>
    <n v="0"/>
    <m/>
    <m/>
    <s v="M00114001114"/>
    <m/>
    <d v="2020-11-13T00:00:00"/>
    <s v="SUPPORTED WITHIN 2DAYS"/>
    <x v="0"/>
    <n v="0"/>
    <s v="M001170038"/>
    <x v="1"/>
    <d v="2020-11-13T14:56:54"/>
  </r>
  <r>
    <s v="UEMI San Nicolas - Yamaha"/>
    <s v="REPAIRED"/>
    <x v="1"/>
    <s v="M00120000326"/>
    <d v="2020-11-13T00:00:00"/>
    <s v="M144"/>
    <s v="For diagnos - Server PC"/>
    <m/>
    <x v="0"/>
    <x v="0"/>
    <n v="1"/>
    <m/>
    <m/>
    <s v="M00114001114"/>
    <m/>
    <d v="2020-11-13T00:00:00"/>
    <s v="SUPPORTED WITHIN 2DAYS"/>
    <x v="0"/>
    <n v="0"/>
    <s v="M001170038"/>
    <x v="1"/>
    <d v="2020-11-13T14:58:51"/>
  </r>
  <r>
    <s v="Guan Kai Office"/>
    <s v="REPAIRED"/>
    <x v="0"/>
    <s v="M00120000327"/>
    <d v="2020-11-14T00:00:00"/>
    <s v="GK01"/>
    <s v="set up pc of new support staff"/>
    <s v="nakasetup na "/>
    <x v="4"/>
    <x v="3"/>
    <n v="0"/>
    <m/>
    <s v="okay na"/>
    <m/>
    <s v="Velasquez, J"/>
    <d v="2020-11-14T00:00:00"/>
    <s v="SUPPORTED WITHIN 2DAYS"/>
    <x v="0"/>
    <n v="0"/>
    <s v="M001190058"/>
    <x v="3"/>
    <d v="2020-11-14T09:07:14"/>
  </r>
  <r>
    <s v="Guan Kai Office"/>
    <s v="REPAIRED"/>
    <x v="0"/>
    <s v="M00120000328"/>
    <d v="2020-11-14T00:00:00"/>
    <s v="GK01"/>
    <s v="nagbuhat kami ng lamesa ng bagong android programmer"/>
    <s v="nasa 3rd floor na"/>
    <x v="1"/>
    <x v="3"/>
    <n v="0"/>
    <m/>
    <s v="okay na"/>
    <m/>
    <s v="Velasquez, J"/>
    <d v="2020-11-14T00:00:00"/>
    <s v="SUPPORTED WITHIN 2DAYS"/>
    <x v="0"/>
    <n v="0"/>
    <s v="M001190058"/>
    <x v="3"/>
    <d v="2020-11-14T09:15:52"/>
  </r>
  <r>
    <s v="Guan Kai Office"/>
    <s v="REPAIRED"/>
    <x v="1"/>
    <s v="M00120000329"/>
    <d v="2020-11-14T00:00:00"/>
    <s v="GK01"/>
    <s v="Setup and install new PC of Support - PC 1"/>
    <m/>
    <x v="4"/>
    <x v="0"/>
    <n v="0"/>
    <m/>
    <m/>
    <m/>
    <m/>
    <d v="2020-11-14T00:00:00"/>
    <s v="SUPPORTED WITHIN 2DAYS"/>
    <x v="0"/>
    <n v="0"/>
    <s v="M001170038"/>
    <x v="1"/>
    <d v="2020-11-14T10:31:50"/>
  </r>
  <r>
    <s v="Guan Kai Office"/>
    <s v="REPAIRED"/>
    <x v="1"/>
    <s v="M00120000330"/>
    <d v="2020-11-14T00:00:00"/>
    <s v="GK01"/>
    <s v="Setup and install new PC of Support - PC 2"/>
    <m/>
    <x v="4"/>
    <x v="0"/>
    <n v="0"/>
    <m/>
    <m/>
    <m/>
    <m/>
    <d v="2020-11-14T00:00:00"/>
    <s v="SUPPORTED WITHIN 2DAYS"/>
    <x v="0"/>
    <n v="0"/>
    <s v="M001170038"/>
    <x v="1"/>
    <d v="2020-11-14T10:32:02"/>
  </r>
  <r>
    <s v="LGK Dagupan - Multi"/>
    <s v="REPAIRED"/>
    <x v="0"/>
    <s v="M00120000331"/>
    <d v="2020-11-14T00:00:00"/>
    <s v="M002"/>
    <s v="for repair. virus infected . client pc"/>
    <s v="done. back up and reformat"/>
    <x v="2"/>
    <x v="5"/>
    <n v="0"/>
    <m/>
    <s v="Done"/>
    <m/>
    <s v="Macarling, F"/>
    <d v="2020-11-16T00:00:00"/>
    <s v="SUPPORTED WITHIN 2DAYS"/>
    <x v="0"/>
    <n v="0"/>
    <s v="M001170038"/>
    <x v="1"/>
    <d v="2020-11-14T11:05:58"/>
  </r>
  <r>
    <s v="Guanzon Corporate Center"/>
    <s v="REPAIRED"/>
    <x v="0"/>
    <s v="M00120000332"/>
    <d v="2020-11-14T00:00:00"/>
    <s v="GCC1"/>
    <s v="Printer Epson L210 - paper pickup springs out"/>
    <s v="done. repaired already.. printer of Audit"/>
    <x v="2"/>
    <x v="5"/>
    <n v="0"/>
    <m/>
    <s v="Done"/>
    <m/>
    <s v="Macarling, F"/>
    <d v="2020-11-16T00:00:00"/>
    <s v="SUPPORTED WITHIN 2DAYS"/>
    <x v="0"/>
    <n v="0"/>
    <s v="M001170038"/>
    <x v="1"/>
    <d v="2020-11-14T11:44:40"/>
  </r>
  <r>
    <s v="Guan Kai Office"/>
    <s v="NEW INSTALL"/>
    <x v="0"/>
    <s v="M00120000333"/>
    <d v="2020-11-14T00:00:00"/>
    <s v="GK01"/>
    <s v="pick up hp ink cartridge at micronics"/>
    <s v="done"/>
    <x v="2"/>
    <x v="5"/>
    <n v="0"/>
    <m/>
    <s v="Done"/>
    <s v="M00120001624"/>
    <s v="Macarling, F"/>
    <d v="2020-11-16T00:00:00"/>
    <s v="SUPPORTED WITHIN 2DAYS"/>
    <x v="0"/>
    <n v="3"/>
    <s v="M001170038"/>
    <x v="1"/>
    <d v="2020-11-14T11:45:38"/>
  </r>
  <r>
    <s v="Guan Kai Office"/>
    <s v="NEW INSTALL"/>
    <x v="0"/>
    <s v="M00120000334"/>
    <d v="2020-11-14T00:00:00"/>
    <s v="GK01"/>
    <s v="reinstall driver and check legal size"/>
    <s v="done"/>
    <x v="2"/>
    <x v="5"/>
    <n v="0"/>
    <m/>
    <s v="Done"/>
    <s v="M00119001128"/>
    <s v="Macarling, F"/>
    <d v="2020-11-16T00:00:00"/>
    <s v="SUPPORTED WITHIN 2DAYS"/>
    <x v="0"/>
    <n v="3"/>
    <s v="M001170038"/>
    <x v="1"/>
    <d v="2020-11-14T13:04:08"/>
  </r>
  <r>
    <s v="Mobitek Nepo Mall Dagupan"/>
    <s v="REPAIRED"/>
    <x v="1"/>
    <s v="M00120000335"/>
    <d v="2020-11-14T00:00:00"/>
    <s v="C008"/>
    <s v="fix telephone wirings of nepo dagupan mobitek - for terminal"/>
    <m/>
    <x v="0"/>
    <x v="8"/>
    <n v="0"/>
    <m/>
    <m/>
    <s v="M00119001128"/>
    <m/>
    <d v="2020-11-14T00:00:00"/>
    <s v="SUPPORTED WITHIN 2DAYS"/>
    <x v="0"/>
    <n v="0"/>
    <s v="M001170038"/>
    <x v="1"/>
    <d v="2020-11-14T13:38:30"/>
  </r>
  <r>
    <s v="Guan Kai Office"/>
    <s v="REPAIRED"/>
    <x v="0"/>
    <s v="M00120000336"/>
    <d v="2020-11-14T00:00:00"/>
    <s v="GK01"/>
    <s v="no display  pc of hr"/>
    <s v="clean ram"/>
    <x v="2"/>
    <x v="0"/>
    <n v="0"/>
    <m/>
    <s v="okay na"/>
    <m/>
    <s v="Velasquez, J"/>
    <d v="2020-11-14T00:00:00"/>
    <s v="SUPPORTED WITHIN 2DAYS"/>
    <x v="0"/>
    <n v="0"/>
    <s v="M001190058"/>
    <x v="3"/>
    <d v="2020-11-14T14:11:59"/>
  </r>
  <r>
    <s v="Guan Kai Office"/>
    <s v="REPAIRED"/>
    <x v="0"/>
    <s v="M00120000337"/>
    <d v="2020-11-14T00:00:00"/>
    <s v="GK01"/>
    <s v="refill ink printer of hr"/>
    <s v="refilled"/>
    <x v="2"/>
    <x v="2"/>
    <n v="0"/>
    <m/>
    <s v="okay na"/>
    <m/>
    <s v="Velasquez, J"/>
    <d v="2020-11-14T00:00:00"/>
    <s v="SUPPORTED WITHIN 2DAYS"/>
    <x v="0"/>
    <n v="0"/>
    <s v="M001190058"/>
    <x v="3"/>
    <d v="2020-11-14T14:12:26"/>
  </r>
  <r>
    <s v="Guan Kai Office"/>
    <s v="REPAIRED"/>
    <x v="0"/>
    <s v="M00120000338"/>
    <d v="2020-11-14T00:00:00"/>
    <s v="GK01"/>
    <s v="pick up printers at bitstop.. Epson L220, Epson L210, L120 and L1300"/>
    <s v="done"/>
    <x v="2"/>
    <x v="5"/>
    <n v="0"/>
    <m/>
    <s v="Done"/>
    <s v="M00119001128"/>
    <s v="Macarling, F"/>
    <d v="2020-11-16T00:00:00"/>
    <s v="SUPPORTED WITHIN 2DAYS"/>
    <x v="0"/>
    <n v="0"/>
    <s v="M001170038"/>
    <x v="1"/>
    <d v="2020-11-14T16:33:11"/>
  </r>
  <r>
    <s v="Guan Kai Office"/>
    <s v="REPAIRED"/>
    <x v="0"/>
    <s v="M00120000339"/>
    <d v="2020-11-16T00:00:00"/>
    <s v="GK01"/>
    <s v="no dispalay need clean ram staff of multimedia"/>
    <s v="cleaned"/>
    <x v="2"/>
    <x v="0"/>
    <n v="0"/>
    <m/>
    <s v="okay na"/>
    <m/>
    <s v="Velasquez, J"/>
    <d v="2020-11-16T00:00:00"/>
    <s v="SUPPORTED WITHIN 2DAYS"/>
    <x v="0"/>
    <n v="0"/>
    <s v="M001190058"/>
    <x v="3"/>
    <d v="2020-11-16T09:28:56"/>
  </r>
  <r>
    <s v="Guan Kai Office"/>
    <s v="REPAIRED"/>
    <x v="0"/>
    <s v="M00120000340"/>
    <d v="2020-11-16T00:00:00"/>
    <s v="GK01"/>
    <s v="pc no display isolate pc"/>
    <s v="di nakasaksak "/>
    <x v="2"/>
    <x v="0"/>
    <n v="0"/>
    <m/>
    <s v="okay na"/>
    <m/>
    <s v="Velasquez, J"/>
    <d v="2020-11-16T00:00:00"/>
    <s v="SUPPORTED WITHIN 2DAYS"/>
    <x v="0"/>
    <n v="0"/>
    <s v="M001190058"/>
    <x v="3"/>
    <d v="2020-11-16T09:29:22"/>
  </r>
  <r>
    <s v="Guan Kai Office"/>
    <s v="NEW INSTALL"/>
    <x v="0"/>
    <s v="M00120000341"/>
    <d v="2020-11-16T00:00:00"/>
    <s v="GK01"/>
    <s v="install ink and calibrate: 2h New printer w/ scanner: Epson L3110"/>
    <s v="done"/>
    <x v="2"/>
    <x v="5"/>
    <n v="0"/>
    <m/>
    <s v="Done"/>
    <m/>
    <s v="Macarling, F"/>
    <d v="2020-11-16T00:00:00"/>
    <s v="SUPPORTED WITHIN 2DAYS"/>
    <x v="0"/>
    <n v="3"/>
    <s v="M001170038"/>
    <x v="1"/>
    <d v="2020-11-16T10:19:41"/>
  </r>
  <r>
    <s v="LGK Dagupan - Multi"/>
    <s v="REPAIRED"/>
    <x v="0"/>
    <s v="M00120000342"/>
    <d v="2020-11-16T00:00:00"/>
    <s v="M002"/>
    <s v="assist about horde.. set as automatic not Mobile (minimal) view"/>
    <s v="done"/>
    <x v="2"/>
    <x v="5"/>
    <n v="0"/>
    <m/>
    <s v="Done"/>
    <m/>
    <s v="Macarling, F"/>
    <d v="2020-11-16T00:00:00"/>
    <s v="SUPPORTED WITHIN 2DAYS"/>
    <x v="0"/>
    <n v="0"/>
    <s v="M001170038"/>
    <x v="1"/>
    <d v="2020-11-16T10:20:20"/>
  </r>
  <r>
    <s v="Guan Kai Office"/>
    <s v="REPAIRED"/>
    <x v="0"/>
    <s v="M00120000343"/>
    <d v="2020-11-16T00:00:00"/>
    <s v="GK01"/>
    <s v="printer sharing"/>
    <s v="connected"/>
    <x v="1"/>
    <x v="2"/>
    <n v="0"/>
    <m/>
    <s v="okay na"/>
    <m/>
    <s v="Velasquez, J"/>
    <d v="2020-11-16T00:00:00"/>
    <s v="SUPPORTED WITHIN 2DAYS"/>
    <x v="0"/>
    <n v="0"/>
    <s v="M001190058"/>
    <x v="3"/>
    <d v="2020-11-16T14:41:31"/>
  </r>
  <r>
    <s v="LGK Tarlac - Honda"/>
    <s v="REPAIRED"/>
    <x v="1"/>
    <s v="M00120000344"/>
    <d v="2020-11-16T00:00:00"/>
    <s v="M006"/>
    <s v="PC2 - corrupted OS"/>
    <m/>
    <x v="0"/>
    <x v="0"/>
    <n v="0"/>
    <m/>
    <m/>
    <s v="M00118000538"/>
    <m/>
    <d v="2020-11-16T00:00:00"/>
    <s v="SUPPORTED WITHIN 2DAYS"/>
    <x v="0"/>
    <n v="0"/>
    <s v="M001170038"/>
    <x v="1"/>
    <d v="2020-11-16T15:05:37"/>
  </r>
  <r>
    <s v="Guan Kai Office"/>
    <s v="REPAIRED"/>
    <x v="0"/>
    <s v="M00120000345"/>
    <d v="2020-11-16T00:00:00"/>
    <s v="GK01"/>
    <s v="need install ms office2010"/>
    <s v="installed"/>
    <x v="4"/>
    <x v="3"/>
    <n v="0"/>
    <m/>
    <s v="okay na"/>
    <m/>
    <s v="Velasquez, J"/>
    <d v="2020-11-16T00:00:00"/>
    <s v="SUPPORTED WITHIN 2DAYS"/>
    <x v="0"/>
    <n v="0"/>
    <s v="M001190058"/>
    <x v="3"/>
    <d v="2020-11-16T15:59:32"/>
  </r>
  <r>
    <s v="MCC Dagupan - Kawasaki"/>
    <s v="REPAIRED"/>
    <x v="0"/>
    <s v="M00120000346"/>
    <d v="2020-11-16T00:00:00"/>
    <s v="M126"/>
    <s v="no internet"/>
    <s v="restart modem"/>
    <x v="1"/>
    <x v="8"/>
    <n v="0"/>
    <m/>
    <s v="okay na"/>
    <m/>
    <s v="Velasquez, J"/>
    <d v="2020-11-16T00:00:00"/>
    <s v="SUPPORTED WITHIN 2DAYS"/>
    <x v="0"/>
    <n v="0"/>
    <s v="M001190058"/>
    <x v="3"/>
    <d v="2020-11-16T16:00:17"/>
  </r>
  <r>
    <s v="UEMI Concepcion - Multi"/>
    <s v="REPAIRED"/>
    <x v="0"/>
    <s v="M00120000347"/>
    <d v="2020-11-16T00:00:00"/>
    <s v="M068"/>
    <s v="check cctv"/>
    <s v="checked"/>
    <x v="2"/>
    <x v="4"/>
    <n v="0"/>
    <m/>
    <s v="okay na"/>
    <m/>
    <s v="Velasquez, J"/>
    <d v="2020-11-16T00:00:00"/>
    <s v="SUPPORTED WITHIN 2DAYS"/>
    <x v="0"/>
    <n v="0"/>
    <s v="M001190058"/>
    <x v="3"/>
    <d v="2020-11-16T16:11:55"/>
  </r>
  <r>
    <s v="GMC Lingayen - Honda"/>
    <s v="REPAIRED"/>
    <x v="0"/>
    <s v="M00120000348"/>
    <d v="2020-11-17T00:00:00"/>
    <s v="M035"/>
    <s v="father info og globe account no internet and dialtone"/>
    <s v="report to globe"/>
    <x v="1"/>
    <x v="7"/>
    <n v="0"/>
    <m/>
    <s v="okay na"/>
    <m/>
    <s v="Velasquez, J"/>
    <d v="2020-11-17T00:00:00"/>
    <s v="SUPPORTED WITHIN 2DAYS"/>
    <x v="0"/>
    <n v="0"/>
    <s v="M001190058"/>
    <x v="3"/>
    <d v="2020-11-17T09:05:36"/>
  </r>
  <r>
    <s v="Pedritos Mangaldan"/>
    <s v="REPAIRED"/>
    <x v="0"/>
    <s v="M00120000349"/>
    <d v="2020-11-17T00:00:00"/>
    <s v="P004"/>
    <s v="released 1set of computer. pick up by: mark bryan"/>
    <s v="done"/>
    <x v="5"/>
    <x v="3"/>
    <n v="0"/>
    <m/>
    <s v="Done"/>
    <s v="M00119002528"/>
    <s v="Macarling, F"/>
    <d v="2020-11-21T00:00:00"/>
    <s v="NOT SUPPORTED WITHIN 2DAYS"/>
    <x v="1"/>
    <n v="0"/>
    <s v="M001170038"/>
    <x v="1"/>
    <d v="2020-11-17T09:58:09"/>
  </r>
  <r>
    <s v="Guanzon Corporate Center"/>
    <s v="REPAIRED"/>
    <x v="0"/>
    <s v="M00120000350"/>
    <d v="2020-11-16T00:00:00"/>
    <s v="GCC1"/>
    <s v="deliver repaired printer of GCC-Audit. Epson L210"/>
    <s v="done"/>
    <x v="5"/>
    <x v="3"/>
    <n v="0"/>
    <m/>
    <s v="Done"/>
    <s v="M00107007513"/>
    <s v="Macarling, F"/>
    <d v="2020-11-21T00:00:00"/>
    <s v="NOT SUPPORTED WITHIN 2DAYS"/>
    <x v="1"/>
    <n v="0"/>
    <s v="M001170038"/>
    <x v="1"/>
    <d v="2020-11-17T09:58:44"/>
  </r>
  <r>
    <s v="Guanzon Corporate Center"/>
    <s v="REPAIRED"/>
    <x v="1"/>
    <s v="M00120000351"/>
    <d v="2020-11-17T00:00:00"/>
    <s v="GCC1"/>
    <s v="need to replace router of 2h.. nagloloko.."/>
    <m/>
    <x v="2"/>
    <x v="5"/>
    <n v="0"/>
    <m/>
    <m/>
    <s v="M00105000084"/>
    <m/>
    <d v="2020-11-17T00:00:00"/>
    <s v="SUPPORTED WITHIN 2DAYS"/>
    <x v="0"/>
    <n v="0"/>
    <s v="M001170038"/>
    <x v="1"/>
    <d v="2020-11-17T10:12:14"/>
  </r>
  <r>
    <s v="MCC Marilao - Honda"/>
    <s v="REPAIRED"/>
    <x v="1"/>
    <s v="M00120000352"/>
    <d v="2020-11-17T00:00:00"/>
    <s v="M027"/>
    <s v="globe - no internet no dial tone - nabasa ng baha ung wirings"/>
    <m/>
    <x v="0"/>
    <x v="7"/>
    <n v="0"/>
    <m/>
    <m/>
    <s v="M00116001157"/>
    <m/>
    <d v="2020-11-17T00:00:00"/>
    <s v="SUPPORTED WITHIN 2DAYS"/>
    <x v="0"/>
    <n v="0"/>
    <s v="M001170038"/>
    <x v="1"/>
    <d v="2020-11-17T10:42:21"/>
  </r>
  <r>
    <s v="UEMI Tuguegarao - Multi"/>
    <s v="REPAIRED"/>
    <x v="0"/>
    <s v="M00120000353"/>
    <d v="2020-11-17T00:00:00"/>
    <s v="M071"/>
    <s v="access for printer problem"/>
    <s v="troubleshoot connected "/>
    <x v="2"/>
    <x v="2"/>
    <n v="0"/>
    <m/>
    <s v="okay na"/>
    <m/>
    <s v="Velasquez, J"/>
    <d v="2020-11-17T00:00:00"/>
    <s v="SUPPORTED WITHIN 2DAYS"/>
    <x v="0"/>
    <n v="0"/>
    <s v="M001190058"/>
    <x v="3"/>
    <d v="2020-11-17T10:45:48"/>
  </r>
  <r>
    <s v="UEMI Dagupan - Suzuki"/>
    <s v="REPAIRED"/>
    <x v="1"/>
    <s v="M00120000354"/>
    <d v="2020-11-18T00:00:00"/>
    <s v="M010"/>
    <s v="fix ms office. reinstall"/>
    <m/>
    <x v="2"/>
    <x v="5"/>
    <n v="0"/>
    <m/>
    <m/>
    <s v="M00107001868"/>
    <m/>
    <d v="2020-11-18T00:00:00"/>
    <s v="SUPPORTED WITHIN 2DAYS"/>
    <x v="0"/>
    <n v="0"/>
    <s v="M001170038"/>
    <x v="1"/>
    <d v="2020-11-18T09:13:47"/>
  </r>
  <r>
    <s v="Guanzon Corporate Center"/>
    <s v="REPAIRED"/>
    <x v="1"/>
    <s v="M00120000355"/>
    <d v="2020-11-18T00:00:00"/>
    <s v="GCC1"/>
    <s v="for visit 2h- anolid.. need to replace router"/>
    <m/>
    <x v="2"/>
    <x v="5"/>
    <n v="0"/>
    <m/>
    <m/>
    <s v="M00105000084"/>
    <m/>
    <d v="2020-11-18T00:00:00"/>
    <s v="SUPPORTED WITHIN 2DAYS"/>
    <x v="0"/>
    <n v="0"/>
    <s v="M001170038"/>
    <x v="1"/>
    <d v="2020-11-18T09:15:45"/>
  </r>
  <r>
    <s v="Guan Kai Office"/>
    <s v="REPAIRED"/>
    <x v="1"/>
    <s v="M00120000356"/>
    <d v="2020-11-18T00:00:00"/>
    <s v="GK01"/>
    <s v="replace power supply - pc of multimedia"/>
    <m/>
    <x v="0"/>
    <x v="0"/>
    <n v="0"/>
    <m/>
    <m/>
    <s v="M00105000084"/>
    <m/>
    <d v="2020-11-18T00:00:00"/>
    <s v="SUPPORTED WITHIN 2DAYS"/>
    <x v="0"/>
    <n v="0"/>
    <s v="M001170038"/>
    <x v="1"/>
    <d v="2020-11-18T09:41:04"/>
  </r>
  <r>
    <s v="Guanzon Central Office"/>
    <s v="REPAIRED"/>
    <x v="1"/>
    <s v="M00120000357"/>
    <d v="2020-11-18T00:00:00"/>
    <s v="GCO1"/>
    <s v="reformat laptop of engineering"/>
    <m/>
    <x v="0"/>
    <x v="3"/>
    <n v="0"/>
    <m/>
    <m/>
    <m/>
    <m/>
    <d v="2020-11-18T00:00:00"/>
    <s v="SUPPORTED WITHIN 2DAYS"/>
    <x v="0"/>
    <n v="0"/>
    <s v="M001190058"/>
    <x v="3"/>
    <d v="2020-11-18T11:15:03"/>
  </r>
  <r>
    <s v="Guan Kai Office"/>
    <s v="REPAIRED"/>
    <x v="0"/>
    <s v="M00120000358"/>
    <d v="2020-11-18T00:00:00"/>
    <s v="GK01"/>
    <s v="change utp cable of multimedia no net"/>
    <s v="changed"/>
    <x v="1"/>
    <x v="8"/>
    <n v="0"/>
    <m/>
    <s v="okay na"/>
    <m/>
    <s v="Velasquez, J"/>
    <d v="2020-11-18T00:00:00"/>
    <s v="SUPPORTED WITHIN 2DAYS"/>
    <x v="0"/>
    <n v="0"/>
    <s v="M001190058"/>
    <x v="3"/>
    <d v="2020-11-18T11:30:33"/>
  </r>
  <r>
    <s v="Guan Kai Office"/>
    <s v="REPAIRED"/>
    <x v="0"/>
    <s v="M00120000359"/>
    <d v="2020-11-18T00:00:00"/>
    <s v="GK01"/>
    <s v="pinadala na lahat ng mga unit ng branches at dept sa parcel"/>
    <s v="napadala na"/>
    <x v="1"/>
    <x v="3"/>
    <n v="0"/>
    <m/>
    <s v="okay na"/>
    <m/>
    <s v="Velasquez, J"/>
    <d v="2020-11-18T00:00:00"/>
    <s v="SUPPORTED WITHIN 2DAYS"/>
    <x v="0"/>
    <n v="0"/>
    <s v="M001190058"/>
    <x v="3"/>
    <d v="2020-11-18T14:30:59"/>
  </r>
  <r>
    <s v="Guan Kai Office"/>
    <s v="REPAIRED"/>
    <x v="0"/>
    <s v="M00120000360"/>
    <d v="2020-11-18T00:00:00"/>
    <s v="GK01"/>
    <s v="register sim card of gps tracker are of sir rolly"/>
    <s v="registered"/>
    <x v="4"/>
    <x v="6"/>
    <n v="0"/>
    <m/>
    <s v="okay na"/>
    <m/>
    <s v="Velasquez, J"/>
    <d v="2020-11-18T00:00:00"/>
    <s v="SUPPORTED WITHIN 2DAYS"/>
    <x v="0"/>
    <n v="0"/>
    <s v="M001190058"/>
    <x v="3"/>
    <d v="2020-11-18T15:53:10"/>
  </r>
  <r>
    <s v="Guan Kai Office"/>
    <s v="REPAIRED"/>
    <x v="0"/>
    <s v="M00120000361"/>
    <d v="2020-11-19T00:00:00"/>
    <s v="GK01"/>
    <s v="check internet of telemktg"/>
    <s v="checked"/>
    <x v="1"/>
    <x v="8"/>
    <n v="0"/>
    <m/>
    <s v="okay na"/>
    <m/>
    <s v="Velasquez, J"/>
    <d v="2020-11-19T00:00:00"/>
    <s v="SUPPORTED WITHIN 2DAYS"/>
    <x v="0"/>
    <n v="0"/>
    <s v="M001190058"/>
    <x v="3"/>
    <d v="2020-11-19T09:11:19"/>
  </r>
  <r>
    <s v="Guan Kai Office"/>
    <s v="REPAIRED"/>
    <x v="0"/>
    <s v="M00120000362"/>
    <d v="2020-11-19T00:00:00"/>
    <s v="GK01"/>
    <s v="connect wifi cp of mam lorraine"/>
    <s v="connected"/>
    <x v="2"/>
    <x v="8"/>
    <n v="0"/>
    <m/>
    <s v="okay na"/>
    <m/>
    <s v="Velasquez, J"/>
    <d v="2020-11-19T00:00:00"/>
    <s v="SUPPORTED WITHIN 2DAYS"/>
    <x v="0"/>
    <n v="0"/>
    <s v="M001190058"/>
    <x v="3"/>
    <d v="2020-11-19T09:48:22"/>
  </r>
  <r>
    <s v="Guan Kai Office"/>
    <s v="REPAIRED"/>
    <x v="1"/>
    <s v="M00120000363"/>
    <d v="2020-11-19T00:00:00"/>
    <s v="GK01"/>
    <s v="Support/Assit Sir Phone about Zoom meeting"/>
    <m/>
    <x v="2"/>
    <x v="5"/>
    <n v="0"/>
    <m/>
    <m/>
    <s v="M00906001658"/>
    <m/>
    <d v="2020-11-19T00:00:00"/>
    <s v="SUPPORTED WITHIN 2DAYS"/>
    <x v="0"/>
    <n v="0"/>
    <s v="M001170038"/>
    <x v="1"/>
    <d v="2020-11-19T10:52:32"/>
  </r>
  <r>
    <s v="Guan Kai Office"/>
    <s v="REPAIRED"/>
    <x v="1"/>
    <s v="M00120000364"/>
    <d v="2020-11-19T00:00:00"/>
    <s v="GK01"/>
    <s v="Fix local internet of M' Princess"/>
    <m/>
    <x v="0"/>
    <x v="8"/>
    <n v="0"/>
    <m/>
    <m/>
    <s v="M01911000061"/>
    <m/>
    <d v="2020-11-19T00:00:00"/>
    <s v="SUPPORTED WITHIN 2DAYS"/>
    <x v="0"/>
    <n v="0"/>
    <s v="M001170038"/>
    <x v="1"/>
    <d v="2020-11-19T10:53:01"/>
  </r>
  <r>
    <s v="MCC Dagupan - Kawasaki"/>
    <s v="REPAIRED"/>
    <x v="1"/>
    <s v="M00120000365"/>
    <d v="2020-11-19T00:00:00"/>
    <s v="M126"/>
    <s v="Fix internet of MCC Dagupan Kawasaki"/>
    <m/>
    <x v="0"/>
    <x v="8"/>
    <n v="0"/>
    <m/>
    <m/>
    <s v="M01911000061"/>
    <m/>
    <d v="2020-11-19T00:00:00"/>
    <s v="SUPPORTED WITHIN 2DAYS"/>
    <x v="0"/>
    <n v="0"/>
    <s v="M001170038"/>
    <x v="1"/>
    <d v="2020-11-19T10:53:26"/>
  </r>
  <r>
    <s v="MCC Dagupan - Kawasaki"/>
    <s v="OTHERS"/>
    <x v="0"/>
    <s v="M00120000366"/>
    <d v="2020-11-19T00:00:00"/>
    <s v="M126"/>
    <s v="Assist Mam Grace Natividad about zoom meeting"/>
    <s v="done"/>
    <x v="1"/>
    <x v="3"/>
    <n v="0"/>
    <m/>
    <s v="Done"/>
    <s v="M00101000217"/>
    <s v="Macarling, F"/>
    <d v="2020-11-19T00:00:00"/>
    <s v="SUPPORTED WITHIN 2DAYS"/>
    <x v="0"/>
    <n v="4"/>
    <s v="M001170038"/>
    <x v="1"/>
    <d v="2020-11-19T10:54:03"/>
  </r>
  <r>
    <s v="UEMI Dagupan - Suzuki"/>
    <s v="REPAIRED"/>
    <x v="1"/>
    <s v="M00120000367"/>
    <d v="2020-11-19T00:00:00"/>
    <s v="M010"/>
    <s v="Antenna at GK pointing Suzuki dagupan - down. need to isolate and fix"/>
    <m/>
    <x v="0"/>
    <x v="8"/>
    <n v="0"/>
    <m/>
    <m/>
    <s v="M00107001868"/>
    <m/>
    <d v="2020-11-19T00:00:00"/>
    <s v="SUPPORTED WITHIN 2DAYS"/>
    <x v="0"/>
    <n v="0"/>
    <s v="M001170038"/>
    <x v="1"/>
    <d v="2020-11-19T10:54:40"/>
  </r>
  <r>
    <s v="Guan Kai Office"/>
    <s v="REPAIRED"/>
    <x v="1"/>
    <s v="M00120000368"/>
    <d v="2020-11-19T00:00:00"/>
    <s v="GK01"/>
    <s v="inquire 8port ethernet switch. for mcc baguio honda"/>
    <m/>
    <x v="1"/>
    <x v="3"/>
    <n v="0"/>
    <m/>
    <m/>
    <s v="M00110017110"/>
    <m/>
    <d v="2020-11-19T00:00:00"/>
    <s v="SUPPORTED WITHIN 2DAYS"/>
    <x v="0"/>
    <n v="0"/>
    <s v="M001170038"/>
    <x v="1"/>
    <d v="2020-11-19T13:57:12"/>
  </r>
  <r>
    <s v="UEMI San Fernando LUN - Yamaha"/>
    <s v="REPLACED"/>
    <x v="0"/>
    <s v="M00120000369"/>
    <d v="2020-11-19T00:00:00"/>
    <s v="M096"/>
    <s v="issue printer replacement. old printer for backload"/>
    <s v="done. for backload old"/>
    <x v="5"/>
    <x v="0"/>
    <n v="0"/>
    <m/>
    <s v="Done"/>
    <s v="M00117000077"/>
    <s v="Macarling, F"/>
    <d v="2020-11-20T00:00:00"/>
    <s v="SUPPORTED WITHIN 2DAYS"/>
    <x v="0"/>
    <n v="1"/>
    <s v="M001170038"/>
    <x v="1"/>
    <d v="2020-11-19T15:31:07"/>
  </r>
  <r>
    <s v="UEMI Rosario LU - Multi"/>
    <s v="REPAIRED"/>
    <x v="1"/>
    <s v="M00120000370"/>
    <d v="2020-11-19T00:00:00"/>
    <s v="M110"/>
    <s v="need to repair printer"/>
    <m/>
    <x v="0"/>
    <x v="2"/>
    <n v="0"/>
    <m/>
    <m/>
    <s v="M00117000077"/>
    <m/>
    <d v="2020-11-19T00:00:00"/>
    <s v="SUPPORTED WITHIN 2DAYS"/>
    <x v="0"/>
    <n v="0"/>
    <s v="M001170038"/>
    <x v="1"/>
    <d v="2020-11-19T15:31:56"/>
  </r>
  <r>
    <s v="Guan Kai Office"/>
    <s v="REPLACED"/>
    <x v="0"/>
    <s v="M00120000371"/>
    <d v="2020-11-19T00:00:00"/>
    <s v="GK01"/>
    <s v="CFF system unit. board problem. replaced"/>
    <s v="done"/>
    <x v="5"/>
    <x v="0"/>
    <n v="0"/>
    <m/>
    <s v="Done"/>
    <m/>
    <s v="Macarling, F"/>
    <d v="2020-11-20T00:00:00"/>
    <s v="SUPPORTED WITHIN 2DAYS"/>
    <x v="0"/>
    <n v="1"/>
    <s v="M001170038"/>
    <x v="1"/>
    <d v="2020-11-20T08:59:10"/>
  </r>
  <r>
    <s v="Guanzon Corporate Center"/>
    <s v="REPAIRED"/>
    <x v="0"/>
    <s v="M00120000372"/>
    <d v="2020-11-20T00:00:00"/>
    <s v="GCC1"/>
    <s v="Audit - MSoffice for activation"/>
    <s v="done"/>
    <x v="1"/>
    <x v="3"/>
    <n v="0"/>
    <m/>
    <s v="Done"/>
    <s v="M00115001493"/>
    <s v="Macarling, F"/>
    <d v="2020-11-20T00:00:00"/>
    <s v="SUPPORTED WITHIN 2DAYS"/>
    <x v="0"/>
    <n v="0"/>
    <s v="M001170038"/>
    <x v="1"/>
    <d v="2020-11-20T09:08:03"/>
  </r>
  <r>
    <s v="Mobitek Magic Tayug"/>
    <s v="REPAIRED"/>
    <x v="0"/>
    <s v="M00120000373"/>
    <d v="2020-11-20T00:00:00"/>
    <s v="C027"/>
    <s v="access branch for update wifi password"/>
    <s v="updated"/>
    <x v="2"/>
    <x v="8"/>
    <n v="0"/>
    <m/>
    <s v="okay na"/>
    <m/>
    <s v="Velasquez, J"/>
    <d v="2020-11-20T00:00:00"/>
    <s v="SUPPORTED WITHIN 2DAYS"/>
    <x v="0"/>
    <n v="0"/>
    <s v="M001190058"/>
    <x v="3"/>
    <d v="2020-11-20T09:52:03"/>
  </r>
  <r>
    <s v="UEMI San Fernando LUN - Yamaha"/>
    <s v="REPAIRED"/>
    <x v="0"/>
    <s v="M00120000374"/>
    <d v="2020-11-20T00:00:00"/>
    <s v="M096"/>
    <s v="install drivers of printer"/>
    <s v="installed"/>
    <x v="2"/>
    <x v="2"/>
    <n v="0"/>
    <m/>
    <s v="okay na"/>
    <m/>
    <s v="Velasquez, J"/>
    <d v="2020-11-20T00:00:00"/>
    <s v="SUPPORTED WITHIN 2DAYS"/>
    <x v="0"/>
    <n v="0"/>
    <s v="M001190058"/>
    <x v="3"/>
    <d v="2020-11-20T09:54:58"/>
  </r>
  <r>
    <s v="Guan Kai Office"/>
    <s v="REPAIRED"/>
    <x v="1"/>
    <s v="M00120000375"/>
    <d v="2020-11-20T00:00:00"/>
    <s v="GK01"/>
    <s v="pick up ink at micronics"/>
    <m/>
    <x v="1"/>
    <x v="3"/>
    <n v="0"/>
    <m/>
    <m/>
    <s v="M00115001493"/>
    <m/>
    <d v="2020-11-20T00:00:00"/>
    <s v="SUPPORTED WITHIN 2DAYS"/>
    <x v="0"/>
    <n v="0"/>
    <s v="M001170038"/>
    <x v="1"/>
    <d v="2020-11-20T14:34:46"/>
  </r>
  <r>
    <s v="Guan Kai Office"/>
    <s v="REPAIRED"/>
    <x v="0"/>
    <s v="M00120000376"/>
    <d v="2020-11-20T00:00:00"/>
    <s v="GK01"/>
    <s v="register replace new sim card area of sir david"/>
    <s v="registered"/>
    <x v="4"/>
    <x v="6"/>
    <n v="0"/>
    <m/>
    <s v="okay na"/>
    <m/>
    <s v="Velasquez, J"/>
    <d v="2020-11-20T00:00:00"/>
    <s v="SUPPORTED WITHIN 2DAYS"/>
    <x v="0"/>
    <n v="0"/>
    <s v="M001190058"/>
    <x v="3"/>
    <d v="2020-11-20T14:46:03"/>
  </r>
  <r>
    <s v="Guan Kai Office"/>
    <s v="REPAIRED"/>
    <x v="0"/>
    <s v="M00120000377"/>
    <d v="2020-11-20T00:00:00"/>
    <s v="GK01"/>
    <s v="register replace new sim card area of sir randy"/>
    <s v="registered"/>
    <x v="4"/>
    <x v="6"/>
    <n v="0"/>
    <m/>
    <s v="okay na"/>
    <m/>
    <s v="Velasquez, J"/>
    <d v="2020-11-20T00:00:00"/>
    <s v="SUPPORTED WITHIN 2DAYS"/>
    <x v="0"/>
    <n v="0"/>
    <s v="M001190058"/>
    <x v="3"/>
    <d v="2020-11-20T14:46:27"/>
  </r>
  <r>
    <s v="Mobitek Nepo Mall Dagupan"/>
    <s v="REPAIRED"/>
    <x v="0"/>
    <s v="M00120000378"/>
    <d v="2020-11-20T00:00:00"/>
    <s v="C008"/>
    <s v="for report no internet lan cable. but has a wifi for phone"/>
    <s v="reported to globe"/>
    <x v="1"/>
    <x v="7"/>
    <n v="0"/>
    <m/>
    <s v="okay na"/>
    <m/>
    <s v="Velasquez, J"/>
    <d v="2020-11-20T00:00:00"/>
    <s v="SUPPORTED WITHIN 2DAYS"/>
    <x v="0"/>
    <n v="0"/>
    <s v="M001190058"/>
    <x v="3"/>
    <d v="2020-11-20T14:47:37"/>
  </r>
  <r>
    <s v="Guan Kai Office"/>
    <s v="OTHERS"/>
    <x v="0"/>
    <s v="M00120000379"/>
    <d v="2020-11-20T00:00:00"/>
    <s v="GK01"/>
    <s v="pick up 8port switch for mcc baguio"/>
    <s v="done"/>
    <x v="1"/>
    <x v="3"/>
    <n v="0"/>
    <m/>
    <s v="Done"/>
    <s v="M00115001493"/>
    <s v="Macarling, F"/>
    <d v="2020-11-20T00:00:00"/>
    <s v="SUPPORTED WITHIN 2DAYS"/>
    <x v="0"/>
    <n v="4"/>
    <s v="M001170038"/>
    <x v="1"/>
    <d v="2020-11-20T15:29:52"/>
  </r>
  <r>
    <s v="Guan Kai Office"/>
    <s v="OTHERS"/>
    <x v="0"/>
    <s v="M00120000380"/>
    <d v="2020-11-20T00:00:00"/>
    <s v="GK01"/>
    <s v="pick up power supply 2pcs. at micronics"/>
    <s v="done"/>
    <x v="1"/>
    <x v="3"/>
    <n v="0"/>
    <m/>
    <s v="Done"/>
    <s v="M00115001493"/>
    <s v="Macarling, F"/>
    <d v="2020-11-20T00:00:00"/>
    <s v="SUPPORTED WITHIN 2DAYS"/>
    <x v="0"/>
    <n v="4"/>
    <s v="M001170038"/>
    <x v="1"/>
    <d v="2020-11-20T15:30:15"/>
  </r>
  <r>
    <s v="Guan Kai Office"/>
    <s v="REPAIRED"/>
    <x v="0"/>
    <s v="M00120000381"/>
    <d v="2020-11-20T00:00:00"/>
    <s v="GK01"/>
    <s v="refill ink printer of hr"/>
    <s v="refilled"/>
    <x v="1"/>
    <x v="2"/>
    <n v="0"/>
    <m/>
    <s v="okay na"/>
    <m/>
    <s v="Velasquez, J"/>
    <d v="2020-11-20T00:00:00"/>
    <s v="SUPPORTED WITHIN 2DAYS"/>
    <x v="0"/>
    <n v="0"/>
    <s v="M001190058"/>
    <x v="3"/>
    <d v="2020-11-20T15:49:46"/>
  </r>
  <r>
    <s v="Samsung - Robinsons Tuguegarao"/>
    <s v="REPAIRED"/>
    <x v="0"/>
    <s v="M00120000382"/>
    <d v="2020-11-20T00:00:00"/>
    <s v="C075"/>
    <s v="report to globe low internet"/>
    <s v="reported"/>
    <x v="1"/>
    <x v="7"/>
    <n v="0"/>
    <m/>
    <s v="okay na"/>
    <m/>
    <s v="Velasquez, J"/>
    <d v="2020-11-20T00:00:00"/>
    <s v="SUPPORTED WITHIN 2DAYS"/>
    <x v="0"/>
    <n v="0"/>
    <s v="M001190058"/>
    <x v="3"/>
    <d v="2020-11-20T15:50:27"/>
  </r>
  <r>
    <s v="Guan Kai Office"/>
    <s v="REPAIRED"/>
    <x v="1"/>
    <s v="M00120000383"/>
    <d v="2020-11-20T00:00:00"/>
    <s v="GK01"/>
    <s v="setup Epson L360"/>
    <m/>
    <x v="4"/>
    <x v="2"/>
    <n v="0"/>
    <m/>
    <m/>
    <s v="M00115001493"/>
    <m/>
    <d v="2020-11-20T00:00:00"/>
    <s v="SUPPORTED WITHIN 2DAYS"/>
    <x v="0"/>
    <n v="0"/>
    <s v="M001170038"/>
    <x v="1"/>
    <d v="2020-11-20T16:10:26"/>
  </r>
  <r>
    <s v="Guan Kai Office"/>
    <s v="REPAIRED"/>
    <x v="1"/>
    <s v="M00120000384"/>
    <d v="2020-11-20T00:00:00"/>
    <s v="GK01"/>
    <s v="pull out Epson L3110 - HR Printer leak.. setup Epson L360"/>
    <m/>
    <x v="0"/>
    <x v="2"/>
    <n v="0"/>
    <m/>
    <m/>
    <s v="M00115001493"/>
    <m/>
    <d v="2020-11-20T00:00:00"/>
    <s v="SUPPORTED WITHIN 2DAYS"/>
    <x v="0"/>
    <n v="0"/>
    <s v="M001170038"/>
    <x v="1"/>
    <d v="2020-11-20T16:11:05"/>
  </r>
  <r>
    <s v="MCC Bani - Multi"/>
    <s v="REPAIRED"/>
    <x v="1"/>
    <s v="M00120000385"/>
    <d v="2020-11-21T00:00:00"/>
    <s v="M146"/>
    <s v="replace new system unit problem old unit board"/>
    <m/>
    <x v="5"/>
    <x v="0"/>
    <n v="1"/>
    <m/>
    <m/>
    <m/>
    <m/>
    <d v="2020-11-21T00:00:00"/>
    <s v="SUPPORTED WITHIN 2DAYS"/>
    <x v="0"/>
    <n v="0"/>
    <s v="M001190058"/>
    <x v="3"/>
    <d v="2020-11-21T09:00:30"/>
  </r>
  <r>
    <s v="LGK Pozorrubio - Honda"/>
    <s v="REPAIRED"/>
    <x v="1"/>
    <s v="M00120000386"/>
    <d v="2020-11-21T00:00:00"/>
    <s v="M038"/>
    <s v="windows 7. need to upgrade to windows 10"/>
    <s v="done."/>
    <x v="4"/>
    <x v="3"/>
    <n v="0"/>
    <m/>
    <s v="Done"/>
    <s v="M00105000801"/>
    <s v="Macarling, F"/>
    <d v="2020-11-21T00:00:00"/>
    <s v="SUPPORTED WITHIN 2DAYS"/>
    <x v="0"/>
    <n v="0"/>
    <s v="M001170038"/>
    <x v="1"/>
    <d v="2020-11-21T09:03:45"/>
  </r>
  <r>
    <s v="Guan Kai Office"/>
    <s v="REPAIRED"/>
    <x v="0"/>
    <s v="M00120000387"/>
    <d v="2020-11-21T00:00:00"/>
    <s v="GK01"/>
    <s v="repaired pc of mam shirley "/>
    <s v="repaired system unit . no display"/>
    <x v="0"/>
    <x v="0"/>
    <n v="0"/>
    <m/>
    <s v="okay na"/>
    <m/>
    <s v="Velasquez, J"/>
    <d v="2020-11-21T00:00:00"/>
    <s v="SUPPORTED WITHIN 2DAYS"/>
    <x v="0"/>
    <n v="0"/>
    <s v="M001190058"/>
    <x v="3"/>
    <d v="2020-11-21T09:27:47"/>
  </r>
  <r>
    <s v="LGK Tarlac - Honda"/>
    <s v="REPAIRED"/>
    <x v="1"/>
    <s v="M00120000388"/>
    <d v="2020-11-21T00:00:00"/>
    <s v="M006"/>
    <s v="PRepare new SYSTEM UNIT - server pc"/>
    <m/>
    <x v="4"/>
    <x v="0"/>
    <n v="1"/>
    <m/>
    <m/>
    <s v="M00105000801"/>
    <m/>
    <d v="2020-11-21T00:00:00"/>
    <s v="SUPPORTED WITHIN 2DAYS"/>
    <x v="0"/>
    <n v="0"/>
    <s v="M001170038"/>
    <x v="1"/>
    <d v="2020-11-21T11:04:51"/>
  </r>
  <r>
    <s v="MCC Tagudin - Honda"/>
    <s v="REPAIRED"/>
    <x v="1"/>
    <s v="M00120000389"/>
    <d v="2020-11-21T00:00:00"/>
    <s v="M094"/>
    <s v="replace new system unit/ backload old system unit"/>
    <m/>
    <x v="5"/>
    <x v="0"/>
    <n v="1"/>
    <m/>
    <m/>
    <m/>
    <m/>
    <d v="2020-11-21T00:00:00"/>
    <s v="SUPPORTED WITHIN 2DAYS"/>
    <x v="0"/>
    <n v="0"/>
    <s v="M001190058"/>
    <x v="3"/>
    <d v="2020-11-21T11:22:43"/>
  </r>
  <r>
    <s v="Samsung - Robinson Calasiao"/>
    <s v="REPAIRED"/>
    <x v="0"/>
    <s v="M00120000390"/>
    <d v="2020-11-21T00:00:00"/>
    <s v="C036"/>
    <s v="update wifi password and give to manager"/>
    <s v="access updated"/>
    <x v="2"/>
    <x v="8"/>
    <n v="0"/>
    <m/>
    <s v="okay na"/>
    <m/>
    <s v="Velasquez, J"/>
    <d v="2020-11-21T00:00:00"/>
    <s v="SUPPORTED WITHIN 2DAYS"/>
    <x v="0"/>
    <n v="0"/>
    <s v="M001190058"/>
    <x v="3"/>
    <d v="2020-11-21T11:44:06"/>
  </r>
  <r>
    <s v="Guanzon Central Office"/>
    <s v="REPLACED"/>
    <x v="0"/>
    <s v="M00120000391"/>
    <d v="2020-11-21T00:00:00"/>
    <s v="GCO1"/>
    <s v="bluescreen - bull's eye system unit"/>
    <s v="done. Bull's Eye System unit "/>
    <x v="3"/>
    <x v="4"/>
    <n v="0"/>
    <m/>
    <s v="Done"/>
    <s v="M00105000801"/>
    <s v="Macarling, F"/>
    <d v="2020-11-27T00:00:00"/>
    <s v="NOT SUPPORTED WITHIN 2DAYS"/>
    <x v="1"/>
    <n v="1"/>
    <s v="M001170038"/>
    <x v="1"/>
    <d v="2020-11-21T12:20:54"/>
  </r>
  <r>
    <s v="Guan Kai Office"/>
    <s v="REPAIRED"/>
    <x v="1"/>
    <s v="M00120000392"/>
    <d v="2020-11-21T00:00:00"/>
    <s v="GK01"/>
    <s v="GK-HCM-Epson L3110 leak"/>
    <m/>
    <x v="0"/>
    <x v="2"/>
    <n v="0"/>
    <m/>
    <m/>
    <s v="M00105000801"/>
    <m/>
    <d v="2020-11-21T00:00:00"/>
    <s v="SUPPORTED WITHIN 2DAYS"/>
    <x v="0"/>
    <n v="0"/>
    <s v="M001170038"/>
    <x v="1"/>
    <d v="2020-11-21T12:27:28"/>
  </r>
  <r>
    <s v="UEMI Urdaneta - Yamaha"/>
    <s v="REPLACED"/>
    <x v="0"/>
    <s v="M00120000393"/>
    <d v="2020-11-21T00:00:00"/>
    <s v="M018"/>
    <s v="backload keyboard. for replacement"/>
    <s v="asset transfer by Carlo"/>
    <x v="1"/>
    <x v="0"/>
    <n v="0"/>
    <m/>
    <s v="Done"/>
    <s v="M00105000801"/>
    <s v="Macarling, F"/>
    <d v="2020-11-27T00:00:00"/>
    <s v="NOT SUPPORTED WITHIN 2DAYS"/>
    <x v="1"/>
    <n v="1"/>
    <s v="M001170038"/>
    <x v="1"/>
    <d v="2020-11-21T12:28:01"/>
  </r>
  <r>
    <s v="Guanzon Corporate Center"/>
    <s v="REPAIRED"/>
    <x v="1"/>
    <s v="M00120000394"/>
    <d v="2020-11-21T00:00:00"/>
    <s v="GCC1"/>
    <s v="backload printer from Records. Epson LX300 - Unit1"/>
    <m/>
    <x v="0"/>
    <x v="2"/>
    <n v="0"/>
    <m/>
    <m/>
    <s v="M00105000801"/>
    <m/>
    <d v="2020-11-21T00:00:00"/>
    <s v="SUPPORTED WITHIN 2DAYS"/>
    <x v="0"/>
    <n v="0"/>
    <s v="M001170038"/>
    <x v="1"/>
    <d v="2020-11-21T12:30:56"/>
  </r>
  <r>
    <s v="Guanzon Corporate Center"/>
    <s v="REPAIRED"/>
    <x v="1"/>
    <s v="M00120000395"/>
    <d v="2020-11-21T00:00:00"/>
    <s v="GCC1"/>
    <s v="backload printer from Records. Epson LX300 - Unit2"/>
    <m/>
    <x v="0"/>
    <x v="2"/>
    <n v="0"/>
    <m/>
    <m/>
    <s v="M00105000801"/>
    <m/>
    <d v="2020-11-21T00:00:00"/>
    <s v="SUPPORTED WITHIN 2DAYS"/>
    <x v="0"/>
    <n v="0"/>
    <s v="M001170038"/>
    <x v="1"/>
    <d v="2020-11-21T12:31:10"/>
  </r>
  <r>
    <s v="Guanzon Central Office"/>
    <s v="REPAIRED"/>
    <x v="1"/>
    <s v="M00120000396"/>
    <d v="2020-11-20T00:00:00"/>
    <s v="GCO1"/>
    <s v="Video card of Boss Jude Lo. for checking"/>
    <m/>
    <x v="1"/>
    <x v="3"/>
    <n v="0"/>
    <m/>
    <m/>
    <s v="M00105000801"/>
    <m/>
    <d v="2020-11-21T00:00:00"/>
    <s v="SUPPORTED WITHIN 2DAYS"/>
    <x v="0"/>
    <n v="0"/>
    <s v="M001170038"/>
    <x v="1"/>
    <d v="2020-11-21T12:56:20"/>
  </r>
  <r>
    <s v="Guan Kai Office"/>
    <s v="REPAIRED"/>
    <x v="1"/>
    <s v="M00120000397"/>
    <d v="2020-11-20T00:00:00"/>
    <s v="GK01"/>
    <s v="Antenna at GK pointing Suzuki Dagupan - can't access need to check"/>
    <m/>
    <x v="1"/>
    <x v="3"/>
    <n v="0"/>
    <m/>
    <m/>
    <s v="M00105000801"/>
    <m/>
    <d v="2020-11-21T00:00:00"/>
    <s v="SUPPORTED WITHIN 2DAYS"/>
    <x v="0"/>
    <n v="0"/>
    <s v="M001170038"/>
    <x v="1"/>
    <d v="2020-11-21T13:00:08"/>
  </r>
  <r>
    <s v="Guanzon Central Office"/>
    <s v="REPAIRED"/>
    <x v="1"/>
    <s v="M00120000398"/>
    <d v="2020-11-21T00:00:00"/>
    <s v="GCO1"/>
    <s v="laptop of engineer amy. Install autocad, and other engineering apps"/>
    <m/>
    <x v="4"/>
    <x v="3"/>
    <n v="0"/>
    <m/>
    <m/>
    <s v="M00110018534"/>
    <m/>
    <d v="2020-11-21T00:00:00"/>
    <s v="SUPPORTED WITHIN 2DAYS"/>
    <x v="0"/>
    <n v="0"/>
    <s v="M001170038"/>
    <x v="1"/>
    <d v="2020-11-21T13:02:05"/>
  </r>
  <r>
    <s v="Guanzon Central Office"/>
    <s v="REPAIRED"/>
    <x v="1"/>
    <s v="M00120000399"/>
    <d v="2020-11-21T00:00:00"/>
    <s v="GCO1"/>
    <s v="replace old spare pc og accounting"/>
    <m/>
    <x v="5"/>
    <x v="0"/>
    <n v="0"/>
    <m/>
    <m/>
    <m/>
    <m/>
    <d v="2020-11-21T00:00:00"/>
    <s v="SUPPORTED WITHIN 2DAYS"/>
    <x v="0"/>
    <n v="0"/>
    <s v="M001190058"/>
    <x v="3"/>
    <d v="2020-11-21T13:44:53"/>
  </r>
  <r>
    <s v="Guanzon Central Office"/>
    <s v="REPAIRED"/>
    <x v="1"/>
    <s v="M00120000400"/>
    <d v="2020-11-21T00:00:00"/>
    <s v="GCO1"/>
    <s v="reformat and install autocad laptop of engineer ami"/>
    <m/>
    <x v="4"/>
    <x v="3"/>
    <n v="0"/>
    <m/>
    <m/>
    <m/>
    <m/>
    <d v="2020-11-21T00:00:00"/>
    <s v="SUPPORTED WITHIN 2DAYS"/>
    <x v="0"/>
    <n v="0"/>
    <s v="M001190058"/>
    <x v="3"/>
    <d v="2020-11-21T14:09:38"/>
  </r>
  <r>
    <s v="Guan Kai Office"/>
    <s v="REPAIRED"/>
    <x v="1"/>
    <s v="M00120000401"/>
    <d v="2020-11-21T00:00:00"/>
    <s v="GK01"/>
    <s v="corrupted os"/>
    <m/>
    <x v="0"/>
    <x v="0"/>
    <n v="0"/>
    <m/>
    <m/>
    <m/>
    <m/>
    <d v="2020-11-21T00:00:00"/>
    <s v="SUPPORTED WITHIN 2DAYS"/>
    <x v="0"/>
    <n v="0"/>
    <s v="M001190058"/>
    <x v="3"/>
    <d v="2020-11-21T14:20:51"/>
  </r>
  <r>
    <s v="Guan Kai Office"/>
    <s v="REPAIRED"/>
    <x v="1"/>
    <s v="M00120000402"/>
    <d v="2020-11-21T00:00:00"/>
    <s v="GK01"/>
    <s v="pinadala lahat ng unit sa parcel"/>
    <m/>
    <x v="4"/>
    <x v="3"/>
    <n v="0"/>
    <m/>
    <m/>
    <m/>
    <m/>
    <d v="2020-11-21T00:00:00"/>
    <s v="SUPPORTED WITHIN 2DAYS"/>
    <x v="0"/>
    <n v="0"/>
    <s v="M001190058"/>
    <x v="3"/>
    <d v="2020-11-21T14:49:27"/>
  </r>
  <r>
    <s v="Guanzon Corporate Center"/>
    <s v="REPAIRED"/>
    <x v="1"/>
    <s v="M00120000403"/>
    <d v="2020-11-21T00:00:00"/>
    <s v="GCC1"/>
    <s v="release Epson L120 - for Anolid Shipping (Asset transfer)"/>
    <m/>
    <x v="1"/>
    <x v="2"/>
    <n v="0"/>
    <m/>
    <m/>
    <s v="M00109019180"/>
    <m/>
    <d v="2020-11-21T00:00:00"/>
    <s v="SUPPORTED WITHIN 2DAYS"/>
    <x v="0"/>
    <n v="0"/>
    <s v="M001170038"/>
    <x v="1"/>
    <d v="2020-11-21T16:33:23"/>
  </r>
  <r>
    <s v="LGK Pozorrubio - Honda"/>
    <s v="REPAIRED"/>
    <x v="1"/>
    <s v="M00120000404"/>
    <d v="2020-11-21T00:00:00"/>
    <s v="M038"/>
    <s v="Asset transfer - repaired server PC"/>
    <m/>
    <x v="4"/>
    <x v="1"/>
    <n v="0"/>
    <m/>
    <m/>
    <s v="M00109019180"/>
    <m/>
    <d v="2020-11-21T00:00:00"/>
    <s v="SUPPORTED WITHIN 2DAYS"/>
    <x v="0"/>
    <n v="0"/>
    <s v="M001170038"/>
    <x v="1"/>
    <d v="2020-11-21T16:33:56"/>
  </r>
  <r>
    <s v="MCC San Fernando PAM - Multi"/>
    <s v="REPAIRED"/>
    <x v="0"/>
    <s v="M00120000405"/>
    <d v="2020-11-23T00:00:00"/>
    <s v="M112"/>
    <s v="offline printer need to troubleshoot"/>
    <s v="online na"/>
    <x v="7"/>
    <x v="2"/>
    <n v="0"/>
    <m/>
    <s v="okay na"/>
    <m/>
    <s v="Velasquez, J"/>
    <d v="2020-11-23T00:00:00"/>
    <s v="SUPPORTED WITHIN 2DAYS"/>
    <x v="0"/>
    <n v="0"/>
    <s v="M001190058"/>
    <x v="3"/>
    <d v="2020-11-23T09:43:30"/>
  </r>
  <r>
    <s v="Mobitek Magic Tayug"/>
    <s v="REPAIRED"/>
    <x v="0"/>
    <s v="M00120000406"/>
    <d v="2020-11-23T00:00:00"/>
    <s v="C027"/>
    <s v="access branch update wifi password"/>
    <s v="updated give to manager"/>
    <x v="2"/>
    <x v="8"/>
    <n v="0"/>
    <m/>
    <s v="okay na"/>
    <m/>
    <s v="Velasquez, J"/>
    <d v="2020-11-23T00:00:00"/>
    <s v="SUPPORTED WITHIN 2DAYS"/>
    <x v="0"/>
    <n v="0"/>
    <s v="M001190058"/>
    <x v="3"/>
    <d v="2020-11-23T11:30:49"/>
  </r>
  <r>
    <s v="MCC Dau - Honda"/>
    <s v="REPAIRED"/>
    <x v="1"/>
    <s v="M00120000407"/>
    <d v="2020-11-23T00:00:00"/>
    <s v="M020"/>
    <s v="back up files and reformat clien pc"/>
    <m/>
    <x v="0"/>
    <x v="0"/>
    <n v="0"/>
    <m/>
    <m/>
    <m/>
    <m/>
    <d v="2020-11-23T00:00:00"/>
    <s v="SUPPORTED WITHIN 2DAYS"/>
    <x v="0"/>
    <n v="0"/>
    <s v="M001190058"/>
    <x v="3"/>
    <d v="2020-11-23T13:12:35"/>
  </r>
  <r>
    <s v="Guanzon Corporate Center"/>
    <s v="REPAIRED"/>
    <x v="0"/>
    <s v="M00120000408"/>
    <d v="2020-11-23T00:00:00"/>
    <s v="GCC1"/>
    <s v="installed ms office"/>
    <s v="installed na po"/>
    <x v="0"/>
    <x v="3"/>
    <n v="0"/>
    <m/>
    <s v="okay na"/>
    <m/>
    <s v="Velasquez, J"/>
    <d v="2020-11-23T00:00:00"/>
    <s v="SUPPORTED WITHIN 2DAYS"/>
    <x v="0"/>
    <n v="0"/>
    <s v="M001190058"/>
    <x v="3"/>
    <d v="2020-11-23T14:36:16"/>
  </r>
  <r>
    <s v="Guan Kai Office"/>
    <s v="REPAIRED"/>
    <x v="0"/>
    <s v="M00120000409"/>
    <d v="2020-11-23T00:00:00"/>
    <s v="GK01"/>
    <s v="parcel/pinadala lahat ng unit sa mga branch at recieved na din ng mga backload"/>
    <s v="done"/>
    <x v="1"/>
    <x v="3"/>
    <n v="0"/>
    <m/>
    <s v="okay na "/>
    <m/>
    <s v="Velasquez, J"/>
    <d v="2020-11-23T00:00:00"/>
    <s v="SUPPORTED WITHIN 2DAYS"/>
    <x v="0"/>
    <n v="0"/>
    <s v="M001190058"/>
    <x v="3"/>
    <d v="2020-11-23T15:46:49"/>
  </r>
  <r>
    <s v="Guan Kai Office"/>
    <s v="REPAIRED"/>
    <x v="1"/>
    <s v="M00120000410"/>
    <d v="2020-11-24T00:00:00"/>
    <s v="GK01"/>
    <s v="GK Line 2 - no dial tone - follow up thru email "/>
    <m/>
    <x v="0"/>
    <x v="7"/>
    <n v="0"/>
    <m/>
    <m/>
    <m/>
    <m/>
    <d v="2020-11-24T00:00:00"/>
    <s v="SUPPORTED WITHIN 2DAYS"/>
    <x v="0"/>
    <n v="0"/>
    <s v="M001170038"/>
    <x v="1"/>
    <d v="2020-11-24T16:36:06"/>
  </r>
  <r>
    <s v="Samsung - SM Telabastagan"/>
    <s v="REPAIRED"/>
    <x v="1"/>
    <s v="M00120000411"/>
    <d v="2020-11-24T00:00:00"/>
    <s v="C073"/>
    <s v="All camera - naglolose pag nagagalaw ng branch., need to relocate position of DVR. FOR VISIT"/>
    <m/>
    <x v="0"/>
    <x v="4"/>
    <n v="0"/>
    <m/>
    <m/>
    <m/>
    <m/>
    <d v="2020-11-24T00:00:00"/>
    <s v="SUPPORTED WITHIN 2DAYS"/>
    <x v="0"/>
    <n v="0"/>
    <s v="M001170038"/>
    <x v="1"/>
    <d v="2020-11-24T16:37:25"/>
  </r>
  <r>
    <s v="Guan Kai Office"/>
    <s v="REPAIRED"/>
    <x v="0"/>
    <s v="M00120000412"/>
    <d v="2020-11-26T00:00:00"/>
    <s v="GK01"/>
    <s v="no display pc of hr"/>
    <s v="clean ram"/>
    <x v="0"/>
    <x v="0"/>
    <n v="0"/>
    <m/>
    <s v="okay na"/>
    <m/>
    <s v="Velasquez, J"/>
    <d v="2020-11-26T00:00:00"/>
    <s v="SUPPORTED WITHIN 2DAYS"/>
    <x v="0"/>
    <n v="0"/>
    <s v="M001190058"/>
    <x v="3"/>
    <d v="2020-11-26T08:51:47"/>
  </r>
  <r>
    <s v="Guanzon Corporate Center"/>
    <s v="REPAIRED"/>
    <x v="0"/>
    <s v="M00120000413"/>
    <d v="2020-11-26T00:00:00"/>
    <s v="GCC1"/>
    <s v="access asm pc for reset printer"/>
    <s v="reset na po"/>
    <x v="2"/>
    <x v="2"/>
    <n v="0"/>
    <m/>
    <s v="okay na"/>
    <m/>
    <s v="Velasquez, J"/>
    <d v="2020-11-26T00:00:00"/>
    <s v="SUPPORTED WITHIN 2DAYS"/>
    <x v="0"/>
    <n v="0"/>
    <s v="M001190058"/>
    <x v="3"/>
    <d v="2020-11-26T09:03:33"/>
  </r>
  <r>
    <s v="UEMI Angeles - Multi"/>
    <s v="REPAIRED"/>
    <x v="0"/>
    <s v="M00120000414"/>
    <d v="2020-11-26T00:00:00"/>
    <s v="M011"/>
    <s v="email account of sir marlon give to manager"/>
    <s v="nabigay na"/>
    <x v="1"/>
    <x v="3"/>
    <n v="0"/>
    <m/>
    <s v="okay na"/>
    <m/>
    <s v="Velasquez, J"/>
    <d v="2020-11-26T00:00:00"/>
    <s v="SUPPORTED WITHIN 2DAYS"/>
    <x v="0"/>
    <n v="0"/>
    <s v="M001190058"/>
    <x v="3"/>
    <d v="2020-11-26T09:23:37"/>
  </r>
  <r>
    <s v="Guanzon Corporate Center"/>
    <s v="REPLACED"/>
    <x v="0"/>
    <s v="M00120000415"/>
    <d v="2020-11-25T00:00:00"/>
    <s v="GCC1"/>
    <s v="Replace router at 2h-Anolid"/>
    <s v="done"/>
    <x v="1"/>
    <x v="0"/>
    <n v="0"/>
    <m/>
    <s v="Done"/>
    <s v="M00105000084"/>
    <s v="Macarling, F"/>
    <d v="2020-11-27T00:00:00"/>
    <s v="SUPPORTED WITHIN 2DAYS"/>
    <x v="0"/>
    <n v="1"/>
    <s v="M001170038"/>
    <x v="1"/>
    <d v="2020-11-26T09:39:59"/>
  </r>
  <r>
    <s v="Guanzon Corporate Center"/>
    <s v="REPAIRED"/>
    <x v="0"/>
    <s v="M00120000416"/>
    <d v="2020-11-25T00:00:00"/>
    <s v="GCC1"/>
    <s v="Assist GLOBE PERSONNEL - about installation of Signal Booster at offices"/>
    <s v="done"/>
    <x v="2"/>
    <x v="7"/>
    <n v="0"/>
    <m/>
    <s v="Done"/>
    <s v="M00105000084"/>
    <s v="Macarling, F"/>
    <d v="2020-11-30T00:00:00"/>
    <s v="NOT SUPPORTED WITHIN 2DAYS"/>
    <x v="1"/>
    <n v="0"/>
    <s v="M001170038"/>
    <x v="1"/>
    <d v="2020-11-26T09:41:15"/>
  </r>
  <r>
    <s v="Guanzon Central Office"/>
    <s v="REPAIRED"/>
    <x v="0"/>
    <s v="M00120000417"/>
    <d v="2020-11-26T00:00:00"/>
    <s v="GCO1"/>
    <s v="for E-Commerce PC @ CP Warehouse"/>
    <s v="done"/>
    <x v="6"/>
    <x v="9"/>
    <n v="0"/>
    <m/>
    <s v="Done"/>
    <s v="M00105000084"/>
    <s v="Macarling, F"/>
    <d v="2020-11-27T00:00:00"/>
    <s v="SUPPORTED WITHIN 2DAYS"/>
    <x v="0"/>
    <n v="0"/>
    <s v="M001170038"/>
    <x v="1"/>
    <d v="2020-11-26T09:41:49"/>
  </r>
  <r>
    <s v="Guan Kai Office"/>
    <s v="REPAIRED"/>
    <x v="0"/>
    <s v="M00120000418"/>
    <d v="2020-11-26T00:00:00"/>
    <s v="GK01"/>
    <s v="isolate internet of multimedia"/>
    <s v="may intenet na sila"/>
    <x v="2"/>
    <x v="8"/>
    <n v="0"/>
    <m/>
    <s v="okay na"/>
    <m/>
    <s v="Velasquez, J"/>
    <d v="2020-11-26T00:00:00"/>
    <s v="SUPPORTED WITHIN 2DAYS"/>
    <x v="0"/>
    <n v="0"/>
    <s v="M001190058"/>
    <x v="3"/>
    <d v="2020-11-26T09:59:10"/>
  </r>
  <r>
    <s v="Guan Kai Office"/>
    <s v="REPAIRED"/>
    <x v="0"/>
    <s v="M00120000419"/>
    <d v="2020-11-26T00:00:00"/>
    <s v="GK01"/>
    <s v="setup and install ID card printer of Multimedia"/>
    <s v="done"/>
    <x v="2"/>
    <x v="7"/>
    <n v="0"/>
    <m/>
    <s v="Done"/>
    <s v="M00105000084"/>
    <s v="Macarling, F"/>
    <d v="2020-11-30T00:00:00"/>
    <s v="NOT SUPPORTED WITHIN 2DAYS"/>
    <x v="1"/>
    <n v="0"/>
    <s v="M001170038"/>
    <x v="1"/>
    <d v="2020-11-26T10:15:33"/>
  </r>
  <r>
    <s v="Guanzon Corporate Center"/>
    <s v="REPAIRED"/>
    <x v="1"/>
    <s v="M00120000420"/>
    <d v="2020-11-26T00:00:00"/>
    <s v="GCC1"/>
    <s v="records - request scanner only"/>
    <m/>
    <x v="1"/>
    <x v="3"/>
    <n v="0"/>
    <m/>
    <m/>
    <s v="M00110012546"/>
    <m/>
    <d v="2020-11-26T00:00:00"/>
    <s v="SUPPORTED WITHIN 2DAYS"/>
    <x v="0"/>
    <n v="0"/>
    <s v="M001170038"/>
    <x v="1"/>
    <d v="2020-11-26T10:28:01"/>
  </r>
  <r>
    <s v="Guan Kai Office"/>
    <s v="REPAIRED"/>
    <x v="0"/>
    <s v="M00120000421"/>
    <d v="2020-11-26T00:00:00"/>
    <s v="GK01"/>
    <s v="recrimp utp cable oh hr"/>
    <s v="na recrimp na okay na internet nya"/>
    <x v="0"/>
    <x v="8"/>
    <n v="0"/>
    <m/>
    <s v="okay na"/>
    <m/>
    <s v="Velasquez, J"/>
    <d v="2020-11-26T00:00:00"/>
    <s v="SUPPORTED WITHIN 2DAYS"/>
    <x v="0"/>
    <n v="0"/>
    <s v="M001190058"/>
    <x v="3"/>
    <d v="2020-11-26T11:37:34"/>
  </r>
  <r>
    <s v="Guan Kai Office"/>
    <s v="REPAIRED"/>
    <x v="1"/>
    <s v="M00120000422"/>
    <d v="2020-11-26T00:00:00"/>
    <s v="GK01"/>
    <s v="pick up laptop charger of Sir Arnold Guillen - GMA Office"/>
    <m/>
    <x v="1"/>
    <x v="3"/>
    <n v="0"/>
    <m/>
    <m/>
    <s v="M00109011793"/>
    <m/>
    <d v="2020-11-26T00:00:00"/>
    <s v="SUPPORTED WITHIN 2DAYS"/>
    <x v="0"/>
    <n v="0"/>
    <s v="M001170038"/>
    <x v="1"/>
    <d v="2020-11-26T14:10:00"/>
  </r>
  <r>
    <s v="Guan Kai Office"/>
    <s v="REPAIRED"/>
    <x v="0"/>
    <s v="M00120000423"/>
    <d v="2020-11-26T00:00:00"/>
    <s v="GK01"/>
    <s v="P.O. cctv for mcc baguio - flagship - for approve by sir rex"/>
    <s v="done"/>
    <x v="6"/>
    <x v="9"/>
    <n v="0"/>
    <m/>
    <s v="Done"/>
    <s v="M00109011793"/>
    <s v="Macarling, F"/>
    <d v="2020-11-27T00:00:00"/>
    <s v="SUPPORTED WITHIN 2DAYS"/>
    <x v="0"/>
    <n v="0"/>
    <s v="M001170038"/>
    <x v="1"/>
    <d v="2020-11-26T14:13:40"/>
  </r>
  <r>
    <s v="Guan Kai Office"/>
    <s v="REPAIRED"/>
    <x v="0"/>
    <s v="M00120000424"/>
    <d v="2020-11-27T00:00:00"/>
    <s v="GK01"/>
    <s v="no internet pc of telemktg"/>
    <s v="changed ip address"/>
    <x v="7"/>
    <x v="8"/>
    <n v="0"/>
    <m/>
    <s v="okay na"/>
    <m/>
    <s v="Velasquez, J"/>
    <d v="2020-11-27T00:00:00"/>
    <s v="SUPPORTED WITHIN 2DAYS"/>
    <x v="0"/>
    <n v="0"/>
    <s v="M001190058"/>
    <x v="3"/>
    <d v="2020-11-27T09:11:03"/>
  </r>
  <r>
    <s v="LGK Alaminos - Honda"/>
    <s v="REPAIRED"/>
    <x v="0"/>
    <s v="M00120000425"/>
    <d v="2020-11-27T00:00:00"/>
    <s v="M007"/>
    <s v="backup old files and transfer to new unit"/>
    <s v="done"/>
    <x v="6"/>
    <x v="9"/>
    <n v="0"/>
    <m/>
    <s v="Done"/>
    <m/>
    <s v="Macarling, F"/>
    <d v="2020-11-30T00:00:00"/>
    <s v="NOT SUPPORTED WITHIN 2DAYS"/>
    <x v="1"/>
    <n v="0"/>
    <s v="M001170038"/>
    <x v="1"/>
    <d v="2020-11-27T09:21:43"/>
  </r>
  <r>
    <s v="Guan Kai Office"/>
    <s v="REPAIRED"/>
    <x v="0"/>
    <s v="M00120000426"/>
    <d v="2020-11-27T00:00:00"/>
    <s v="GK01"/>
    <s v="no internet pc of mam ivy"/>
    <s v="meron ng net"/>
    <x v="2"/>
    <x v="8"/>
    <n v="0"/>
    <m/>
    <s v="okay na"/>
    <m/>
    <s v="Velasquez, J"/>
    <d v="2020-11-27T00:00:00"/>
    <s v="SUPPORTED WITHIN 2DAYS"/>
    <x v="0"/>
    <n v="0"/>
    <s v="M001190058"/>
    <x v="3"/>
    <d v="2020-11-27T11:26:47"/>
  </r>
  <r>
    <s v="GMC Pasuquin - Multi"/>
    <s v="REPAIRED"/>
    <x v="0"/>
    <s v="M00120000427"/>
    <d v="2020-11-27T00:00:00"/>
    <s v="M041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2:26"/>
  </r>
  <r>
    <s v="GMC Vigan - Honda"/>
    <s v="REPAIRED"/>
    <x v="0"/>
    <s v="M00120000428"/>
    <d v="2020-11-27T00:00:00"/>
    <s v="M016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2:39"/>
  </r>
  <r>
    <s v="LGK San Nicolas - Honda"/>
    <s v="REPAIRED"/>
    <x v="0"/>
    <s v="M00120000429"/>
    <d v="2020-11-27T00:00:00"/>
    <s v="M031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2:53"/>
  </r>
  <r>
    <s v="MCC Batac - Honda"/>
    <s v="REPAIRED"/>
    <x v="0"/>
    <s v="M00120000430"/>
    <d v="2020-11-27T00:00:00"/>
    <s v="M024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3:46"/>
  </r>
  <r>
    <s v="MCC Sinait - Multi"/>
    <s v="REPAIRED"/>
    <x v="0"/>
    <s v="M00120000431"/>
    <d v="2020-11-27T00:00:00"/>
    <s v="M157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3:59"/>
  </r>
  <r>
    <s v="MCC Sto. Domingo - Multi"/>
    <s v="REPAIRED"/>
    <x v="0"/>
    <s v="M00120000432"/>
    <d v="2020-11-27T00:00:00"/>
    <s v="M165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4:12"/>
  </r>
  <r>
    <s v="UEMI Bangued - Multi"/>
    <s v="REPAIRED"/>
    <x v="0"/>
    <s v="M00120000433"/>
    <d v="2020-11-27T00:00:00"/>
    <s v="M036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4:26"/>
  </r>
  <r>
    <s v="UEMI Bangued - Yamaha"/>
    <s v="REPAIRED"/>
    <x v="0"/>
    <s v="M00120000434"/>
    <d v="2020-11-27T00:00:00"/>
    <s v="M082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4:43"/>
  </r>
  <r>
    <s v="UEMI Batac - Yamaha"/>
    <s v="REPAIRED"/>
    <x v="0"/>
    <s v="M00120000435"/>
    <d v="2020-11-27T00:00:00"/>
    <s v="M104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4:59"/>
  </r>
  <r>
    <s v="UEMI Cabugao - Multi"/>
    <s v="REPAIRED"/>
    <x v="0"/>
    <s v="M00120000436"/>
    <d v="2020-11-27T00:00:00"/>
    <s v="M055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5:12"/>
  </r>
  <r>
    <s v="UEMI Dingras - Multi"/>
    <s v="REPAIRED"/>
    <x v="0"/>
    <s v="M00120000437"/>
    <d v="2020-11-27T00:00:00"/>
    <s v="M072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5:24"/>
  </r>
  <r>
    <s v="UEMI Laoag - Multi"/>
    <s v="REPAIRED"/>
    <x v="0"/>
    <s v="M00120000438"/>
    <d v="2020-11-27T00:00:00"/>
    <s v="M009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5:35"/>
  </r>
  <r>
    <s v="UEMI Laoag - Yamaha"/>
    <s v="REPAIRED"/>
    <x v="0"/>
    <s v="M00120000439"/>
    <d v="2020-11-27T00:00:00"/>
    <s v="M056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5:45"/>
  </r>
  <r>
    <s v="UEMI San Nicolas - Yamaha"/>
    <s v="REPAIRED"/>
    <x v="0"/>
    <s v="M00120000440"/>
    <d v="2020-11-27T00:00:00"/>
    <s v="M144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5:56"/>
  </r>
  <r>
    <s v="UEMI Vigan - 2H"/>
    <s v="REPAIRED"/>
    <x v="0"/>
    <s v="M00120000441"/>
    <d v="2020-11-27T00:00:00"/>
    <s v="M102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6:20"/>
  </r>
  <r>
    <s v="UEMI Vigan - Multi"/>
    <s v="REPAIRED"/>
    <x v="0"/>
    <s v="M00120000442"/>
    <d v="2020-11-27T00:00:00"/>
    <s v="M049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3:46:33"/>
  </r>
  <r>
    <s v="GMC Agoo - Honda"/>
    <s v="REPAIRED"/>
    <x v="0"/>
    <s v="M00120000443"/>
    <d v="2020-11-27T00:00:00"/>
    <s v="M023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4:51:22"/>
  </r>
  <r>
    <s v="GMC San Fernando LUN - Honda"/>
    <s v="REPAIRED"/>
    <x v="0"/>
    <s v="M00120000444"/>
    <d v="2020-11-27T00:00:00"/>
    <s v="M003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5:18:54"/>
  </r>
  <r>
    <s v="LGK Candon - Honda"/>
    <s v="REPAIRED"/>
    <x v="0"/>
    <s v="M00120000445"/>
    <d v="2020-11-27T00:00:00"/>
    <s v="M008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5:19:13"/>
  </r>
  <r>
    <s v="MCC Baguio - Honda"/>
    <s v="REPAIRED"/>
    <x v="0"/>
    <s v="M00120000446"/>
    <d v="2020-11-27T00:00:00"/>
    <s v="M015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5:19:25"/>
  </r>
  <r>
    <s v="MCC Tagudin - Honda"/>
    <s v="REPAIRED"/>
    <x v="0"/>
    <s v="M00120000447"/>
    <d v="2020-11-27T00:00:00"/>
    <s v="M094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5:19:39"/>
  </r>
  <r>
    <s v="UEMI Agoo - Yamaha"/>
    <s v="REPAIRED"/>
    <x v="0"/>
    <s v="M00120000448"/>
    <d v="2020-11-27T00:00:00"/>
    <s v="M136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5:19:56"/>
  </r>
  <r>
    <s v="UEMI Bacnotan - Multi"/>
    <s v="REPAIRED"/>
    <x v="0"/>
    <s v="M00120000449"/>
    <d v="2020-11-27T00:00:00"/>
    <s v="M019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6:18:11"/>
  </r>
  <r>
    <s v="UEMI Candon - Multi"/>
    <s v="REPAIRED"/>
    <x v="0"/>
    <s v="M00120000450"/>
    <d v="2020-11-27T00:00:00"/>
    <s v="M043"/>
    <s v="CCTV Monitoring"/>
    <s v="done"/>
    <x v="0"/>
    <x v="2"/>
    <n v="0"/>
    <m/>
    <s v="Done"/>
    <m/>
    <s v="Macarling, F"/>
    <d v="2020-11-30T00:00:00"/>
    <s v="NOT SUPPORTED WITHIN 2DAYS"/>
    <x v="1"/>
    <n v="0"/>
    <s v="M001170038"/>
    <x v="1"/>
    <d v="2020-11-27T16:18:40"/>
  </r>
  <r>
    <s v="UEMI La Trinidad - Yamaha"/>
    <s v="REPAIRED"/>
    <x v="0"/>
    <s v="M00120000451"/>
    <d v="2020-11-27T00:00:00"/>
    <s v="M105"/>
    <s v="CCTV Monitoring"/>
    <s v="done"/>
    <x v="1"/>
    <x v="3"/>
    <n v="0"/>
    <m/>
    <s v="Done"/>
    <m/>
    <s v="Macarling, F"/>
    <d v="2020-11-30T00:00:00"/>
    <s v="NOT SUPPORTED WITHIN 2DAYS"/>
    <x v="1"/>
    <n v="0"/>
    <s v="M001170038"/>
    <x v="1"/>
    <d v="2020-11-27T16:19:10"/>
  </r>
  <r>
    <s v="UEMI Narvacan - Multi"/>
    <s v="REPAIRED"/>
    <x v="0"/>
    <s v="M00120000452"/>
    <d v="2020-11-27T00:00:00"/>
    <s v="M047"/>
    <s v="CCTV Monitoring"/>
    <s v="done"/>
    <x v="1"/>
    <x v="3"/>
    <n v="0"/>
    <m/>
    <s v="Done"/>
    <m/>
    <s v="Macarling, F"/>
    <d v="2020-11-30T00:00:00"/>
    <s v="NOT SUPPORTED WITHIN 2DAYS"/>
    <x v="1"/>
    <n v="0"/>
    <s v="M001170038"/>
    <x v="1"/>
    <d v="2020-11-27T16:20:59"/>
  </r>
  <r>
    <s v="UEMI Narvacan - Yamaha"/>
    <s v="REPAIRED"/>
    <x v="0"/>
    <s v="M00120000453"/>
    <d v="2020-11-27T00:00:00"/>
    <s v="M149"/>
    <s v="CCTV Monitoring"/>
    <s v="done"/>
    <x v="1"/>
    <x v="3"/>
    <n v="0"/>
    <m/>
    <s v="Done"/>
    <m/>
    <s v="Macarling, F"/>
    <d v="2020-11-30T00:00:00"/>
    <s v="NOT SUPPORTED WITHIN 2DAYS"/>
    <x v="1"/>
    <n v="0"/>
    <s v="M001170038"/>
    <x v="1"/>
    <d v="2020-11-27T16:21:12"/>
  </r>
  <r>
    <s v="UEMI Rosario LU - Multi"/>
    <s v="REPAIRED"/>
    <x v="0"/>
    <s v="M00120000454"/>
    <d v="2020-11-27T00:00:00"/>
    <s v="M110"/>
    <s v="CCTV Monitoring"/>
    <s v="done"/>
    <x v="1"/>
    <x v="3"/>
    <n v="0"/>
    <m/>
    <s v="Done"/>
    <m/>
    <s v="Macarling, F"/>
    <d v="2020-11-30T00:00:00"/>
    <s v="NOT SUPPORTED WITHIN 2DAYS"/>
    <x v="1"/>
    <n v="0"/>
    <s v="M001170038"/>
    <x v="1"/>
    <d v="2020-11-27T16:21:28"/>
  </r>
  <r>
    <s v="UEMI San Fernando LUN - Yamaha"/>
    <s v="REPAIRED"/>
    <x v="0"/>
    <s v="M00120000455"/>
    <d v="2020-11-27T00:00:00"/>
    <s v="M096"/>
    <s v="CCTV Monitoring"/>
    <s v="done"/>
    <x v="1"/>
    <x v="3"/>
    <n v="0"/>
    <m/>
    <s v="Done"/>
    <m/>
    <s v="Macarling, F"/>
    <d v="2020-11-30T00:00:00"/>
    <s v="NOT SUPPORTED WITHIN 2DAYS"/>
    <x v="1"/>
    <n v="0"/>
    <s v="M001170038"/>
    <x v="1"/>
    <d v="2020-11-27T16:21:48"/>
  </r>
  <r>
    <s v="Guan Kai Office"/>
    <s v="REPAIRED"/>
    <x v="0"/>
    <s v="M00120000456"/>
    <d v="2020-11-28T00:00:00"/>
    <s v="GK01"/>
    <s v="internet of mirla - hr fix"/>
    <s v="done"/>
    <x v="2"/>
    <x v="5"/>
    <n v="0"/>
    <m/>
    <s v="Done"/>
    <s v="M00117000331"/>
    <s v="Velasquez, J"/>
    <d v="2020-11-28T00:00:00"/>
    <s v="SUPPORTED WITHIN 2DAYS"/>
    <x v="0"/>
    <n v="0"/>
    <s v="M001170038"/>
    <x v="1"/>
    <d v="2020-11-28T09:03:07"/>
  </r>
  <r>
    <s v="Guan Kai Office"/>
    <s v="REPAIRED"/>
    <x v="0"/>
    <s v="M00120000457"/>
    <d v="2020-11-28T00:00:00"/>
    <s v="GK01"/>
    <s v="no internet of multimedia"/>
    <s v="may internet na meron na"/>
    <x v="2"/>
    <x v="8"/>
    <n v="0"/>
    <m/>
    <s v="okay na"/>
    <m/>
    <s v="Velasquez, J"/>
    <d v="2020-11-28T00:00:00"/>
    <s v="SUPPORTED WITHIN 2DAYS"/>
    <x v="0"/>
    <n v="0"/>
    <s v="M001190058"/>
    <x v="3"/>
    <d v="2020-11-28T09:06:08"/>
  </r>
  <r>
    <s v="Mobitek Vigan"/>
    <s v="REPAIRED"/>
    <x v="1"/>
    <s v="M00120000458"/>
    <d v="2020-11-28T00:00:00"/>
    <s v="C015"/>
    <s v="Assist Sir George Esperida about Slow performace of his LAPTOP"/>
    <m/>
    <x v="2"/>
    <x v="5"/>
    <n v="0"/>
    <m/>
    <m/>
    <s v="M01606001405"/>
    <m/>
    <d v="2020-11-28T00:00:00"/>
    <s v="SUPPORTED WITHIN 2DAYS"/>
    <x v="0"/>
    <n v="0"/>
    <s v="M001170038"/>
    <x v="1"/>
    <d v="2020-11-28T11:39:09"/>
  </r>
  <r>
    <s v="Guan Kai Office"/>
    <s v="REPAIRED"/>
    <x v="0"/>
    <s v="M00120000459"/>
    <d v="2020-11-28T00:00:00"/>
    <s v="GK01"/>
    <s v="restart wifi @ third floor"/>
    <s v="restarted"/>
    <x v="2"/>
    <x v="8"/>
    <n v="0"/>
    <m/>
    <s v="okay na"/>
    <m/>
    <s v="Velasquez, J"/>
    <d v="2020-11-28T00:00:00"/>
    <s v="SUPPORTED WITHIN 2DAYS"/>
    <x v="0"/>
    <n v="0"/>
    <s v="M001190058"/>
    <x v="3"/>
    <d v="2020-11-28T14:33:25"/>
  </r>
  <r>
    <s v="Guan Kai Office"/>
    <s v="REPAIRED"/>
    <x v="1"/>
    <s v="M00120000460"/>
    <d v="2020-11-28T00:00:00"/>
    <s v="GK01"/>
    <s v="inaayos ko inventory sim and gps"/>
    <m/>
    <x v="1"/>
    <x v="6"/>
    <n v="0"/>
    <m/>
    <m/>
    <m/>
    <m/>
    <d v="2020-11-28T00:00:00"/>
    <s v="SUPPORTED WITHIN 2DAYS"/>
    <x v="0"/>
    <n v="0"/>
    <s v="M001190058"/>
    <x v="3"/>
    <d v="2020-11-28T14:34:36"/>
  </r>
  <r>
    <s v="Guan Kai Office"/>
    <s v="REPAIRED"/>
    <x v="0"/>
    <s v="M00120000461"/>
    <d v="2020-11-28T00:00:00"/>
    <s v="GK01"/>
    <s v="register sim card on gps area of sir roly"/>
    <s v="registered"/>
    <x v="2"/>
    <x v="6"/>
    <n v="0"/>
    <m/>
    <s v="okay na"/>
    <m/>
    <s v="Velasquez, J"/>
    <d v="2020-11-28T00:00:00"/>
    <s v="SUPPORTED WITHIN 2DAYS"/>
    <x v="0"/>
    <n v="0"/>
    <s v="M001190058"/>
    <x v="3"/>
    <d v="2020-11-28T14:35:35"/>
  </r>
  <r>
    <s v="Guan Kai Office"/>
    <s v="REPAIRED"/>
    <x v="0"/>
    <s v="M00120000462"/>
    <d v="2020-11-28T00:00:00"/>
    <s v="GK01"/>
    <s v="register sim card of gps area of sir david"/>
    <s v="registered"/>
    <x v="1"/>
    <x v="6"/>
    <n v="0"/>
    <m/>
    <s v="okay na"/>
    <m/>
    <s v="Velasquez, J"/>
    <d v="2020-11-28T00:00:00"/>
    <s v="SUPPORTED WITHIN 2DAYS"/>
    <x v="0"/>
    <n v="0"/>
    <s v="M001190058"/>
    <x v="3"/>
    <d v="2020-11-28T14:36:06"/>
  </r>
  <r>
    <s v="Guan Kai Office"/>
    <s v="REPAIRED"/>
    <x v="0"/>
    <s v="M00120000463"/>
    <d v="2020-11-28T00:00:00"/>
    <s v="GK01"/>
    <s v="nirecieved mga cctv na request sa engi. dept"/>
    <s v="na recieved nanamin"/>
    <x v="1"/>
    <x v="3"/>
    <n v="0"/>
    <m/>
    <s v="okay na"/>
    <m/>
    <s v="Velasquez, J"/>
    <d v="2020-11-28T00:00:00"/>
    <s v="SUPPORTED WITHIN 2DAYS"/>
    <x v="0"/>
    <n v="0"/>
    <s v="M001190058"/>
    <x v="3"/>
    <d v="2020-11-28T14:44:01"/>
  </r>
  <r>
    <s v="Guanzon Central Office"/>
    <s v="REPAIRED"/>
    <x v="0"/>
    <s v="M00120000464"/>
    <d v="2020-11-28T00:00:00"/>
    <s v="GCO1"/>
    <s v="Accounting - Mam Marj Printer L120 - repaired! done"/>
    <s v="done"/>
    <x v="0"/>
    <x v="2"/>
    <n v="0"/>
    <m/>
    <s v="Done"/>
    <s v="M01606001405"/>
    <s v="Macarling, F"/>
    <d v="2020-11-30T00:00:00"/>
    <s v="SUPPORTED WITHIN 2DAYS"/>
    <x v="0"/>
    <n v="0"/>
    <s v="M001170038"/>
    <x v="1"/>
    <d v="2020-11-28T14:50:15"/>
  </r>
  <r>
    <s v="Guan Kai Office"/>
    <s v="REPAIRED"/>
    <x v="0"/>
    <s v="M00120000465"/>
    <d v="2020-11-28T00:00:00"/>
    <s v="GK01"/>
    <s v="Old Printer of HCM - Epson L3110 - temporary setup at MIS"/>
    <s v="done"/>
    <x v="6"/>
    <x v="9"/>
    <n v="0"/>
    <m/>
    <s v="Done"/>
    <s v="M01606001405"/>
    <s v="Macarling, F"/>
    <d v="2020-11-30T00:00:00"/>
    <s v="SUPPORTED WITHIN 2DAYS"/>
    <x v="0"/>
    <n v="0"/>
    <s v="M001170038"/>
    <x v="1"/>
    <d v="2020-11-28T14:50:53"/>
  </r>
  <r>
    <s v="MCC San Leonardo NUE - Multi"/>
    <s v="REPAIRED"/>
    <x v="1"/>
    <s v="M00120000466"/>
    <d v="2020-11-28T00:00:00"/>
    <s v="M162"/>
    <s v="back up files and reformat bluescree"/>
    <m/>
    <x v="0"/>
    <x v="0"/>
    <n v="0"/>
    <m/>
    <m/>
    <m/>
    <m/>
    <d v="2020-11-28T00:00:00"/>
    <s v="SUPPORTED WITHIN 2DAYS"/>
    <x v="0"/>
    <n v="0"/>
    <s v="M001190058"/>
    <x v="3"/>
    <d v="2020-11-28T15:37:59"/>
  </r>
  <r>
    <s v="Pedritos Tapuac"/>
    <s v="REPAIRED"/>
    <x v="0"/>
    <s v="M00120000467"/>
    <d v="2020-11-30T00:00:00"/>
    <s v="P001"/>
    <s v="released touchscreen monitor and system unit pick up by bryan"/>
    <s v="done"/>
    <x v="0"/>
    <x v="2"/>
    <n v="0"/>
    <m/>
    <s v="Done"/>
    <s v="M00119002528"/>
    <s v="Macarling, F"/>
    <d v="2020-11-30T00:00:00"/>
    <s v="SUPPORTED WITHIN 2DAYS"/>
    <x v="0"/>
    <n v="0"/>
    <s v="M001170038"/>
    <x v="1"/>
    <d v="2020-11-30T08:47:20"/>
  </r>
  <r>
    <s v="Guanzon Corporate Center"/>
    <s v="REPAIRED"/>
    <x v="1"/>
    <s v="M00120000468"/>
    <d v="2020-11-30T00:00:00"/>
    <s v="GCC1"/>
    <s v="reset printer of TAX - Epson L120"/>
    <m/>
    <x v="0"/>
    <x v="2"/>
    <n v="0"/>
    <m/>
    <m/>
    <s v="M00111006212"/>
    <m/>
    <d v="2020-11-30T00:00:00"/>
    <s v="SUPPORTED WITHIN 2DAYS"/>
    <x v="0"/>
    <n v="0"/>
    <s v="M001170038"/>
    <x v="1"/>
    <d v="2020-11-30T09:00:42"/>
  </r>
  <r>
    <s v="Mobitek Magic Urdaneta"/>
    <s v="REPAIRED"/>
    <x v="1"/>
    <s v="M00120000469"/>
    <d v="2020-11-30T00:00:00"/>
    <s v="C006"/>
    <s v="PLDT - no dial tone no internet. for temporary issue pocket wifi"/>
    <m/>
    <x v="2"/>
    <x v="7"/>
    <n v="0"/>
    <m/>
    <m/>
    <m/>
    <m/>
    <d v="2020-11-30T00:00:00"/>
    <s v="SUPPORTED WITHIN 2DAYS"/>
    <x v="0"/>
    <n v="0"/>
    <s v="M001170038"/>
    <x v="1"/>
    <d v="2020-11-30T09:42:58"/>
  </r>
  <r>
    <s v="Guanzon Central Office"/>
    <s v="REPAIRED"/>
    <x v="1"/>
    <s v="M00120000470"/>
    <d v="2020-11-30T00:00:00"/>
    <s v="GCO1"/>
    <s v="reformat Sir Richard laptop"/>
    <m/>
    <x v="0"/>
    <x v="5"/>
    <n v="0"/>
    <m/>
    <m/>
    <m/>
    <m/>
    <d v="2020-11-30T00:00:00"/>
    <s v="SUPPORTED WITHIN 2DAYS"/>
    <x v="0"/>
    <n v="0"/>
    <s v="M001170038"/>
    <x v="1"/>
    <d v="2020-11-30T09:52:55"/>
  </r>
  <r>
    <s v="Guan Kai Office"/>
    <s v="REPAIRED"/>
    <x v="1"/>
    <s v="M00120000471"/>
    <d v="2020-11-30T00:00:00"/>
    <s v="GK01"/>
    <s v="virus infected PC of CSS-Elle Rosal"/>
    <m/>
    <x v="0"/>
    <x v="0"/>
    <n v="0"/>
    <m/>
    <m/>
    <s v="M00119000532"/>
    <m/>
    <d v="2020-11-30T00:00:00"/>
    <s v="SUPPORTED WITHIN 2DAYS"/>
    <x v="0"/>
    <n v="0"/>
    <s v="M001170038"/>
    <x v="1"/>
    <d v="2020-11-30T09:56:11"/>
  </r>
  <r>
    <s v="UEMI San Nicolas - Yamaha"/>
    <s v="REPAIRED"/>
    <x v="1"/>
    <s v="M00120000472"/>
    <d v="2020-11-30T00:00:00"/>
    <s v="M144"/>
    <s v="printer sharing"/>
    <m/>
    <x v="2"/>
    <x v="2"/>
    <n v="0"/>
    <m/>
    <m/>
    <s v="M00119000532"/>
    <m/>
    <d v="2020-11-30T00:00:00"/>
    <s v="SUPPORTED WITHIN 2DAYS"/>
    <x v="0"/>
    <n v="0"/>
    <s v="M001170038"/>
    <x v="1"/>
    <d v="2020-11-30T10:04:19"/>
  </r>
  <r>
    <s v="Mobitek Nepo Mart Alaminos"/>
    <s v="REPAIRED"/>
    <x v="0"/>
    <s v="M00120000473"/>
    <d v="2020-11-30T00:00:00"/>
    <s v="C005"/>
    <s v="Activate microsoft office 2019.. excel can't edit "/>
    <s v="done"/>
    <x v="2"/>
    <x v="5"/>
    <n v="0"/>
    <m/>
    <s v="Done"/>
    <m/>
    <s v="Macarling, F"/>
    <d v="2020-11-30T00:00:00"/>
    <s v="SUPPORTED WITHIN 2DAYS"/>
    <x v="0"/>
    <n v="0"/>
    <s v="M001170038"/>
    <x v="1"/>
    <d v="2020-11-30T11:46:41"/>
  </r>
  <r>
    <s v="Mobitek Nepo Mart Alaminos"/>
    <s v="REPAIRED"/>
    <x v="0"/>
    <s v="M00120000474"/>
    <d v="2020-11-30T00:00:00"/>
    <s v="C005"/>
    <s v="Activate microsoft office. problem: not activated"/>
    <s v="done"/>
    <x v="2"/>
    <x v="5"/>
    <n v="0"/>
    <m/>
    <s v="Done"/>
    <m/>
    <s v="Macarling, F"/>
    <d v="2020-11-30T00:00:00"/>
    <s v="SUPPORTED WITHIN 2DAYS"/>
    <x v="0"/>
    <n v="0"/>
    <s v="M001170038"/>
    <x v="1"/>
    <d v="2020-11-30T11:58:21"/>
  </r>
  <r>
    <s v="UEMI Valenzuela - Multi"/>
    <s v="REPAIRED"/>
    <x v="0"/>
    <s v="M00120000475"/>
    <d v="2020-11-30T00:00:00"/>
    <s v="M034"/>
    <s v="access branch for cctv playback"/>
    <s v="access cctv and playback"/>
    <x v="2"/>
    <x v="4"/>
    <n v="0"/>
    <m/>
    <s v="okay na"/>
    <m/>
    <s v="Velasquez, J"/>
    <d v="2020-11-30T00:00:00"/>
    <s v="SUPPORTED WITHIN 2DAYS"/>
    <x v="0"/>
    <n v="0"/>
    <s v="M001190058"/>
    <x v="3"/>
    <d v="2020-11-30T14:09: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73">
  <r>
    <x v="0"/>
    <x v="0"/>
    <x v="0"/>
    <s v="C079"/>
    <d v="2019-08-27T00:00:00"/>
    <s v="hikvision"/>
    <n v="3"/>
    <s v="gtcAdmin19"/>
    <s v="qwerty"/>
    <s v="qwerty"/>
    <s v="NO VIDEO CAMERA 2.. 3 camera installed only"/>
    <x v="0"/>
    <x v="0"/>
    <d v="2020-11-24T00:00:00"/>
    <s v="Macarling, Federico"/>
    <n v="123456"/>
    <s v="no"/>
    <s v="M001170038"/>
    <d v="2020-11-24T14:03:11"/>
    <x v="0"/>
  </r>
  <r>
    <x v="0"/>
    <x v="1"/>
    <x v="0"/>
    <s v="C085"/>
    <d v="2020-09-01T00:00:00"/>
    <s v="hikvision"/>
    <n v="4"/>
    <s v="ggcAdmin85"/>
    <s v="GUANZON_C085"/>
    <s v="huawei4826966477"/>
    <s v="GOOD"/>
    <x v="0"/>
    <x v="0"/>
    <d v="2020-11-24T00:00:00"/>
    <s v="Macarling, Federico"/>
    <n v="123456"/>
    <s v="n/a"/>
    <s v="M001170038"/>
    <d v="2020-11-24T14:01:20"/>
    <x v="0"/>
  </r>
  <r>
    <x v="0"/>
    <x v="2"/>
    <x v="0"/>
    <s v="C002"/>
    <d v="2019-09-23T00:00:00"/>
    <s v="hikvision"/>
    <n v="3"/>
    <s v="gtcAdmin02"/>
    <s v="qwerty"/>
    <n v="1234"/>
    <s v="good. 3camera only installed"/>
    <x v="0"/>
    <x v="0"/>
    <d v="2020-10-16T00:00:00"/>
    <s v="Macarling, Federico"/>
    <n v="123456"/>
    <s v="-"/>
    <s v="M001170038"/>
    <d v="2020-10-16T10:52:15"/>
    <x v="1"/>
  </r>
  <r>
    <x v="0"/>
    <x v="3"/>
    <x v="0"/>
    <s v="C047"/>
    <d v="2019-08-27T00:00:00"/>
    <s v="DVR-DVS"/>
    <n v="3"/>
    <s v="gtcAdmin47"/>
    <s v="qwerty"/>
    <s v="qwerty"/>
    <s v="DVR DVS recorder/ platform not supported. FOR REPLACEMENT DVR"/>
    <x v="1"/>
    <x v="1"/>
    <d v="2020-10-16T00:00:00"/>
    <s v="Macarling, Federico"/>
    <n v="123456"/>
    <s v="-"/>
    <s v="M001170038"/>
    <d v="2020-10-16T10:52:31"/>
    <x v="1"/>
  </r>
  <r>
    <x v="0"/>
    <x v="4"/>
    <x v="0"/>
    <s v="C049"/>
    <d v="2019-09-23T00:00:00"/>
    <s v="hikvison"/>
    <n v="4"/>
    <s v="gtcAdmin49"/>
    <s v="qwerty"/>
    <s v="qwerty"/>
    <s v="camera 3 NO VIDEO"/>
    <x v="1"/>
    <x v="1"/>
    <d v="2020-10-16T00:00:00"/>
    <s v="Macarling, Federico"/>
    <n v="123456"/>
    <s v="-"/>
    <s v="M001170038"/>
    <d v="2020-10-16T10:53:10"/>
    <x v="1"/>
  </r>
  <r>
    <x v="0"/>
    <x v="5"/>
    <x v="0"/>
    <s v="C008"/>
    <d v="2019-09-23T00:00:00"/>
    <s v="hikvision"/>
    <n v="3"/>
    <s v="gtcAdmin08"/>
    <s v="qwerty"/>
    <n v="48205823646"/>
    <s v="offline to hikconnect"/>
    <x v="1"/>
    <x v="1"/>
    <d v="2020-10-16T00:00:00"/>
    <s v="Macarling, Federico"/>
    <n v="123456"/>
    <s v="-"/>
    <s v="M001170038"/>
    <d v="2020-10-16T16:07:10"/>
    <x v="1"/>
  </r>
  <r>
    <x v="0"/>
    <x v="6"/>
    <x v="0"/>
    <s v="C001"/>
    <d v="2019-09-23T00:00:00"/>
    <s v="hikvision"/>
    <n v="4"/>
    <s v="gtcAdmin01"/>
    <s v="qwerty"/>
    <s v="mobitekdagupanmain01"/>
    <s v="GOOD"/>
    <x v="0"/>
    <x v="0"/>
    <d v="2020-10-16T00:00:00"/>
    <s v="Macarling, Federico"/>
    <n v="123456"/>
    <s v="-"/>
    <s v="M001170038"/>
    <d v="2020-10-16T10:59:08"/>
    <x v="1"/>
  </r>
  <r>
    <x v="0"/>
    <x v="7"/>
    <x v="0"/>
    <s v="C084"/>
    <d v="2019-01-01T00:00:00"/>
    <s v="hikvision"/>
    <n v="4"/>
    <s v="gtcAdmin84"/>
    <s v="GUANZON_C084"/>
    <s v="mobitek48208423646"/>
    <s v="GOOD"/>
    <x v="0"/>
    <x v="0"/>
    <d v="2020-11-24T00:00:00"/>
    <s v="Macarling, Federico"/>
    <n v="123456"/>
    <s v="n/a"/>
    <s v="M001170038"/>
    <d v="2020-11-24T14:00:36"/>
    <x v="0"/>
  </r>
  <r>
    <x v="0"/>
    <x v="8"/>
    <x v="0"/>
    <s v="C011"/>
    <d v="2019-08-20T00:00:00"/>
    <s v="hikvision"/>
    <n v="3"/>
    <s v="gtcAdmin11"/>
    <s v="qwerty"/>
    <s v="G48201123646G"/>
    <s v="cam 1 and 4 video loss. For Visit"/>
    <x v="1"/>
    <x v="1"/>
    <d v="2020-11-24T00:00:00"/>
    <s v="Macarling, Federico"/>
    <n v="123456"/>
    <n v="1"/>
    <s v="M001170038"/>
    <d v="2020-11-24T14:01:48"/>
    <x v="0"/>
  </r>
  <r>
    <x v="0"/>
    <x v="9"/>
    <x v="0"/>
    <s v="C015"/>
    <d v="2019-09-23T00:00:00"/>
    <s v="hikvision"/>
    <n v="3"/>
    <s v="gtcAdmin15"/>
    <s v="qwerty"/>
    <s v="qwerty"/>
    <s v="CAMERA 3 NO VIDEO. STOCK ROOM. FOR VISIT"/>
    <x v="0"/>
    <x v="1"/>
    <d v="2020-10-16T00:00:00"/>
    <s v="Macarling, Federico"/>
    <s v="TTHOCH"/>
    <s v="-"/>
    <s v="M001170038"/>
    <d v="2020-10-16T11:00:51"/>
    <x v="1"/>
  </r>
  <r>
    <x v="0"/>
    <x v="10"/>
    <x v="0"/>
    <s v="C089"/>
    <d v="1990-01-01T00:00:00"/>
    <s v="hikvision"/>
    <n v="4"/>
    <s v="gtcAdmin"/>
    <s v="GUANZON_C89"/>
    <n v="48208923646"/>
    <s v="offline to hikconnect"/>
    <x v="1"/>
    <x v="0"/>
    <d v="2020-11-24T00:00:00"/>
    <s v="Macarling, Federico"/>
    <n v="123456"/>
    <s v="n/a"/>
    <s v="M001170038"/>
    <d v="2020-11-24T13:59:26"/>
    <x v="0"/>
  </r>
  <r>
    <x v="0"/>
    <x v="11"/>
    <x v="0"/>
    <s v="C067"/>
    <d v="2019-09-23T00:00:00"/>
    <s v="hikvision"/>
    <n v="3"/>
    <s v="gtcAdmin67"/>
    <s v="qwerty"/>
    <n v="48206723646"/>
    <s v="Good and online"/>
    <x v="0"/>
    <x v="0"/>
    <d v="2020-10-16T00:00:00"/>
    <s v="Macarling, Federico"/>
    <n v="123456"/>
    <s v="-"/>
    <s v="M001170038"/>
    <d v="2020-10-16T11:02:04"/>
    <x v="1"/>
  </r>
  <r>
    <x v="0"/>
    <x v="12"/>
    <x v="0"/>
    <s v="C058"/>
    <d v="2019-09-23T00:00:00"/>
    <s v="hikvision"/>
    <n v="3"/>
    <s v="gtcAdmin58"/>
    <s v="qwerty"/>
    <s v="qwerty"/>
    <s v="RETURNED DVR ORIGINAL - OK"/>
    <x v="0"/>
    <x v="0"/>
    <d v="2020-10-16T00:00:00"/>
    <s v="Macarling, Federico"/>
    <n v="123456"/>
    <s v="-"/>
    <s v="M001170038"/>
    <d v="2020-10-16T11:02:51"/>
    <x v="1"/>
  </r>
  <r>
    <x v="0"/>
    <x v="13"/>
    <x v="0"/>
    <s v="C086"/>
    <d v="2019-01-01T00:00:00"/>
    <s v="hikvision"/>
    <n v="3"/>
    <s v="gtcAdmin86"/>
    <s v="SAMSUNG_C086"/>
    <s v="samsung48208623646"/>
    <s v="CAM 1 AND CAM 2 - NO VIDEO - FOR VISIT"/>
    <x v="1"/>
    <x v="1"/>
    <d v="2020-11-24T00:00:00"/>
    <s v="Macarling, Federico"/>
    <n v="123456"/>
    <s v="no"/>
    <s v="M001170038"/>
    <d v="2020-11-24T13:59:56"/>
    <x v="0"/>
  </r>
  <r>
    <x v="0"/>
    <x v="14"/>
    <x v="0"/>
    <s v="C040"/>
    <d v="2019-07-17T00:00:00"/>
    <s v="hikvision"/>
    <n v="4"/>
    <s v="gtcAdmin40"/>
    <s v="qwerty"/>
    <n v="48204023646"/>
    <s v="need router to enable hik connect online"/>
    <x v="1"/>
    <x v="1"/>
    <d v="2020-10-16T00:00:00"/>
    <s v="Macarling, Federico"/>
    <n v="123456"/>
    <s v="-"/>
    <s v="M001170038"/>
    <d v="2020-10-16T11:04:43"/>
    <x v="1"/>
  </r>
  <r>
    <x v="1"/>
    <x v="15"/>
    <x v="1"/>
    <s v="C080"/>
    <d v="1990-01-01T00:00:00"/>
    <s v="hikvision"/>
    <n v="3"/>
    <s v="gtcAdmin80"/>
    <s v="qwerty"/>
    <n v="1234"/>
    <s v="good. 3 camera installed only"/>
    <x v="0"/>
    <x v="0"/>
    <d v="2020-10-16T00:00:00"/>
    <s v="Macarling, Federico"/>
    <n v="123456"/>
    <s v="-"/>
    <s v="M001170038"/>
    <d v="2020-10-16T11:07:36"/>
    <x v="1"/>
  </r>
  <r>
    <x v="1"/>
    <x v="16"/>
    <x v="1"/>
    <s v="C078"/>
    <d v="2019-01-01T00:00:00"/>
    <s v="hikvision"/>
    <n v="4"/>
    <s v="gtcAdmin78"/>
    <s v="qwerty"/>
    <s v="G48207823646"/>
    <s v="Good and online"/>
    <x v="0"/>
    <x v="0"/>
    <d v="2020-10-16T00:00:00"/>
    <s v="Macarling, Federico"/>
    <n v="123456"/>
    <s v="n/a"/>
    <s v="M001170038"/>
    <d v="2020-10-16T11:08:33"/>
    <x v="1"/>
  </r>
  <r>
    <x v="1"/>
    <x v="17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1"/>
    <x v="18"/>
    <x v="1"/>
    <s v="C082"/>
    <d v="2019-01-01T00:00:00"/>
    <s v="hikvision"/>
    <n v="4"/>
    <s v="gtcAdmin82"/>
    <s v="qwerty"/>
    <n v="1234"/>
    <s v="Good and online"/>
    <x v="0"/>
    <x v="0"/>
    <d v="2020-10-16T00:00:00"/>
    <s v="Macarling, Federico"/>
    <n v="123456"/>
    <s v="n/a"/>
    <s v="M001170038"/>
    <d v="2020-10-16T11:09:20"/>
    <x v="1"/>
  </r>
  <r>
    <x v="1"/>
    <x v="19"/>
    <x v="1"/>
    <s v="C004"/>
    <d v="2019-09-23T00:00:00"/>
    <s v="hikvision"/>
    <n v="4"/>
    <s v="gtcAdmin04"/>
    <s v="qwerty"/>
    <s v="qwerty"/>
    <s v="PLDT problem no internet - kaya offline and DVR"/>
    <x v="1"/>
    <x v="0"/>
    <d v="2020-10-16T00:00:00"/>
    <s v="Macarling, Federico"/>
    <n v="123456"/>
    <s v="n/a"/>
    <s v="M001170038"/>
    <d v="2020-10-16T11:26:18"/>
    <x v="1"/>
  </r>
  <r>
    <x v="1"/>
    <x v="20"/>
    <x v="1"/>
    <s v="C027"/>
    <d v="2019-01-01T00:00:00"/>
    <s v="hikvision"/>
    <n v="3"/>
    <s v="ggcAdmin27"/>
    <s v="qwerty"/>
    <n v="1234"/>
    <s v="camera 3 - stock room. need to relocate. for visit asap"/>
    <x v="0"/>
    <x v="1"/>
    <d v="2020-10-16T00:00:00"/>
    <s v="Macarling, Federico"/>
    <n v="123456"/>
    <s v="-"/>
    <s v="M001170038"/>
    <d v="2020-10-16T11:10:31"/>
    <x v="1"/>
  </r>
  <r>
    <x v="1"/>
    <x v="21"/>
    <x v="1"/>
    <s v="C006"/>
    <d v="2019-09-03T00:00:00"/>
    <s v="hikvision"/>
    <n v="3"/>
    <s v="gtcAdmin06"/>
    <s v="qwerty"/>
    <n v="48200623646"/>
    <s v="Good and online"/>
    <x v="0"/>
    <x v="0"/>
    <d v="2020-10-16T00:00:00"/>
    <s v="Macarling, Federico"/>
    <s v="SYMIZF "/>
    <s v="-"/>
    <s v="M001170038"/>
    <d v="2020-10-16T11:18:39"/>
    <x v="1"/>
  </r>
  <r>
    <x v="1"/>
    <x v="22"/>
    <x v="1"/>
    <s v="C035"/>
    <d v="2019-01-01T00:00:00"/>
    <s v="DVR-DVS"/>
    <n v="4"/>
    <s v="gtcAdmin35"/>
    <s v="qwerty"/>
    <n v="1234"/>
    <s v="Good and online"/>
    <x v="0"/>
    <x v="0"/>
    <d v="2020-10-16T00:00:00"/>
    <s v="Macarling, Federico"/>
    <n v="123456"/>
    <s v="-"/>
    <s v="M001170038"/>
    <d v="2020-10-16T11:21:16"/>
    <x v="1"/>
  </r>
  <r>
    <x v="1"/>
    <x v="23"/>
    <x v="1"/>
    <s v="C029"/>
    <d v="2019-01-01T00:00:00"/>
    <s v="hikvision"/>
    <n v="3"/>
    <s v="gtcAdmin29"/>
    <s v="GUANZON_WIFI_C029"/>
    <s v="mobitek4820292019"/>
    <s v="dvr for replacement. can't add to hikconnect"/>
    <x v="1"/>
    <x v="1"/>
    <d v="2020-10-16T00:00:00"/>
    <s v="Macarling, Federico"/>
    <s v="ZRFFXP"/>
    <s v="-"/>
    <s v="M001170038"/>
    <d v="2020-10-16T11:23:32"/>
    <x v="1"/>
  </r>
  <r>
    <x v="1"/>
    <x v="24"/>
    <x v="1"/>
    <s v="C068"/>
    <d v="2019-01-01T00:00:00"/>
    <s v="hikvision"/>
    <n v="3"/>
    <s v="gtcAdmin68"/>
    <s v="qwerty"/>
    <s v="G48206823646C068"/>
    <s v="Good and online"/>
    <x v="0"/>
    <x v="3"/>
    <d v="2020-10-16T00:00:00"/>
    <s v="Macarling, Federico"/>
    <n v="123456"/>
    <s v="n/a"/>
    <s v="M001170038"/>
    <d v="2020-10-16T11:25:39"/>
    <x v="1"/>
  </r>
  <r>
    <x v="1"/>
    <x v="25"/>
    <x v="1"/>
    <s v="C020"/>
    <d v="2019-01-01T00:00:00"/>
    <s v="EXPOSE"/>
    <n v="3"/>
    <s v="ggcAdmin20"/>
    <s v="qwerty"/>
    <n v="1234"/>
    <s v="Good and online"/>
    <x v="0"/>
    <x v="0"/>
    <d v="2020-10-16T00:00:00"/>
    <s v="Macarling, Federico"/>
    <n v="123456"/>
    <s v="n/a"/>
    <s v="M001170038"/>
    <d v="2020-10-16T11:24:53"/>
    <x v="1"/>
  </r>
  <r>
    <x v="1"/>
    <x v="26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1"/>
    <x v="27"/>
    <x v="1"/>
    <s v="C050"/>
    <d v="2019-01-01T00:00:00"/>
    <s v="DVR-DVS"/>
    <n v="3"/>
    <s v="gtcAdmin50"/>
    <s v="qwerty"/>
    <n v="1234"/>
    <s v="camera 3 and camera 4 - NO VIDEO - FOR VISIT"/>
    <x v="0"/>
    <x v="1"/>
    <d v="2020-10-16T00:00:00"/>
    <s v="Macarling, Federico"/>
    <n v="123456"/>
    <s v="-"/>
    <s v="M001170038"/>
    <d v="2020-10-16T11:12:41"/>
    <x v="1"/>
  </r>
  <r>
    <x v="1"/>
    <x v="28"/>
    <x v="1"/>
    <s v="C071"/>
    <d v="2019-01-01T00:00:00"/>
    <s v="hikvision"/>
    <n v="3"/>
    <s v="G48223646071"/>
    <s v="GUANZON_OPPO_C071"/>
    <s v="oppo4820712020"/>
    <s v="Good and online"/>
    <x v="0"/>
    <x v="0"/>
    <d v="2020-10-16T00:00:00"/>
    <s v="Macarling, Federico"/>
    <n v="123456"/>
    <s v="-"/>
    <s v="M001170038"/>
    <d v="2020-10-16T11:24:05"/>
    <x v="1"/>
  </r>
  <r>
    <x v="1"/>
    <x v="29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1"/>
    <x v="30"/>
    <x v="0"/>
    <s v="C081"/>
    <d v="2019-01-01T00:00:00"/>
    <s v="hikvision"/>
    <n v="4"/>
    <s v="gtcAdmin81"/>
    <s v="qwerty"/>
    <n v="1234"/>
    <s v="camera 4 - NO VIDEO - FOR VISIT"/>
    <x v="0"/>
    <x v="0"/>
    <d v="2020-10-16T00:00:00"/>
    <s v="Macarling, Federico"/>
    <n v="123456"/>
    <s v="no"/>
    <s v="M001170038"/>
    <d v="2020-10-16T11:13:29"/>
    <x v="1"/>
  </r>
  <r>
    <x v="1"/>
    <x v="31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1"/>
    <x v="32"/>
    <x v="1"/>
    <s v="C036"/>
    <d v="2019-01-01T00:00:00"/>
    <s v="hikvision"/>
    <n v="4"/>
    <s v="G4822364636"/>
    <s v="qwerty"/>
    <n v="1234"/>
    <s v="camera 3 and 4.. for relocation. need to adjuts position. FIX BLIND SPOT"/>
    <x v="0"/>
    <x v="1"/>
    <d v="2020-10-16T00:00:00"/>
    <s v="Macarling, Federico"/>
    <n v="123456"/>
    <s v="-"/>
    <s v="M001170038"/>
    <d v="2020-10-16T11:20:28"/>
    <x v="1"/>
  </r>
  <r>
    <x v="1"/>
    <x v="33"/>
    <x v="1"/>
    <s v="C043"/>
    <d v="2019-01-01T00:00:00"/>
    <s v="QSEE"/>
    <n v="4"/>
    <s v="gtcAdmin43"/>
    <s v="qwerty"/>
    <n v="1234"/>
    <s v="Good and online"/>
    <x v="0"/>
    <x v="0"/>
    <d v="2020-10-16T00:00:00"/>
    <s v="Macarling, Federico"/>
    <n v="123456"/>
    <s v="n/a"/>
    <s v="M001170038"/>
    <d v="2020-10-16T11:22:16"/>
    <x v="1"/>
  </r>
  <r>
    <x v="1"/>
    <x v="34"/>
    <x v="1"/>
    <s v="C070"/>
    <d v="2019-01-01T00:00:00"/>
    <s v="hikvision"/>
    <n v="4"/>
    <s v="G48223646070"/>
    <s v="qwerty"/>
    <s v="samsung48207023646"/>
    <s v="Good and online"/>
    <x v="0"/>
    <x v="0"/>
    <d v="2020-10-16T00:00:00"/>
    <s v="Macarling, Federico"/>
    <n v="123456"/>
    <s v="-"/>
    <s v="M001170038"/>
    <d v="2020-10-16T11:22:56"/>
    <x v="1"/>
  </r>
  <r>
    <x v="1"/>
    <x v="35"/>
    <x v="1"/>
    <s v="C072"/>
    <d v="2019-01-01T00:00:00"/>
    <s v="hikvision"/>
    <n v="3"/>
    <s v="G48223646072"/>
    <s v="qwrtty"/>
    <n v="1234"/>
    <s v="good. 3camera installed already"/>
    <x v="0"/>
    <x v="0"/>
    <d v="2020-10-16T00:00:00"/>
    <s v="Macarling, Federico"/>
    <n v="123456"/>
    <s v="-"/>
    <s v="M001170038"/>
    <d v="2020-10-27T13:40:40"/>
    <x v="1"/>
  </r>
  <r>
    <x v="2"/>
    <x v="36"/>
    <x v="3"/>
    <s v="C083"/>
    <d v="2019-09-23T00:00:00"/>
    <s v="hikvision"/>
    <n v="4"/>
    <s v="gtcAdmin83"/>
    <s v="PLDTMyDSLBizGUANZON_HUAWEI"/>
    <s v="G48208323646"/>
    <s v="cam 1 and cashier area need to adjust. pldt problem no internet due to unpaid bills"/>
    <x v="1"/>
    <x v="1"/>
    <d v="2020-10-16T00:00:00"/>
    <s v="Macarling, Federico"/>
    <n v="123456"/>
    <s v="n/a"/>
    <s v="M001170038"/>
    <d v="2020-10-16T11:54:32"/>
    <x v="1"/>
  </r>
  <r>
    <x v="2"/>
    <x v="37"/>
    <x v="3"/>
    <s v="C064"/>
    <d v="2019-10-11T00:00:00"/>
    <s v="hikvision"/>
    <n v="4"/>
    <s v="gtcAdmin64"/>
    <s v="qwerty"/>
    <s v="qwerty"/>
    <s v="Good and online"/>
    <x v="0"/>
    <x v="0"/>
    <d v="2020-10-16T00:00:00"/>
    <s v="Macarling, Federico"/>
    <n v="123456"/>
    <s v="n/a"/>
    <s v="M001170038"/>
    <d v="2020-10-16T11:38:05"/>
    <x v="1"/>
  </r>
  <r>
    <x v="2"/>
    <x v="38"/>
    <x v="3"/>
    <s v="C042"/>
    <d v="2019-01-01T00:00:00"/>
    <s v="hikvision"/>
    <n v="4"/>
    <s v="gtcAdmin42"/>
    <s v="qwerty"/>
    <s v="G48204223646"/>
    <s v="offline due to unpaid bills @ PLDT"/>
    <x v="1"/>
    <x v="0"/>
    <d v="2020-10-16T00:00:00"/>
    <s v="Macarling, Federico"/>
    <n v="123456"/>
    <s v="-"/>
    <s v="M001170038"/>
    <d v="2020-10-16T11:55:17"/>
    <x v="1"/>
  </r>
  <r>
    <x v="2"/>
    <x v="39"/>
    <x v="3"/>
    <s v="C033"/>
    <d v="2019-01-01T00:00:00"/>
    <s v="hikvision"/>
    <n v="4"/>
    <s v="gtcAdmin33"/>
    <s v="qwerty"/>
    <s v="mobitekG48203323646"/>
    <s v="Good and online"/>
    <x v="0"/>
    <x v="0"/>
    <d v="2020-10-16T00:00:00"/>
    <s v="Macarling, Federico"/>
    <n v="123456"/>
    <s v="no"/>
    <s v="M001170038"/>
    <d v="2020-10-16T11:47:06"/>
    <x v="1"/>
  </r>
  <r>
    <x v="2"/>
    <x v="40"/>
    <x v="3"/>
    <s v="C038"/>
    <d v="2019-01-01T00:00:00"/>
    <s v="hikvision"/>
    <n v="4"/>
    <s v="gtcAdmin38"/>
    <s v="qwerty"/>
    <n v="1234"/>
    <s v="ALL CAMERA VIDEO LOSS. CAN'T ONLINE DVR TO HIKCONNECT"/>
    <x v="1"/>
    <x v="1"/>
    <d v="2020-10-16T00:00:00"/>
    <s v="Macarling, Federico"/>
    <n v="123456"/>
    <s v="."/>
    <s v="M001170038"/>
    <d v="2020-10-16T11:53:52"/>
    <x v="1"/>
  </r>
  <r>
    <x v="2"/>
    <x v="41"/>
    <x v="3"/>
    <s v="C034"/>
    <d v="2019-01-01T00:00:00"/>
    <s v="hikvision"/>
    <n v="3"/>
    <s v="gtcAdmin34"/>
    <s v="qwerty"/>
    <n v="4823423646190"/>
    <s v="Good and online"/>
    <x v="0"/>
    <x v="0"/>
    <d v="2020-10-16T00:00:00"/>
    <s v="Macarling, Federico"/>
    <n v="123456"/>
    <s v="n/a"/>
    <s v="M001170038"/>
    <d v="2020-10-16T11:47:51"/>
    <x v="1"/>
  </r>
  <r>
    <x v="2"/>
    <x v="42"/>
    <x v="3"/>
    <s v="C005"/>
    <d v="2019-01-01T00:00:00"/>
    <s v="DVR-DVS"/>
    <n v="4"/>
    <s v="gtcAdmin05"/>
    <s v="qwerty"/>
    <n v="1234"/>
    <s v="Good and online..visited by bernard.. old dvr replaced already"/>
    <x v="0"/>
    <x v="0"/>
    <d v="2020-10-16T00:00:00"/>
    <s v="Macarling, Federico"/>
    <n v="123456"/>
    <s v="n/a"/>
    <s v="M001170038"/>
    <d v="2020-10-16T11:54:47"/>
    <x v="1"/>
  </r>
  <r>
    <x v="2"/>
    <x v="43"/>
    <x v="3"/>
    <s v="C059"/>
    <d v="2019-01-01T00:00:00"/>
    <s v="hikvision"/>
    <n v="4"/>
    <s v="gtcAdmin59"/>
    <s v="qwerty"/>
    <n v="1234"/>
    <s v="Good and online"/>
    <x v="0"/>
    <x v="0"/>
    <d v="2020-10-16T00:00:00"/>
    <s v="Macarling, Federico"/>
    <n v="123456"/>
    <s v="-"/>
    <s v="M001170038"/>
    <d v="2020-10-16T11:45:18"/>
    <x v="1"/>
  </r>
  <r>
    <x v="2"/>
    <x v="44"/>
    <x v="3"/>
    <s v="C063"/>
    <d v="2019-01-01T00:00:00"/>
    <s v="hikvision"/>
    <n v="4"/>
    <s v="gtcAdmin63"/>
    <s v="qwerty"/>
    <n v="1234"/>
    <s v="camera 3. need to adjust stock room camera-fix blind spot"/>
    <x v="0"/>
    <x v="1"/>
    <d v="2020-10-16T00:00:00"/>
    <s v="Macarling, Federico"/>
    <n v="123456"/>
    <s v="n/a"/>
    <s v="M001170038"/>
    <d v="2020-10-16T11:53:14"/>
    <x v="1"/>
  </r>
  <r>
    <x v="2"/>
    <x v="45"/>
    <x v="3"/>
    <s v="C065"/>
    <d v="2019-09-23T00:00:00"/>
    <s v="hikvision"/>
    <n v="4"/>
    <s v="gtcAdmin65"/>
    <s v="OPPO_MOBITEK_WIFI"/>
    <s v="oppo4820652019"/>
    <s v="camera 4 no video and camera at stock room need to adjust"/>
    <x v="0"/>
    <x v="1"/>
    <d v="2020-10-16T00:00:00"/>
    <s v="Macarling, Federico"/>
    <n v="123456"/>
    <s v="n/a"/>
    <s v="M001170038"/>
    <d v="2020-10-16T11:46:06"/>
    <x v="1"/>
  </r>
  <r>
    <x v="2"/>
    <x v="46"/>
    <x v="3"/>
    <s v="C073"/>
    <d v="2019-09-23T00:00:00"/>
    <s v="hikvision"/>
    <n v="4"/>
    <s v="gtcAdmin73"/>
    <s v="qwerty"/>
    <s v="qwert"/>
    <s v="Good and online"/>
    <x v="0"/>
    <x v="0"/>
    <d v="2020-10-16T00:00:00"/>
    <s v="Macarling, Federico"/>
    <n v="123456"/>
    <s v="-"/>
    <s v="M001170038"/>
    <d v="2020-10-16T11:43:41"/>
    <x v="1"/>
  </r>
  <r>
    <x v="2"/>
    <x v="47"/>
    <x v="3"/>
    <s v="C051"/>
    <d v="2019-01-01T00:00:00"/>
    <s v="hikvision"/>
    <n v="3"/>
    <s v="G48223646051"/>
    <s v="qwerty"/>
    <n v="1234"/>
    <s v="offline to hikconnect. "/>
    <x v="1"/>
    <x v="1"/>
    <d v="2020-10-16T00:00:00"/>
    <s v="Macarling, Federico"/>
    <n v="123456"/>
    <s v="n/a"/>
    <s v="M001170038"/>
    <d v="2020-10-16T11:54:06"/>
    <x v="1"/>
  </r>
  <r>
    <x v="3"/>
    <x v="48"/>
    <x v="4"/>
    <s v="C048"/>
    <d v="2019-09-21T00:00:00"/>
    <s v="hikvision"/>
    <n v="3"/>
    <s v="gtcadmin48"/>
    <s v="qwerty"/>
    <s v="qwerty"/>
    <s v="offline to hikconnect"/>
    <x v="1"/>
    <x v="1"/>
    <d v="2020-10-16T00:00:00"/>
    <s v="Macarling, Federico"/>
    <n v="123456"/>
    <s v="n/a"/>
    <s v="M001170038"/>
    <d v="2020-10-16T11:57:44"/>
    <x v="1"/>
  </r>
  <r>
    <x v="3"/>
    <x v="49"/>
    <x v="4"/>
    <s v="C039"/>
    <d v="2019-09-21T00:00:00"/>
    <s v="EXPOSE"/>
    <n v="4"/>
    <s v="gtcAdmin39"/>
    <s v="qwerrty"/>
    <s v="qwerty"/>
    <s v="for replacement dvr.. NOT YET ADDED TO HIKCONNECT"/>
    <x v="1"/>
    <x v="4"/>
    <d v="2020-10-16T00:00:00"/>
    <s v="Macarling, Federico"/>
    <n v="123456"/>
    <s v=" N/"/>
    <s v="M001170038"/>
    <d v="2020-10-16T16:08:56"/>
    <x v="1"/>
  </r>
  <r>
    <x v="3"/>
    <x v="50"/>
    <x v="4"/>
    <s v="C087"/>
    <d v="2020-01-01T00:00:00"/>
    <s v="hikvision"/>
    <n v="4"/>
    <s v="gtcAdmin87"/>
    <s v="GUANZON_C087"/>
    <s v="huawei4826966477"/>
    <s v="GOOD. CAMERA AT STOCK ROOM FOR RELOCATION ONLY"/>
    <x v="0"/>
    <x v="1"/>
    <d v="2020-10-16T00:00:00"/>
    <s v="Macarling, Federico"/>
    <n v="123456"/>
    <s v="n/a"/>
    <s v="M001170038"/>
    <d v="2020-10-16T13:11:10"/>
    <x v="1"/>
  </r>
  <r>
    <x v="3"/>
    <x v="51"/>
    <x v="4"/>
    <s v="C092"/>
    <d v="2020-01-01T00:00:00"/>
    <s v="hikvision"/>
    <n v="4"/>
    <s v="gtcAdmin92"/>
    <s v="GUANZON_C092"/>
    <s v="mobitek4826966477"/>
    <s v="NO ISP Yet"/>
    <x v="1"/>
    <x v="5"/>
    <d v="2020-10-16T00:00:00"/>
    <s v="Macarling, Federico"/>
    <n v="123456"/>
    <s v="n/a"/>
    <s v="M001170038"/>
    <d v="2020-10-16T16:09:42"/>
    <x v="1"/>
  </r>
  <r>
    <x v="3"/>
    <x v="52"/>
    <x v="4"/>
    <s v="C062"/>
    <d v="2019-09-21T00:00:00"/>
    <s v="hikvision"/>
    <n v="4"/>
    <s v="gtcAdmin62"/>
    <s v="qwerty"/>
    <s v="qwerty"/>
    <s v="offline to hikconnect"/>
    <x v="1"/>
    <x v="1"/>
    <d v="2020-10-16T00:00:00"/>
    <s v="Macarling, Federico"/>
    <n v="123456"/>
    <s v="n/a"/>
    <s v="M001170038"/>
    <d v="2020-10-16T13:16:31"/>
    <x v="1"/>
  </r>
  <r>
    <x v="3"/>
    <x v="53"/>
    <x v="4"/>
    <s v="C012"/>
    <d v="2019-09-21T00:00:00"/>
    <s v="dvs-dvr"/>
    <n v="4"/>
    <s v="CLOSED"/>
    <s v="CLOSED"/>
    <s v="CLOSED"/>
    <s v="CLOSED BRANCH"/>
    <x v="1"/>
    <x v="1"/>
    <d v="2020-09-12T00:00:00"/>
    <s v="Macarling, Federico"/>
    <n v="123456"/>
    <s v="n/a"/>
    <s v="M001170038"/>
    <d v="2020-09-12T15:22:14"/>
    <x v="1"/>
  </r>
  <r>
    <x v="3"/>
    <x v="54"/>
    <x v="4"/>
    <s v="C041"/>
    <d v="2019-09-21T00:00:00"/>
    <s v="hikvision"/>
    <n v="3"/>
    <s v="gtcAdmin41"/>
    <s v="qwerty"/>
    <n v="48204123646"/>
    <s v="offfline to hikconnect..CAMERA 1 NO VIDEO. NEED TO ADJUST CAMERA AT STOCK ROOM"/>
    <x v="1"/>
    <x v="1"/>
    <d v="2020-10-16T00:00:00"/>
    <s v="Macarling, Federico"/>
    <n v="123456"/>
    <s v="n/a"/>
    <s v="M001170038"/>
    <d v="2020-10-16T16:10:50"/>
    <x v="1"/>
  </r>
  <r>
    <x v="3"/>
    <x v="55"/>
    <x v="4"/>
    <s v="C074"/>
    <d v="2019-09-21T00:00:00"/>
    <s v="hikvision"/>
    <n v="3"/>
    <s v="gtcAdmin74"/>
    <s v="qwerty"/>
    <s v="qwertty"/>
    <s v="ALL CAMERA NO VIDEO. FOR VISIT ASAP"/>
    <x v="0"/>
    <x v="1"/>
    <d v="2020-10-16T00:00:00"/>
    <s v="Macarling, Federico"/>
    <n v="123456"/>
    <s v="n/a"/>
    <s v="M001170038"/>
    <d v="2020-10-16T11:59:23"/>
    <x v="1"/>
  </r>
  <r>
    <x v="3"/>
    <x v="56"/>
    <x v="4"/>
    <s v="C055"/>
    <d v="2019-09-21T00:00:00"/>
    <s v="hikvision"/>
    <n v="4"/>
    <s v="gtcAdmin55"/>
    <s v="qwerty"/>
    <s v="qwerty"/>
    <s v="DVR REPLACEMENT = OK,, OLD DVR PLS BACKLOAD"/>
    <x v="0"/>
    <x v="0"/>
    <d v="2020-10-17T00:00:00"/>
    <s v="Macarling, Federico"/>
    <n v="123456"/>
    <s v="n/a"/>
    <s v="M001170038"/>
    <d v="2020-10-17T12:57:53"/>
    <x v="1"/>
  </r>
  <r>
    <x v="3"/>
    <x v="57"/>
    <x v="4"/>
    <s v="C044"/>
    <d v="2019-09-21T00:00:00"/>
    <s v="hikvision"/>
    <n v="4"/>
    <s v="gtcadmin44"/>
    <s v="qwerty"/>
    <n v="4824423646"/>
    <s v="good and online"/>
    <x v="0"/>
    <x v="3"/>
    <d v="2020-10-16T00:00:00"/>
    <s v="Macarling, Federico"/>
    <n v="123456"/>
    <s v="no"/>
    <s v="M001170038"/>
    <d v="2020-10-16T12:00:09"/>
    <x v="1"/>
  </r>
  <r>
    <x v="3"/>
    <x v="58"/>
    <x v="4"/>
    <s v="C024"/>
    <d v="2019-10-12T00:00:00"/>
    <s v="hikvision"/>
    <n v="3"/>
    <s v="gtcAdmin24"/>
    <s v="qwerty"/>
    <n v="4822423646019"/>
    <s v="Good"/>
    <x v="0"/>
    <x v="0"/>
    <d v="2020-10-16T00:00:00"/>
    <s v="Macarling, Federico"/>
    <n v="123456"/>
    <s v="no"/>
    <s v="M001170038"/>
    <d v="2020-10-16T16:11:33"/>
    <x v="1"/>
  </r>
  <r>
    <x v="3"/>
    <x v="59"/>
    <x v="4"/>
    <s v="C066"/>
    <d v="2019-09-21T00:00:00"/>
    <s v="hikvision"/>
    <n v="3"/>
    <s v="gtcAdmin66"/>
    <s v="qwerty"/>
    <s v="qwerty"/>
    <s v="OFFLINE TO HIKCONNECT"/>
    <x v="1"/>
    <x v="1"/>
    <d v="2020-10-16T00:00:00"/>
    <s v="Macarling, Federico"/>
    <n v="123456"/>
    <s v="n/a"/>
    <s v="M001170038"/>
    <d v="2020-10-16T16:12:09"/>
    <x v="1"/>
  </r>
  <r>
    <x v="3"/>
    <x v="60"/>
    <x v="4"/>
    <s v="C032"/>
    <d v="2019-09-21T00:00:00"/>
    <s v="hikvision"/>
    <n v="3"/>
    <s v="gtcAdmin32"/>
    <s v="qwerty"/>
    <s v="qwerty"/>
    <s v="OFFLINE TO HIKCONNECT"/>
    <x v="1"/>
    <x v="1"/>
    <d v="2020-10-16T00:00:00"/>
    <s v="Macarling, Federico"/>
    <n v="123456"/>
    <s v="no"/>
    <s v="M001170038"/>
    <d v="2020-10-16T16:12:29"/>
    <x v="1"/>
  </r>
  <r>
    <x v="3"/>
    <x v="61"/>
    <x v="4"/>
    <s v="C069"/>
    <d v="2019-09-21T00:00:00"/>
    <s v="hikvision"/>
    <n v="3"/>
    <s v="gtcAdmin69"/>
    <s v="qwerty"/>
    <s v="qwerty"/>
    <s v="CAM 2,3 AND 4 NO VIDEO. FOR VISIT ASAP"/>
    <x v="0"/>
    <x v="1"/>
    <d v="2020-10-16T00:00:00"/>
    <s v="Macarling, Federico"/>
    <n v="123456"/>
    <s v="no"/>
    <s v="M001170038"/>
    <d v="2020-10-16T13:15:18"/>
    <x v="1"/>
  </r>
  <r>
    <x v="3"/>
    <x v="62"/>
    <x v="4"/>
    <s v="C076"/>
    <d v="2019-03-08T00:00:00"/>
    <s v="hikvison"/>
    <n v="3"/>
    <s v="gtcadmin76"/>
    <s v="qwerty"/>
    <s v="qwerty"/>
    <s v="NOT YET ADDED TO HIKCONNECT"/>
    <x v="1"/>
    <x v="1"/>
    <d v="2020-10-16T00:00:00"/>
    <s v="Macarling, Federico"/>
    <n v="123456"/>
    <s v="n/a"/>
    <s v="M001170038"/>
    <d v="2020-10-16T16:12:49"/>
    <x v="1"/>
  </r>
  <r>
    <x v="3"/>
    <x v="63"/>
    <x v="4"/>
    <s v="C054"/>
    <d v="2019-09-21T00:00:00"/>
    <s v="generic"/>
    <n v="4"/>
    <s v="gtcadmin54"/>
    <s v="qwerty"/>
    <s v="qwerty"/>
    <s v="NOT YET ADDED TO HIKCONNECT. FOR VISIT. for replacement DVR"/>
    <x v="1"/>
    <x v="1"/>
    <d v="2020-10-16T00:00:00"/>
    <s v="Macarling, Federico"/>
    <n v="12345"/>
    <s v="-"/>
    <s v="M001170038"/>
    <d v="2020-10-16T16:13:14"/>
    <x v="1"/>
  </r>
  <r>
    <x v="3"/>
    <x v="64"/>
    <x v="4"/>
    <s v="C091"/>
    <d v="2020-09-01T00:00:00"/>
    <s v="hikvision"/>
    <n v="4"/>
    <s v="gtcAdmin91"/>
    <s v="GUANZON_C091"/>
    <s v="realme4826966477"/>
    <s v="For Installation"/>
    <x v="1"/>
    <x v="5"/>
    <d v="2020-10-16T00:00:00"/>
    <s v="Macarling, Federico"/>
    <n v="123456"/>
    <s v="n/a"/>
    <s v="M001170038"/>
    <d v="2020-10-16T13:17:38"/>
    <x v="1"/>
  </r>
  <r>
    <x v="3"/>
    <x v="65"/>
    <x v="4"/>
    <s v="C075"/>
    <d v="2019-03-08T00:00:00"/>
    <s v="hikvision"/>
    <n v="4"/>
    <s v="gtcAdmin75"/>
    <s v="qwerty"/>
    <s v="qwerty"/>
    <s v="offline dvr to hikconnect and thru lan.. NOT YET ADD TO HIKCONNECT"/>
    <x v="1"/>
    <x v="1"/>
    <d v="2020-10-16T00:00:00"/>
    <s v="Macarling, Federico"/>
    <n v="123456"/>
    <s v="n/a"/>
    <s v="M001170038"/>
    <d v="2020-10-16T13:17:20"/>
    <x v="1"/>
  </r>
  <r>
    <x v="3"/>
    <x v="66"/>
    <x v="4"/>
    <s v="C056"/>
    <d v="2019-09-21T00:00:00"/>
    <s v="hikvision"/>
    <n v="4"/>
    <s v="gtcAdmin56"/>
    <s v="qwerty"/>
    <s v="qwerty"/>
    <s v="hdd not recording/beeping cctv recorder. DVR and CCTV POwer supply - for replacement"/>
    <x v="1"/>
    <x v="1"/>
    <d v="2020-10-16T00:00:00"/>
    <s v="Macarling, Federico"/>
    <n v="123456"/>
    <s v="no"/>
    <s v="M001170038"/>
    <d v="2020-10-16T13:16:50"/>
    <x v="1"/>
  </r>
  <r>
    <x v="3"/>
    <x v="67"/>
    <x v="4"/>
    <s v="C025"/>
    <d v="2019-09-21T00:00:00"/>
    <s v="dvs-dvr"/>
    <n v="3"/>
    <s v="gtcAdmin25"/>
    <s v="qwerty"/>
    <s v="qwerty"/>
    <s v="good/online"/>
    <x v="0"/>
    <x v="0"/>
    <d v="2020-10-16T00:00:00"/>
    <s v="Macarling, Federico"/>
    <n v="123456"/>
    <s v="n/a"/>
    <s v="M001170038"/>
    <d v="2020-10-16T13:14:00"/>
    <x v="1"/>
  </r>
  <r>
    <x v="3"/>
    <x v="68"/>
    <x v="4"/>
    <s v="C057"/>
    <d v="2019-09-21T00:00:00"/>
    <s v="hikvision"/>
    <n v="4"/>
    <s v="gtcAdmin57"/>
    <s v="qwerty"/>
    <s v="qwerty"/>
    <s v="camera 1 and camera 3 - no video. REWIRINGS AND REPLACE CCTV POWER SUPPLY. FOR VISIT"/>
    <x v="0"/>
    <x v="1"/>
    <d v="2020-10-16T00:00:00"/>
    <s v="Macarling, Federico"/>
    <n v="123456"/>
    <s v="n/a"/>
    <s v="M001170038"/>
    <d v="2020-10-16T11:58:46"/>
    <x v="1"/>
  </r>
  <r>
    <x v="4"/>
    <x v="69"/>
    <x v="5"/>
    <s v="C077"/>
    <d v="2019-09-21T00:00:00"/>
    <s v="hikvision"/>
    <n v="4"/>
    <s v="gtcAdmin77"/>
    <s v="qwerty"/>
    <s v="qwerty"/>
    <s v="OFFLINE. FOR VISIT"/>
    <x v="1"/>
    <x v="1"/>
    <d v="2020-10-19T00:00:00"/>
    <s v="Macarling, Federico"/>
    <n v="123456"/>
    <s v="n/a"/>
    <s v="M001170038"/>
    <d v="2020-10-19T11:21:05"/>
    <x v="1"/>
  </r>
  <r>
    <x v="4"/>
    <x v="70"/>
    <x v="5"/>
    <s v="C045"/>
    <d v="2019-09-21T00:00:00"/>
    <s v="hikvision"/>
    <n v="4"/>
    <s v="gtcAdmin45"/>
    <s v="qwert"/>
    <s v="qwerty"/>
    <s v="offline. for visit"/>
    <x v="1"/>
    <x v="1"/>
    <d v="2020-10-19T00:00:00"/>
    <s v="Macarling, Federico"/>
    <n v="123456"/>
    <s v="n/a"/>
    <s v="M001170038"/>
    <d v="2020-10-19T11:21:32"/>
    <x v="1"/>
  </r>
  <r>
    <x v="4"/>
    <x v="71"/>
    <x v="5"/>
    <s v="C031"/>
    <d v="2019-09-21T00:00:00"/>
    <s v="hikvision"/>
    <n v="3"/>
    <s v="gtcAdmin31"/>
    <s v="qwerty"/>
    <s v="qwerty"/>
    <s v="good/online"/>
    <x v="0"/>
    <x v="0"/>
    <d v="2020-10-19T00:00:00"/>
    <s v="Macarling, Federico"/>
    <n v="123456"/>
    <s v="n/a"/>
    <s v="M001170038"/>
    <d v="2020-10-19T11:21:53"/>
    <x v="1"/>
  </r>
  <r>
    <x v="4"/>
    <x v="72"/>
    <x v="5"/>
    <s v="C021"/>
    <d v="2019-09-21T00:00:00"/>
    <s v="hikvision"/>
    <n v="4"/>
    <s v="gtcAdmin21"/>
    <s v="qwerty"/>
    <n v="4822123646"/>
    <s v="old dvr for replace"/>
    <x v="1"/>
    <x v="1"/>
    <d v="2020-10-19T00:00:00"/>
    <s v="Macarling, Federico"/>
    <n v="123456"/>
    <s v="n/a"/>
    <s v="M001170038"/>
    <d v="2020-10-19T11:27:39"/>
    <x v="1"/>
  </r>
  <r>
    <x v="4"/>
    <x v="73"/>
    <x v="5"/>
    <s v="C028"/>
    <d v="2019-09-21T00:00:00"/>
    <s v="hikvision"/>
    <n v="3"/>
    <s v="gtcAdmin28"/>
    <s v="qwerty"/>
    <s v="qwerty"/>
    <s v="Good "/>
    <x v="0"/>
    <x v="0"/>
    <d v="2020-10-19T00:00:00"/>
    <s v="Macarling, Federico"/>
    <n v="123456"/>
    <s v="n/a"/>
    <s v="M001170038"/>
    <d v="2020-10-19T11:27:22"/>
    <x v="1"/>
  </r>
  <r>
    <x v="4"/>
    <x v="74"/>
    <x v="5"/>
    <s v="C018"/>
    <d v="2019-09-21T00:00:00"/>
    <s v="hikvision "/>
    <n v="4"/>
    <s v="gtcAdmin18"/>
    <s v="qwerty"/>
    <n v="4821823646"/>
    <s v="OFFLINE. FOR VISIT"/>
    <x v="1"/>
    <x v="1"/>
    <d v="2020-10-19T00:00:00"/>
    <s v="Macarling, Federico"/>
    <n v="123456"/>
    <s v="n/a"/>
    <s v="M001170038"/>
    <d v="2020-10-19T11:28:01"/>
    <x v="1"/>
  </r>
  <r>
    <x v="4"/>
    <x v="75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4"/>
    <x v="76"/>
    <x v="5"/>
    <s v="C060"/>
    <d v="2019-09-21T00:00:00"/>
    <s v="hikvision"/>
    <n v="3"/>
    <s v="gtcAdmin60"/>
    <s v="qwerty"/>
    <s v="qwerty"/>
    <s v="NO VIDEO ALL CAMERA. PROBLEM: CCTV POWER SUPPLY"/>
    <x v="0"/>
    <x v="1"/>
    <d v="2020-10-19T00:00:00"/>
    <s v="Macarling, Federico"/>
    <n v="123456"/>
    <s v="n/a"/>
    <s v="M001170038"/>
    <d v="2020-10-19T11:30:04"/>
    <x v="1"/>
  </r>
  <r>
    <x v="4"/>
    <x v="77"/>
    <x v="5"/>
    <s v="C053"/>
    <d v="2019-09-21T00:00:00"/>
    <s v="hikvision"/>
    <n v="3"/>
    <s v="gtcAdmin53"/>
    <s v="qwerty"/>
    <n v="4825323646"/>
    <s v="good/online to hikconnect"/>
    <x v="0"/>
    <x v="0"/>
    <d v="2020-10-19T00:00:00"/>
    <s v="Macarling, Federico"/>
    <n v="123456"/>
    <s v="n/a"/>
    <s v="M001170038"/>
    <d v="2020-10-19T11:32:20"/>
    <x v="1"/>
  </r>
  <r>
    <x v="4"/>
    <x v="78"/>
    <x v="5"/>
    <s v="C016"/>
    <d v="2019-05-30T00:00:00"/>
    <s v="DVR-DVS"/>
    <n v="4"/>
    <s v="gtcAdmin16"/>
    <s v="qwerty"/>
    <s v="qwerty"/>
    <s v="need to replace dvr. can't add to hikconnect. for visit"/>
    <x v="1"/>
    <x v="1"/>
    <d v="2020-10-19T00:00:00"/>
    <s v="Macarling, Federico"/>
    <n v="123456"/>
    <s v="n/a"/>
    <s v="M001170038"/>
    <d v="2020-10-19T11:32:43"/>
    <x v="1"/>
  </r>
  <r>
    <x v="4"/>
    <x v="79"/>
    <x v="5"/>
    <s v="C037"/>
    <d v="2019-09-21T00:00:00"/>
    <s v="hikvision"/>
    <n v="4"/>
    <s v="gtcAdmin37"/>
    <s v="qwerty"/>
    <n v="48203723646019"/>
    <s v="CAMERA 2, 3, AND 4 NO VIDEO.FOR VISIT ASAP"/>
    <x v="0"/>
    <x v="1"/>
    <d v="2020-10-19T00:00:00"/>
    <s v="Macarling, Federico"/>
    <n v="123456"/>
    <s v="n/a"/>
    <s v="M001170038"/>
    <d v="2020-10-19T11:33:02"/>
    <x v="1"/>
  </r>
  <r>
    <x v="4"/>
    <x v="80"/>
    <x v="5"/>
    <s v="C090"/>
    <d v="2020-09-01T00:00:00"/>
    <s v="hikvision"/>
    <n v="4"/>
    <s v="gtcAdmin90"/>
    <s v="GUANZON_C090"/>
    <s v="oppo4826966477"/>
    <s v="not yet added to hikconnect"/>
    <x v="1"/>
    <x v="1"/>
    <d v="2020-10-19T00:00:00"/>
    <s v="Macarling, Federico"/>
    <n v="123456"/>
    <s v="n/a"/>
    <s v="M001170038"/>
    <d v="2020-10-19T11:34:38"/>
    <x v="1"/>
  </r>
  <r>
    <x v="4"/>
    <x v="81"/>
    <x v="5"/>
    <s v="C052"/>
    <d v="2019-09-21T00:00:00"/>
    <s v="hikvision"/>
    <n v="4"/>
    <s v="gtcAdmin52"/>
    <s v="qwerty"/>
    <s v="qwerty"/>
    <s v="OFFLINE. FOR VISIT"/>
    <x v="1"/>
    <x v="1"/>
    <d v="2020-10-19T00:00:00"/>
    <s v="Macarling, Federico"/>
    <n v="123456"/>
    <s v="n/a"/>
    <s v="M001170038"/>
    <d v="2020-10-19T11:34:57"/>
    <x v="1"/>
  </r>
  <r>
    <x v="4"/>
    <x v="82"/>
    <x v="5"/>
    <s v="C046"/>
    <d v="2019-09-21T00:00:00"/>
    <s v="hikvision"/>
    <n v="4"/>
    <s v="gtcadmin46"/>
    <s v="qwerty"/>
    <s v="qwerty"/>
    <s v="blur in cam 3 and no video cam4. for visit"/>
    <x v="1"/>
    <x v="1"/>
    <d v="2020-10-19T00:00:00"/>
    <s v="Macarling, Federico"/>
    <n v="123456"/>
    <s v="n/a"/>
    <s v="M001170038"/>
    <d v="2020-10-19T11:35:19"/>
    <x v="1"/>
  </r>
  <r>
    <x v="4"/>
    <x v="83"/>
    <x v="5"/>
    <s v="C061"/>
    <d v="2019-09-21T00:00:00"/>
    <s v="hikvision"/>
    <n v="4"/>
    <s v="gtcAdmin61"/>
    <s v="qwerty"/>
    <s v="192.168.1.100:1945"/>
    <s v="ALL CAMERA NO VIDEO. FOR VISIT ASAP"/>
    <x v="0"/>
    <x v="1"/>
    <d v="2020-10-19T00:00:00"/>
    <s v="Macarling, Federico"/>
    <n v="123456"/>
    <s v="n/a"/>
    <s v="M001170038"/>
    <d v="2020-10-19T11:36:16"/>
    <x v="1"/>
  </r>
  <r>
    <x v="5"/>
    <x v="84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5"/>
    <x v="85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5"/>
    <x v="86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5"/>
    <x v="87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5"/>
    <x v="88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5"/>
    <x v="89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5"/>
    <x v="90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6"/>
    <x v="91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6"/>
    <x v="92"/>
    <x v="6"/>
    <s v="GK01"/>
    <d v="1990-01-01T00:00:00"/>
    <s v="hikvision"/>
    <n v="8"/>
    <s v="G44223646123"/>
    <s v="GK WIFI GUESTS"/>
    <s v="voucher password"/>
    <s v="GOOD. ONLINE"/>
    <x v="0"/>
    <x v="0"/>
    <d v="2020-10-26T00:00:00"/>
    <s v="Macarling, Federico"/>
    <n v="123456"/>
    <s v="no"/>
    <s v="M001170038"/>
    <d v="2020-10-26T10:02:42"/>
    <x v="1"/>
  </r>
  <r>
    <x v="6"/>
    <x v="93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6"/>
    <x v="94"/>
    <x v="6"/>
    <s v="GMO1"/>
    <d v="2019-01-01T00:00:00"/>
    <s v="hikvision"/>
    <n v="36"/>
    <n v="48269661945029"/>
    <s v="GMO Wifi"/>
    <s v="GMO48269661945"/>
    <s v="good/online to hikconnect"/>
    <x v="0"/>
    <x v="0"/>
    <d v="2020-10-26T00:00:00"/>
    <s v="Macarling, Federico"/>
    <n v="123456"/>
    <s v="-"/>
    <s v="M001170038"/>
    <d v="2020-10-26T10:02:55"/>
    <x v="1"/>
  </r>
  <r>
    <x v="7"/>
    <x v="95"/>
    <x v="7"/>
    <s v="M073"/>
    <d v="2018-01-01T00:00:00"/>
    <s v="Hikvission"/>
    <n v="4"/>
    <s v="ggcAdmin73"/>
    <s v="qrty"/>
    <n v="1234"/>
    <s v="good and online, ISP: Globe"/>
    <x v="0"/>
    <x v="0"/>
    <d v="2020-10-26T00:00:00"/>
    <s v="Macarling, Federico"/>
    <n v="123456"/>
    <s v="yes"/>
    <s v="M001170038"/>
    <d v="2020-10-26T15:00:36"/>
    <x v="1"/>
  </r>
  <r>
    <x v="7"/>
    <x v="96"/>
    <x v="7"/>
    <s v="M103"/>
    <d v="2018-01-01T00:00:00"/>
    <s v="Hikvission"/>
    <n v="4"/>
    <s v="ggcAdmin103"/>
    <s v="qwerty"/>
    <n v="1234"/>
    <s v="CAMERA 6 NO VIDEO @ Service Area"/>
    <x v="0"/>
    <x v="1"/>
    <d v="2020-10-26T00:00:00"/>
    <s v="Macarling, Federico"/>
    <n v="123456"/>
    <s v="yes"/>
    <s v="M001170038"/>
    <d v="2020-10-26T14:57:02"/>
    <x v="1"/>
  </r>
  <r>
    <x v="7"/>
    <x v="97"/>
    <x v="7"/>
    <s v="M027"/>
    <d v="2018-01-01T00:00:00"/>
    <s v="Hikvission"/>
    <n v="4"/>
    <s v="ggcAdmin27"/>
    <s v="qwrty"/>
    <n v="1234"/>
    <s v="not yet added to hikconnect"/>
    <x v="1"/>
    <x v="1"/>
    <d v="2020-10-26T00:00:00"/>
    <s v="Macarling, Federico"/>
    <n v="123456"/>
    <s v="yes"/>
    <s v="M001170038"/>
    <d v="2020-10-26T15:00:14"/>
    <x v="1"/>
  </r>
  <r>
    <x v="7"/>
    <x v="98"/>
    <x v="7"/>
    <s v="M138"/>
    <d v="2018-01-01T00:00:00"/>
    <s v="Hikvission"/>
    <n v="4"/>
    <s v="ggcAdmin138"/>
    <s v="MCC_GUANZON_M138"/>
    <n v="442013823646"/>
    <s v="good/online"/>
    <x v="0"/>
    <x v="0"/>
    <d v="2020-10-26T00:00:00"/>
    <s v="Macarling, Federico"/>
    <n v="123456"/>
    <s v="yes"/>
    <s v="M001170038"/>
    <d v="2020-10-26T14:59:33"/>
    <x v="1"/>
  </r>
  <r>
    <x v="7"/>
    <x v="99"/>
    <x v="7"/>
    <s v="M078"/>
    <d v="2018-01-01T00:00:00"/>
    <s v="Hikvission"/>
    <n v="4"/>
    <s v="ggcAdmin78"/>
    <s v="qwerty"/>
    <n v="1234"/>
    <s v="defective dvr/ for replace.. For issuance of new DVR"/>
    <x v="1"/>
    <x v="1"/>
    <d v="2020-10-26T00:00:00"/>
    <s v="Macarling, Federico"/>
    <s v="AWSFVD"/>
    <s v="yes"/>
    <s v="M001170038"/>
    <d v="2020-10-26T10:05:18"/>
    <x v="1"/>
  </r>
  <r>
    <x v="7"/>
    <x v="100"/>
    <x v="7"/>
    <s v="M012"/>
    <d v="2018-10-02T00:00:00"/>
    <s v="Hikvission"/>
    <n v="4"/>
    <s v="ggcAdmin12"/>
    <s v="qwe"/>
    <s v="qwerty"/>
    <s v="good/online"/>
    <x v="0"/>
    <x v="0"/>
    <d v="2020-10-26T00:00:00"/>
    <s v="Macarling, Federico"/>
    <s v="SNVBHI"/>
    <s v="yes"/>
    <s v="M001170038"/>
    <d v="2020-10-26T14:58:36"/>
    <x v="1"/>
  </r>
  <r>
    <x v="7"/>
    <x v="101"/>
    <x v="7"/>
    <s v="M017"/>
    <d v="2018-01-01T00:00:00"/>
    <s v="Hikvission"/>
    <n v="4"/>
    <s v="ggcAdmin17"/>
    <s v="qwerty"/>
    <n v="1234"/>
    <s v="offline. need to check the pldt port only 1 is working"/>
    <x v="1"/>
    <x v="1"/>
    <d v="2020-10-26T00:00:00"/>
    <s v="Macarling, Federico"/>
    <s v="OTPXXH"/>
    <s v="yes"/>
    <s v="M001170038"/>
    <d v="2020-10-26T14:58:14"/>
    <x v="1"/>
  </r>
  <r>
    <x v="7"/>
    <x v="102"/>
    <x v="7"/>
    <s v="M030"/>
    <d v="2018-01-01T00:00:00"/>
    <s v="Hikvission"/>
    <n v="4"/>
    <s v="ggcAdmin30"/>
    <s v="qwerty"/>
    <n v="1234"/>
    <s v="Offline to hikconnect"/>
    <x v="1"/>
    <x v="1"/>
    <d v="2020-10-26T00:00:00"/>
    <s v="Macarling, Federico"/>
    <s v="CHPOTD"/>
    <s v="yes"/>
    <s v="M001170038"/>
    <d v="2020-10-26T10:04:46"/>
    <x v="1"/>
  </r>
  <r>
    <x v="7"/>
    <x v="103"/>
    <x v="7"/>
    <s v="M029"/>
    <d v="2019-10-07T00:00:00"/>
    <s v="HIK"/>
    <n v="4"/>
    <n v="12415"/>
    <s v="roosevelt"/>
    <n v="2345"/>
    <s v="Online ang DVR sa roosevelt except ung GMO Gates CCTV - oflfine"/>
    <x v="0"/>
    <x v="0"/>
    <d v="2020-10-26T00:00:00"/>
    <s v="Macarling, Federico"/>
    <n v="123456"/>
    <s v="yes"/>
    <s v="M001170038"/>
    <d v="2020-10-26T14:58:55"/>
    <x v="1"/>
  </r>
  <r>
    <x v="7"/>
    <x v="104"/>
    <x v="7"/>
    <s v="M026"/>
    <d v="2018-01-01T00:00:00"/>
    <s v="Hikvission"/>
    <n v="4"/>
    <s v="ggcAdmin26"/>
    <s v="qerty"/>
    <n v="1234"/>
    <s v="good/online"/>
    <x v="0"/>
    <x v="0"/>
    <d v="2020-10-26T00:00:00"/>
    <s v="Macarling, Federico"/>
    <s v="fgzugz"/>
    <s v="yes"/>
    <s v="M001170038"/>
    <d v="2020-10-26T14:57:24"/>
    <x v="1"/>
  </r>
  <r>
    <x v="7"/>
    <x v="105"/>
    <x v="7"/>
    <s v="M034"/>
    <d v="2018-01-01T00:00:00"/>
    <s v="Hikvission"/>
    <n v="4"/>
    <s v="ggcAdmin34"/>
    <s v="PLDTWifi"/>
    <n v="44234023656019"/>
    <s v="good/online"/>
    <x v="0"/>
    <x v="0"/>
    <d v="2020-10-26T00:00:00"/>
    <s v="Macarling, Federico"/>
    <s v="QHKXTT"/>
    <s v="yes"/>
    <s v="M001170038"/>
    <d v="2020-10-26T14:57:39"/>
    <x v="1"/>
  </r>
  <r>
    <x v="8"/>
    <x v="106"/>
    <x v="8"/>
    <s v="M041"/>
    <d v="2019-09-22T00:00:00"/>
    <s v="hikvision"/>
    <n v="4"/>
    <s v="ggcAdmin41"/>
    <s v="qwerty"/>
    <n v="44204123646"/>
    <s v="offline to hikconnect. can't access thru local ip address"/>
    <x v="1"/>
    <x v="1"/>
    <d v="2020-11-27T00:00:00"/>
    <s v="Macarling, Federico"/>
    <s v="EFSLMC"/>
    <s v="--"/>
    <s v="M001170038"/>
    <d v="2020-11-27T13:55:43"/>
    <x v="0"/>
  </r>
  <r>
    <x v="8"/>
    <x v="107"/>
    <x v="8"/>
    <s v="M016"/>
    <d v="2019-09-20T00:00:00"/>
    <s v="hikvision"/>
    <n v="4"/>
    <s v="ggcAdmin16"/>
    <s v="qwrty"/>
    <s v="vigan44201623646"/>
    <s v="all camera no video. for replacement cctv power supply"/>
    <x v="0"/>
    <x v="1"/>
    <d v="2020-11-27T00:00:00"/>
    <s v="Macarling, Federico"/>
    <s v="VEBHRV"/>
    <s v="--"/>
    <s v="M001170038"/>
    <d v="2020-11-27T14:01:56"/>
    <x v="0"/>
  </r>
  <r>
    <x v="8"/>
    <x v="108"/>
    <x v="8"/>
    <s v="M031"/>
    <d v="2019-09-20T00:00:00"/>
    <s v="hikvision"/>
    <n v="4"/>
    <s v="ggcAdmin31"/>
    <s v="qwrty"/>
    <n v="44203123646"/>
    <s v="CAMERA 1 AT SERVICE AREA CAMERA BLUR"/>
    <x v="0"/>
    <x v="1"/>
    <d v="2020-11-27T00:00:00"/>
    <s v="Macarling, Federico"/>
    <s v="ZRNWTF"/>
    <s v="--"/>
    <s v="M001170038"/>
    <d v="2020-11-27T13:59:16"/>
    <x v="0"/>
  </r>
  <r>
    <x v="8"/>
    <x v="109"/>
    <x v="8"/>
    <s v="M024"/>
    <d v="2019-10-10T00:00:00"/>
    <s v="hikvision"/>
    <n v="4"/>
    <s v="ggcAdmin24"/>
    <s v="qwrty"/>
    <s v="GUANZON44202423646"/>
    <s v="ALL CAMERA NO VIDEO. for visit need to replace cctv power supply"/>
    <x v="1"/>
    <x v="1"/>
    <d v="2020-11-27T00:00:00"/>
    <s v="Macarling, Federico"/>
    <s v="XQYQPZ"/>
    <s v="--"/>
    <s v="M001170038"/>
    <d v="2020-11-27T13:58:55"/>
    <x v="0"/>
  </r>
  <r>
    <x v="8"/>
    <x v="110"/>
    <x v="8"/>
    <s v="M157"/>
    <d v="2019-12-23T00:00:00"/>
    <s v="hikvision"/>
    <n v="4"/>
    <s v="G44223646157"/>
    <s v="GUANZON_M157"/>
    <n v="44215723646"/>
    <s v="NO VIDEO CAMERA 4. FOR VISIT"/>
    <x v="0"/>
    <x v="1"/>
    <d v="2020-11-27T00:00:00"/>
    <s v="Macarling, Federico"/>
    <n v="123456"/>
    <s v="no"/>
    <s v="M001170038"/>
    <d v="2020-11-27T13:41:59"/>
    <x v="0"/>
  </r>
  <r>
    <x v="8"/>
    <x v="111"/>
    <x v="8"/>
    <s v="M165"/>
    <d v="2020-09-01T00:00:00"/>
    <s v="hikvision"/>
    <n v="4"/>
    <s v="ggcAdmin165"/>
    <s v="GUANZON_m165"/>
    <s v="mcc4826966477"/>
    <s v="not yet added to hikconnect"/>
    <x v="1"/>
    <x v="1"/>
    <d v="2020-11-27T00:00:00"/>
    <s v="Macarling, Federico"/>
    <n v="123456"/>
    <s v="n/a"/>
    <s v="M001170038"/>
    <d v="2020-11-27T14:48:19"/>
    <x v="0"/>
  </r>
  <r>
    <x v="8"/>
    <x v="112"/>
    <x v="8"/>
    <s v="M036"/>
    <d v="2019-05-17T00:00:00"/>
    <s v="hikvision"/>
    <n v="4"/>
    <s v="ggcAdmin36"/>
    <s v="qwerty"/>
    <s v="qwerty"/>
    <s v="good and online"/>
    <x v="0"/>
    <x v="0"/>
    <d v="2020-11-27T00:00:00"/>
    <s v="Macarling, Federico"/>
    <s v="XDZRUT"/>
    <s v="--"/>
    <s v="M001170038"/>
    <d v="2020-11-27T13:58:32"/>
    <x v="0"/>
  </r>
  <r>
    <x v="8"/>
    <x v="113"/>
    <x v="8"/>
    <s v="M082"/>
    <d v="2019-06-13T00:00:00"/>
    <s v="hikvision"/>
    <n v="4"/>
    <s v="ggcAdmin82"/>
    <s v="qwerty"/>
    <s v="qwerty"/>
    <s v="need to fix lan cable to dvr internet. offline to hikconnect"/>
    <x v="1"/>
    <x v="1"/>
    <d v="2020-11-27T00:00:00"/>
    <s v="Macarling, Federico"/>
    <s v="SEMFAD"/>
    <s v="--"/>
    <s v="M001170038"/>
    <d v="2020-11-27T13:52:15"/>
    <x v="0"/>
  </r>
  <r>
    <x v="8"/>
    <x v="114"/>
    <x v="8"/>
    <s v="M104"/>
    <d v="2019-09-22T00:00:00"/>
    <s v="hikvision"/>
    <n v="4"/>
    <s v="ggcAdmin104"/>
    <s v="qwerty"/>
    <n v="44210423646"/>
    <s v="good and online"/>
    <x v="0"/>
    <x v="0"/>
    <d v="2020-11-27T00:00:00"/>
    <s v="Macarling, Federico"/>
    <n v="123456"/>
    <s v="--"/>
    <s v="M001170038"/>
    <d v="2020-11-27T13:59:46"/>
    <x v="0"/>
  </r>
  <r>
    <x v="8"/>
    <x v="115"/>
    <x v="8"/>
    <s v="M055"/>
    <d v="2019-09-20T00:00:00"/>
    <s v="hikvision"/>
    <n v="4"/>
    <s v="ggcAdmin55"/>
    <s v="qwerty"/>
    <n v="44205523646"/>
    <s v="offline to hikconnect. for visit"/>
    <x v="1"/>
    <x v="1"/>
    <d v="2020-11-27T00:00:00"/>
    <s v="Macarling, Federico"/>
    <s v="FSETPK"/>
    <s v="--"/>
    <s v="M001170038"/>
    <d v="2020-11-27T14:00:42"/>
    <x v="0"/>
  </r>
  <r>
    <x v="8"/>
    <x v="116"/>
    <x v="8"/>
    <s v="M072"/>
    <d v="2019-10-10T00:00:00"/>
    <s v="hikvision"/>
    <n v="4"/>
    <s v="ggcAdmin72"/>
    <s v="qwerty"/>
    <s v="G44207223646"/>
    <s v="FOR VISIT. INSTALL NEW CCTV. NOT YET ADDED TO HIKCONNECT"/>
    <x v="1"/>
    <x v="6"/>
    <d v="2020-11-27T00:00:00"/>
    <s v="Macarling, Federico"/>
    <s v="--"/>
    <s v="--"/>
    <s v="M001170038"/>
    <d v="2020-11-27T14:02:57"/>
    <x v="0"/>
  </r>
  <r>
    <x v="8"/>
    <x v="117"/>
    <x v="8"/>
    <s v="M009"/>
    <d v="2019-09-20T00:00:00"/>
    <s v="hikvision"/>
    <n v="4"/>
    <s v="ggcAdmin09"/>
    <s v="qwrty"/>
    <n v="44200923646"/>
    <s v="CAMERA 1,2 AND 3 NO VIDEO. FOR VISIT.ASAP"/>
    <x v="0"/>
    <x v="1"/>
    <d v="2020-11-27T00:00:00"/>
    <s v="Macarling, Federico"/>
    <s v="JVTKIC"/>
    <s v="--"/>
    <s v="M001170038"/>
    <d v="2020-11-27T14:01:37"/>
    <x v="0"/>
  </r>
  <r>
    <x v="8"/>
    <x v="118"/>
    <x v="8"/>
    <s v="M056"/>
    <d v="2019-09-20T00:00:00"/>
    <s v="hikvision"/>
    <n v="4"/>
    <s v="ggcAdmin56"/>
    <s v="qwerty"/>
    <s v="qwerty"/>
    <s v="good and online"/>
    <x v="0"/>
    <x v="0"/>
    <d v="2020-11-27T00:00:00"/>
    <s v="Macarling, Federico"/>
    <s v="GEFQGU"/>
    <s v="--"/>
    <s v="M001170038"/>
    <d v="2020-11-27T14:00:10"/>
    <x v="0"/>
  </r>
  <r>
    <x v="8"/>
    <x v="119"/>
    <x v="8"/>
    <s v="M144"/>
    <d v="2019-09-23T00:00:00"/>
    <s v="hikvision"/>
    <n v="4"/>
    <s v="ggcAdmin144"/>
    <s v="qwerty"/>
    <s v="qwerty"/>
    <s v="offline to hikconnect"/>
    <x v="1"/>
    <x v="0"/>
    <d v="2020-11-27T00:00:00"/>
    <s v="Macarling, Federico"/>
    <s v="ZRNWTF"/>
    <s v="--"/>
    <s v="M001170038"/>
    <d v="2020-11-27T13:57:26"/>
    <x v="0"/>
  </r>
  <r>
    <x v="8"/>
    <x v="120"/>
    <x v="8"/>
    <s v="M102"/>
    <d v="2019-09-20T00:00:00"/>
    <s v="hikvision"/>
    <n v="4"/>
    <s v="ggcAdmin102"/>
    <s v="qwerty"/>
    <s v="qwerty"/>
    <s v="camera 4 NO VIDEO. FOR VISIT"/>
    <x v="0"/>
    <x v="1"/>
    <d v="2020-11-27T00:00:00"/>
    <s v="Macarling, Federico"/>
    <s v="YLYHVG"/>
    <s v="--"/>
    <s v="M001170038"/>
    <d v="2020-11-27T13:57:57"/>
    <x v="0"/>
  </r>
  <r>
    <x v="8"/>
    <x v="121"/>
    <x v="8"/>
    <s v="M049"/>
    <d v="2019-09-20T00:00:00"/>
    <s v="hikvision"/>
    <n v="4"/>
    <s v="ggcAdmin49"/>
    <s v="qwerty"/>
    <n v="44204923646"/>
    <s v="no video all camera/ possible defective cctv centralize power supply"/>
    <x v="0"/>
    <x v="1"/>
    <d v="2020-11-27T00:00:00"/>
    <s v="Macarling, Federico"/>
    <s v="BVAPZL"/>
    <s v="--"/>
    <s v="M001170038"/>
    <d v="2020-11-27T14:01:05"/>
    <x v="0"/>
  </r>
  <r>
    <x v="9"/>
    <x v="122"/>
    <x v="9"/>
    <s v="M023"/>
    <d v="2019-01-01T00:00:00"/>
    <s v="hikvision"/>
    <n v="4"/>
    <s v="ggcAdmin23"/>
    <s v="qwerty"/>
    <n v="1234"/>
    <s v="good and online"/>
    <x v="0"/>
    <x v="0"/>
    <d v="2020-11-27T00:00:00"/>
    <s v="Macarling, Federico"/>
    <s v="JWUUHH"/>
    <s v="--"/>
    <s v="M001170038"/>
    <d v="2020-11-27T14:50:45"/>
    <x v="0"/>
  </r>
  <r>
    <x v="9"/>
    <x v="123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9"/>
    <x v="124"/>
    <x v="9"/>
    <s v="M003"/>
    <d v="2019-01-01T00:00:00"/>
    <s v="hikvision"/>
    <n v="4"/>
    <s v="ggcAdmin03"/>
    <s v="qwety"/>
    <n v="1234"/>
    <s v="offline to hikconnect. for visit"/>
    <x v="1"/>
    <x v="1"/>
    <d v="2020-10-26T00:00:00"/>
    <s v="Macarling, Federico"/>
    <s v="YXXGQM"/>
    <s v="--"/>
    <s v="M001170038"/>
    <d v="2020-10-26T15:29:16"/>
    <x v="1"/>
  </r>
  <r>
    <x v="9"/>
    <x v="125"/>
    <x v="9"/>
    <s v="M008"/>
    <d v="2019-01-01T00:00:00"/>
    <s v="hikvision"/>
    <n v="4"/>
    <s v="ggcAdmin08"/>
    <s v="qwerty"/>
    <n v="1234"/>
    <s v="GOOD., ONLINE.. SAME W/ 2H CANDON"/>
    <x v="0"/>
    <x v="0"/>
    <d v="2020-10-26T00:00:00"/>
    <s v="Macarling, Federico"/>
    <s v="UKWXXH"/>
    <s v="--"/>
    <s v="M001170038"/>
    <d v="2020-10-26T15:28:53"/>
    <x v="1"/>
  </r>
  <r>
    <x v="9"/>
    <x v="126"/>
    <x v="9"/>
    <s v="M015"/>
    <d v="2019-01-01T00:00:00"/>
    <s v="hikvision"/>
    <n v="4"/>
    <s v="ggcAdmin15"/>
    <s v="qwerty"/>
    <n v="1234"/>
    <s v="16camera . visited by bernard - ok"/>
    <x v="1"/>
    <x v="0"/>
    <d v="2020-11-27T00:00:00"/>
    <s v="Macarling, Federico"/>
    <n v="123456"/>
    <s v="--"/>
    <s v="M001170038"/>
    <d v="2020-11-27T16:25:02"/>
    <x v="0"/>
  </r>
  <r>
    <x v="9"/>
    <x v="127"/>
    <x v="9"/>
    <s v="M094"/>
    <d v="2019-01-01T00:00:00"/>
    <s v="hikvision"/>
    <n v="4"/>
    <s v="ggcAdmin94"/>
    <s v="qwerty"/>
    <n v="1234"/>
    <s v="Good and online"/>
    <x v="0"/>
    <x v="0"/>
    <d v="2020-10-26T00:00:00"/>
    <s v="Macarling, Federico"/>
    <s v="SZXGUU"/>
    <s v="--"/>
    <s v="M001170038"/>
    <d v="2020-10-26T15:21:15"/>
    <x v="1"/>
  </r>
  <r>
    <x v="9"/>
    <x v="128"/>
    <x v="9"/>
    <s v="M136"/>
    <d v="2019-01-01T00:00:00"/>
    <s v="hikvision"/>
    <n v="4"/>
    <s v="ggcAdmin136"/>
    <s v="qwerty"/>
    <n v="1234"/>
    <s v="Good and online"/>
    <x v="0"/>
    <x v="0"/>
    <d v="2020-10-26T00:00:00"/>
    <s v="Macarling, Federico"/>
    <n v="123456"/>
    <s v="--"/>
    <s v="M001170038"/>
    <d v="2020-10-26T15:27:39"/>
    <x v="1"/>
  </r>
  <r>
    <x v="9"/>
    <x v="129"/>
    <x v="9"/>
    <s v="M019"/>
    <d v="2019-01-01T00:00:00"/>
    <s v="hikvision"/>
    <n v="4"/>
    <s v="ggcAdmin19"/>
    <s v="qwerty"/>
    <n v="1234"/>
    <s v="ALL CAMERA - NO VIDEO. FOR VISIT ASAP"/>
    <x v="0"/>
    <x v="1"/>
    <d v="2020-10-26T00:00:00"/>
    <s v="Macarling, Federico"/>
    <s v="HBJVEM"/>
    <s v="--"/>
    <s v="M001170038"/>
    <d v="2020-10-26T15:27:11"/>
    <x v="1"/>
  </r>
  <r>
    <x v="9"/>
    <x v="130"/>
    <x v="9"/>
    <s v="M043"/>
    <d v="2019-01-01T00:00:00"/>
    <s v="hikvision"/>
    <n v="4"/>
    <s v="ggcAdmin43"/>
    <s v="qwerty"/>
    <n v="1234"/>
    <s v="NO VIDEO CAMERA 4. FOR VISIT"/>
    <x v="0"/>
    <x v="1"/>
    <d v="2020-11-27T00:00:00"/>
    <s v="Macarling, Federico"/>
    <s v="POBXGE"/>
    <s v="--"/>
    <s v="M001170038"/>
    <d v="2020-11-27T16:28:28"/>
    <x v="0"/>
  </r>
  <r>
    <x v="9"/>
    <x v="131"/>
    <x v="9"/>
    <s v="M105"/>
    <d v="2019-01-01T00:00:00"/>
    <s v="hikvision"/>
    <n v="4"/>
    <s v="ggcAdmin105"/>
    <s v="qwerty"/>
    <n v="1234"/>
    <s v="need to relocate 1 camera natatakpan na daw according to branch manager"/>
    <x v="0"/>
    <x v="1"/>
    <d v="2020-11-27T00:00:00"/>
    <s v="Macarling, Federico"/>
    <n v="123456"/>
    <s v="--"/>
    <s v="M001170038"/>
    <d v="2020-11-27T16:26:21"/>
    <x v="0"/>
  </r>
  <r>
    <x v="9"/>
    <x v="132"/>
    <x v="9"/>
    <s v="M047"/>
    <d v="2019-01-01T00:00:00"/>
    <s v="no"/>
    <n v="0"/>
    <n v="0"/>
    <s v="qwerty"/>
    <n v="1234"/>
    <s v="For Relocation. no cctv yet. not yet added to hikconnect"/>
    <x v="1"/>
    <x v="6"/>
    <d v="2020-11-28T00:00:00"/>
    <s v="Macarling, Federico"/>
    <s v="--"/>
    <s v="--"/>
    <s v="M001170038"/>
    <d v="2020-11-28T09:08:26"/>
    <x v="0"/>
  </r>
  <r>
    <x v="9"/>
    <x v="133"/>
    <x v="9"/>
    <s v="M149"/>
    <d v="2019-01-01T00:00:00"/>
    <s v="hikvision"/>
    <n v="4"/>
    <s v="ggcAdmin149"/>
    <s v="qwerty"/>
    <n v="1234"/>
    <s v="CAMERA 2 and 3 NO VIDEO. For visit"/>
    <x v="0"/>
    <x v="1"/>
    <d v="2020-11-27T00:00:00"/>
    <s v="Macarling, Federico"/>
    <n v="123456"/>
    <s v="--"/>
    <s v="M001170038"/>
    <d v="2020-11-27T16:23:55"/>
    <x v="0"/>
  </r>
  <r>
    <x v="9"/>
    <x v="134"/>
    <x v="9"/>
    <s v="M110"/>
    <d v="2019-01-01T00:00:00"/>
    <s v="hikvision"/>
    <n v="4"/>
    <s v="ggcAdmin110"/>
    <s v="GUANZON_M110"/>
    <s v="G44211023646@rosario"/>
    <s v="Good and Online"/>
    <x v="0"/>
    <x v="0"/>
    <d v="2020-11-27T00:00:00"/>
    <s v="Macarling, Federico"/>
    <n v="123456"/>
    <s v="yes"/>
    <s v="M001170038"/>
    <d v="2020-11-27T16:25:35"/>
    <x v="0"/>
  </r>
  <r>
    <x v="9"/>
    <x v="135"/>
    <x v="9"/>
    <s v="M096"/>
    <d v="2019-01-01T00:00:00"/>
    <s v="hikvision"/>
    <n v="4"/>
    <s v="ggcAdmin96"/>
    <s v="qwerty"/>
    <n v="1234"/>
    <s v="Good and online"/>
    <x v="0"/>
    <x v="0"/>
    <d v="2020-11-27T00:00:00"/>
    <s v="Macarling, Federico"/>
    <s v="DOANHV"/>
    <s v="--"/>
    <s v="M001170038"/>
    <d v="2020-11-27T16:30:29"/>
    <x v="0"/>
  </r>
  <r>
    <x v="10"/>
    <x v="136"/>
    <x v="10"/>
    <s v="M001"/>
    <d v="2019-09-17T00:00:00"/>
    <s v="hikvision"/>
    <n v="5"/>
    <s v="main"/>
    <s v="qwerty"/>
    <n v="1234"/>
    <s v="ADDED to Main offices hikconnect account"/>
    <x v="0"/>
    <x v="0"/>
    <d v="2020-10-26T00:00:00"/>
    <s v="Macarling, Federico"/>
    <n v="123456"/>
    <s v="n/a"/>
    <s v="M001170038"/>
    <d v="2020-10-26T15:38:06"/>
    <x v="1"/>
  </r>
  <r>
    <x v="10"/>
    <x v="137"/>
    <x v="10"/>
    <s v="M064"/>
    <d v="2019-01-01T00:00:00"/>
    <s v="hikvision"/>
    <n v="4"/>
    <s v="ggcAdmin64"/>
    <s v="qwerty"/>
    <n v="1234"/>
    <s v="offline"/>
    <x v="1"/>
    <x v="1"/>
    <d v="2020-10-26T00:00:00"/>
    <s v="Macarling, Federico"/>
    <n v="123456"/>
    <s v="--"/>
    <s v="M001170038"/>
    <d v="2020-10-26T15:50:08"/>
    <x v="1"/>
  </r>
  <r>
    <x v="10"/>
    <x v="138"/>
    <x v="10"/>
    <s v="M002"/>
    <d v="2019-10-07T00:00:00"/>
    <s v="hikvision"/>
    <n v="4"/>
    <s v="ggcAdmin02"/>
    <s v="qwerty"/>
    <n v="1234"/>
    <s v="good..online"/>
    <x v="0"/>
    <x v="0"/>
    <d v="2020-10-26T00:00:00"/>
    <s v="Macarling, Federico"/>
    <n v="123456"/>
    <s v="n/a"/>
    <s v="M001170038"/>
    <d v="2020-10-26T15:51:13"/>
    <x v="1"/>
  </r>
  <r>
    <x v="10"/>
    <x v="139"/>
    <x v="10"/>
    <s v="M122"/>
    <d v="2019-01-01T00:00:00"/>
    <s v="hikvision"/>
    <n v="4"/>
    <s v="G44223646122"/>
    <s v="qwerty"/>
    <n v="1234"/>
    <s v="Good and online"/>
    <x v="0"/>
    <x v="0"/>
    <d v="2020-10-26T00:00:00"/>
    <s v="Macarling, Federico"/>
    <s v="ULFZWZ"/>
    <s v="--"/>
    <s v="M001170038"/>
    <d v="2020-10-26T15:46:14"/>
    <x v="1"/>
  </r>
  <r>
    <x v="10"/>
    <x v="140"/>
    <x v="10"/>
    <s v="M028"/>
    <d v="2019-01-01T00:00:00"/>
    <s v="hikvision"/>
    <n v="4"/>
    <s v="G4422364628"/>
    <s v="GUANZON_M028"/>
    <s v="G44202823646"/>
    <s v="Good and online"/>
    <x v="0"/>
    <x v="0"/>
    <d v="2020-10-26T00:00:00"/>
    <s v="Macarling, Federico"/>
    <s v="YIARBI"/>
    <s v="--"/>
    <s v="M001170038"/>
    <d v="2020-10-26T15:46:49"/>
    <x v="1"/>
  </r>
  <r>
    <x v="10"/>
    <x v="141"/>
    <x v="10"/>
    <s v="M126"/>
    <d v="2019-01-01T00:00:00"/>
    <s v="hikvision"/>
    <n v="8"/>
    <s v="G44223646126"/>
    <s v="GUANZON KAWASAKI"/>
    <s v="G44212623646"/>
    <s v="Good and online"/>
    <x v="0"/>
    <x v="0"/>
    <d v="2020-10-26T00:00:00"/>
    <s v="Macarling, Federico"/>
    <n v="123456"/>
    <s v="--"/>
    <s v="M001170038"/>
    <d v="2020-10-26T15:39:01"/>
    <x v="1"/>
  </r>
  <r>
    <x v="10"/>
    <x v="142"/>
    <x v="10"/>
    <s v="M166"/>
    <d v="2020-09-01T00:00:00"/>
    <s v="hikvision"/>
    <n v="4"/>
    <s v="ggcAdmin166"/>
    <s v="GUANZON_M166"/>
    <s v="mcc4826966477"/>
    <s v="Good and online"/>
    <x v="0"/>
    <x v="0"/>
    <d v="2020-10-26T00:00:00"/>
    <s v="Macarling, Federico"/>
    <n v="123456"/>
    <s v="n/a"/>
    <s v="M001170038"/>
    <d v="2020-10-26T15:39:26"/>
    <x v="1"/>
  </r>
  <r>
    <x v="10"/>
    <x v="143"/>
    <x v="10"/>
    <s v="M164"/>
    <d v="2020-09-01T00:00:00"/>
    <s v="hikvision"/>
    <n v="4"/>
    <s v="ggcAdmin164"/>
    <s v="GUANZON_M164"/>
    <s v="mcc4826966477"/>
    <s v="ALL CAMERA NO VIDEO. FOR VISIT NEED TO REPLACE CCTV POWER SUPPLY"/>
    <x v="1"/>
    <x v="1"/>
    <d v="2020-10-26T00:00:00"/>
    <s v="Macarling, Federico"/>
    <n v="123456"/>
    <s v="n/a"/>
    <s v="M001170038"/>
    <d v="2020-10-26T15:50:25"/>
    <x v="1"/>
  </r>
  <r>
    <x v="10"/>
    <x v="144"/>
    <x v="10"/>
    <s v="M111"/>
    <d v="2019-01-01T00:00:00"/>
    <s v="hikvision"/>
    <n v="4"/>
    <s v="ggcAdmin111"/>
    <s v="qwerty"/>
    <n v="1234"/>
    <s v="OFFLINE WALANG INTERNET"/>
    <x v="1"/>
    <x v="1"/>
    <d v="2020-10-26T00:00:00"/>
    <s v="Macarling, Federico"/>
    <n v="123456"/>
    <s v="--"/>
    <s v="M001170038"/>
    <d v="2020-10-26T15:48:29"/>
    <x v="1"/>
  </r>
  <r>
    <x v="10"/>
    <x v="145"/>
    <x v="10"/>
    <s v="M080"/>
    <d v="2019-01-01T00:00:00"/>
    <s v="hikvision"/>
    <n v="4"/>
    <s v="ggcAdmin80"/>
    <s v="qwerty"/>
    <n v="1234"/>
    <s v="3 camera only"/>
    <x v="0"/>
    <x v="0"/>
    <d v="2020-10-26T00:00:00"/>
    <s v="Macarling, Federico"/>
    <s v="YOILBJ"/>
    <s v="n/a"/>
    <s v="M001170038"/>
    <d v="2020-10-26T15:46:28"/>
    <x v="1"/>
  </r>
  <r>
    <x v="10"/>
    <x v="146"/>
    <x v="10"/>
    <s v="M086"/>
    <d v="2019-01-01T00:00:00"/>
    <s v="hikvision"/>
    <n v="4"/>
    <s v="ggcAdmin86"/>
    <s v="qwerty"/>
    <n v="1234"/>
    <s v="FOR SETUP BY SIR JEFF TO HIKCONNECT"/>
    <x v="1"/>
    <x v="0"/>
    <d v="2020-10-26T00:00:00"/>
    <s v="Macarling, Federico"/>
    <n v="123456"/>
    <s v="--"/>
    <s v="M001170038"/>
    <d v="2020-10-26T15:49:37"/>
    <x v="1"/>
  </r>
  <r>
    <x v="10"/>
    <x v="147"/>
    <x v="10"/>
    <s v="M010"/>
    <d v="2019-01-01T00:00:00"/>
    <s v="hikvision"/>
    <n v="4"/>
    <s v="ggcAdmin10"/>
    <s v="qwety"/>
    <n v="1234"/>
    <s v="ok na antenna. update nlng ip address ng dvr"/>
    <x v="1"/>
    <x v="1"/>
    <d v="2020-10-26T00:00:00"/>
    <s v="Macarling, Federico"/>
    <s v="CTIOXU"/>
    <s v="--"/>
    <s v="M001170038"/>
    <d v="2020-10-26T15:48:06"/>
    <x v="1"/>
  </r>
  <r>
    <x v="10"/>
    <x v="148"/>
    <x v="10"/>
    <s v="M050"/>
    <d v="2019-01-01T00:00:00"/>
    <s v="hikvision"/>
    <n v="4"/>
    <s v="ggcAdmin50"/>
    <s v="qwerty"/>
    <n v="1234"/>
    <s v="Good..online"/>
    <x v="0"/>
    <x v="0"/>
    <d v="2020-10-26T00:00:00"/>
    <s v="Macarling, Federico"/>
    <n v="123456"/>
    <s v="--"/>
    <s v="M001170038"/>
    <d v="2020-10-26T15:49:21"/>
    <x v="1"/>
  </r>
  <r>
    <x v="10"/>
    <x v="149"/>
    <x v="10"/>
    <s v="M048"/>
    <d v="2019-01-01T00:00:00"/>
    <s v="hikvision"/>
    <n v="4"/>
    <s v="ggcAdmin48"/>
    <s v="qwerty"/>
    <n v="1234"/>
    <s v="Good and online"/>
    <x v="0"/>
    <x v="0"/>
    <d v="2020-10-26T00:00:00"/>
    <s v="Macarling, Federico"/>
    <n v="123456"/>
    <s v="n/a"/>
    <s v="M001170038"/>
    <d v="2020-10-26T15:47:05"/>
    <x v="1"/>
  </r>
  <r>
    <x v="10"/>
    <x v="150"/>
    <x v="10"/>
    <s v="M156"/>
    <d v="2020-01-01T00:00:00"/>
    <s v="hikvision"/>
    <n v="4"/>
    <s v="ggcAdmin156"/>
    <s v="GUANZON SUZUKI"/>
    <s v="suzuki4421562020"/>
    <s v="offline to hikconnect"/>
    <x v="1"/>
    <x v="1"/>
    <d v="2020-10-26T00:00:00"/>
    <s v="Macarling, Federico"/>
    <n v="123456"/>
    <s v="n/a"/>
    <s v="M001170038"/>
    <d v="2020-10-26T15:47:24"/>
    <x v="1"/>
  </r>
  <r>
    <x v="10"/>
    <x v="151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11"/>
    <x v="152"/>
    <x v="11"/>
    <s v="M057"/>
    <d v="2019-01-01T00:00:00"/>
    <s v="hikvision"/>
    <n v="4"/>
    <s v="ggcAdmin57"/>
    <s v="qwerty"/>
    <n v="1234"/>
    <s v="good"/>
    <x v="0"/>
    <x v="0"/>
    <d v="2020-10-29T00:00:00"/>
    <s v="Macarling, Federico"/>
    <n v="123456"/>
    <s v="n/a"/>
    <s v="M001170038"/>
    <d v="2020-10-29T14:41:51"/>
    <x v="1"/>
  </r>
  <r>
    <x v="11"/>
    <x v="153"/>
    <x v="11"/>
    <s v="M059"/>
    <d v="2019-01-01T00:00:00"/>
    <s v="hikvision"/>
    <n v="4"/>
    <s v="ggcAdmin59"/>
    <s v="GUANZON_M59"/>
    <n v="44205923646"/>
    <s v="Good"/>
    <x v="0"/>
    <x v="0"/>
    <d v="2020-10-29T00:00:00"/>
    <s v="Macarling, Federico"/>
    <n v="123456"/>
    <s v="no"/>
    <s v="M001170038"/>
    <d v="2020-10-29T14:43:33"/>
    <x v="1"/>
  </r>
  <r>
    <x v="11"/>
    <x v="154"/>
    <x v="11"/>
    <s v="M038"/>
    <d v="2019-01-01T00:00:00"/>
    <s v="hikvision"/>
    <n v="4"/>
    <s v="ggcAdmin38"/>
    <s v="qwerty"/>
    <n v="1234"/>
    <s v="Good"/>
    <x v="0"/>
    <x v="0"/>
    <d v="2020-10-29T00:00:00"/>
    <s v="Macarling, Federico"/>
    <n v="123456"/>
    <s v="--"/>
    <s v="M001170038"/>
    <d v="2020-10-29T14:44:35"/>
    <x v="1"/>
  </r>
  <r>
    <x v="11"/>
    <x v="155"/>
    <x v="11"/>
    <s v="M032"/>
    <d v="2019-01-01T00:00:00"/>
    <s v="hikvision"/>
    <n v="4"/>
    <s v="ggcAdmin32"/>
    <s v="GUANZON_M032"/>
    <s v="G44203223646@tayug"/>
    <s v="pldt modem fiber password: G4826966477@tayug. offline to hikconnect"/>
    <x v="0"/>
    <x v="0"/>
    <d v="2020-10-29T00:00:00"/>
    <s v="Macarling, Federico"/>
    <n v="123456"/>
    <s v="no"/>
    <s v="M001170038"/>
    <d v="2020-10-29T14:44:55"/>
    <x v="1"/>
  </r>
  <r>
    <x v="11"/>
    <x v="156"/>
    <x v="11"/>
    <s v="M005"/>
    <d v="2019-01-01T00:00:00"/>
    <s v="hikvision"/>
    <n v="4"/>
    <s v="ggcAdmin05"/>
    <s v="qwerty"/>
    <s v="G44200523646"/>
    <s v="ALL CAMERA NO VIDEO. for visit"/>
    <x v="0"/>
    <x v="1"/>
    <d v="2020-10-29T00:00:00"/>
    <s v="Macarling, Federico"/>
    <n v="123456"/>
    <s v="yes"/>
    <s v="M001170038"/>
    <d v="2020-10-29T14:45:24"/>
    <x v="1"/>
  </r>
  <r>
    <x v="11"/>
    <x v="157"/>
    <x v="11"/>
    <s v="M145"/>
    <d v="2019-01-01T00:00:00"/>
    <s v="hikvision"/>
    <n v="4"/>
    <s v="ggcAdmin145"/>
    <s v="qwerty"/>
    <n v="1234"/>
    <s v="good"/>
    <x v="0"/>
    <x v="0"/>
    <d v="2020-10-29T00:00:00"/>
    <s v="Macarling, Federico"/>
    <n v="123456"/>
    <s v="-"/>
    <s v="M001170038"/>
    <d v="2020-10-29T14:45:54"/>
    <x v="1"/>
  </r>
  <r>
    <x v="11"/>
    <x v="158"/>
    <x v="11"/>
    <s v="M150"/>
    <d v="2019-01-01T00:00:00"/>
    <s v="hikvision"/>
    <n v="4"/>
    <s v="ggcAdmin150"/>
    <s v="qwerty"/>
    <n v="1234"/>
    <s v="Good"/>
    <x v="0"/>
    <x v="0"/>
    <d v="2020-10-29T00:00:00"/>
    <s v="Macarling, Federico"/>
    <n v="123456"/>
    <s v="n/a"/>
    <s v="M001170038"/>
    <d v="2020-10-29T14:48:15"/>
    <x v="1"/>
  </r>
  <r>
    <x v="11"/>
    <x v="159"/>
    <x v="11"/>
    <s v="M158"/>
    <d v="2020-09-01T00:00:00"/>
    <s v="hikvision"/>
    <n v="4"/>
    <s v="ggcAdmin158"/>
    <s v="GUANZON_m158"/>
    <s v="mcc4826966477"/>
    <s v="good"/>
    <x v="0"/>
    <x v="0"/>
    <d v="2020-10-29T00:00:00"/>
    <s v="Macarling, Federico"/>
    <n v="123456"/>
    <s v="n/a"/>
    <s v="M001170038"/>
    <d v="2020-10-29T14:48:41"/>
    <x v="1"/>
  </r>
  <r>
    <x v="11"/>
    <x v="160"/>
    <x v="11"/>
    <s v="M014"/>
    <d v="2019-01-01T00:00:00"/>
    <s v="hikvision"/>
    <n v="4"/>
    <s v="ggcAdmin14"/>
    <s v="qwerty"/>
    <n v="1234"/>
    <s v="NOT YET ADDED TO HIKCONNECT"/>
    <x v="1"/>
    <x v="1"/>
    <d v="2020-10-29T00:00:00"/>
    <s v="Macarling, Federico"/>
    <n v="123456"/>
    <s v="yes"/>
    <s v="M001170038"/>
    <d v="2020-10-29T14:49:27"/>
    <x v="1"/>
  </r>
  <r>
    <x v="11"/>
    <x v="161"/>
    <x v="11"/>
    <s v="M172"/>
    <d v="2020-09-01T00:00:00"/>
    <s v="hikvision"/>
    <n v="4"/>
    <s v="ggcAdmin172"/>
    <s v="GUANZON_M172"/>
    <s v="mcc4826966477"/>
    <s v="good"/>
    <x v="0"/>
    <x v="0"/>
    <d v="2020-10-29T00:00:00"/>
    <s v="Macarling, Federico"/>
    <n v="123456"/>
    <s v="n/a"/>
    <s v="M001170038"/>
    <d v="2020-10-29T14:49:57"/>
    <x v="1"/>
  </r>
  <r>
    <x v="11"/>
    <x v="162"/>
    <x v="11"/>
    <s v="M140"/>
    <d v="2019-01-01T00:00:00"/>
    <s v="hikvision"/>
    <n v="4"/>
    <s v="ggcAdmin140"/>
    <s v="qwerty"/>
    <n v="1234"/>
    <s v="good"/>
    <x v="0"/>
    <x v="0"/>
    <d v="2020-10-29T00:00:00"/>
    <s v="Macarling, Federico"/>
    <n v="123456"/>
    <s v="-"/>
    <s v="M001170038"/>
    <d v="2020-10-29T14:50:32"/>
    <x v="1"/>
  </r>
  <r>
    <x v="11"/>
    <x v="163"/>
    <x v="11"/>
    <s v="M088"/>
    <d v="2019-01-01T00:00:00"/>
    <s v="hikvision"/>
    <n v="4"/>
    <s v="ggcAdmin88"/>
    <s v="qwerty"/>
    <n v="1234"/>
    <s v="good"/>
    <x v="0"/>
    <x v="0"/>
    <d v="2020-10-29T00:00:00"/>
    <s v="Macarling, Federico"/>
    <n v="123456"/>
    <s v="yes"/>
    <s v="M001170038"/>
    <d v="2020-10-29T14:51:03"/>
    <x v="1"/>
  </r>
  <r>
    <x v="11"/>
    <x v="164"/>
    <x v="11"/>
    <s v="M084"/>
    <d v="2019-01-01T00:00:00"/>
    <s v="hikvision"/>
    <n v="4"/>
    <s v="ggcAdmin84"/>
    <s v="qwerty"/>
    <n v="44208423646"/>
    <s v="all camera - no video"/>
    <x v="1"/>
    <x v="1"/>
    <d v="2020-10-29T00:00:00"/>
    <s v="Velasquez, Jayson"/>
    <n v="123456"/>
    <s v="no"/>
    <s v="M001170038"/>
    <d v="2020-10-29T14:51:35"/>
    <x v="1"/>
  </r>
  <r>
    <x v="11"/>
    <x v="165"/>
    <x v="11"/>
    <s v="M107"/>
    <d v="2019-01-01T00:00:00"/>
    <s v="hikvision"/>
    <n v="4"/>
    <s v="ggcAdmin107"/>
    <s v="PLDTHOMEFIBRGUANZON_M107"/>
    <s v="binalonan4421072020"/>
    <s v="good"/>
    <x v="0"/>
    <x v="0"/>
    <d v="2020-10-29T00:00:00"/>
    <s v="Macarling, Federico"/>
    <n v="123456"/>
    <s v="yes"/>
    <s v="M001170038"/>
    <d v="2020-10-29T14:52:08"/>
    <x v="1"/>
  </r>
  <r>
    <x v="11"/>
    <x v="166"/>
    <x v="11"/>
    <s v="M069"/>
    <d v="2019-01-01T00:00:00"/>
    <s v="hikvision"/>
    <n v="4"/>
    <s v="ggcAdmin69"/>
    <s v="qwerty"/>
    <n v="1234"/>
    <s v="offline to hikconnect"/>
    <x v="1"/>
    <x v="0"/>
    <d v="2020-10-29T00:00:00"/>
    <s v="Macarling, Federico"/>
    <n v="123456"/>
    <s v="no"/>
    <s v="M001170038"/>
    <d v="2020-10-29T14:52:53"/>
    <x v="1"/>
  </r>
  <r>
    <x v="11"/>
    <x v="167"/>
    <x v="11"/>
    <s v="M053"/>
    <d v="2019-01-01T00:00:00"/>
    <s v="hikvision"/>
    <n v="4"/>
    <s v="ggcAdmin53"/>
    <s v="qwerty"/>
    <n v="1234"/>
    <s v="good"/>
    <x v="0"/>
    <x v="0"/>
    <d v="2020-10-29T00:00:00"/>
    <s v="Macarling, Federico"/>
    <n v="123456"/>
    <s v="n/a"/>
    <s v="M001170038"/>
    <d v="2020-10-29T14:53:19"/>
    <x v="1"/>
  </r>
  <r>
    <x v="11"/>
    <x v="168"/>
    <x v="11"/>
    <s v="M132"/>
    <d v="2019-01-01T00:00:00"/>
    <s v="hikvision"/>
    <n v="4"/>
    <s v="ggcAdmin132"/>
    <s v="qwerty"/>
    <n v="1234"/>
    <s v="good"/>
    <x v="0"/>
    <x v="0"/>
    <d v="2020-10-29T00:00:00"/>
    <s v="Macarling, Federico"/>
    <n v="123456"/>
    <s v="yes"/>
    <s v="M001170038"/>
    <d v="2020-10-29T14:54:04"/>
    <x v="1"/>
  </r>
  <r>
    <x v="11"/>
    <x v="169"/>
    <x v="11"/>
    <s v="M106"/>
    <d v="2019-01-01T00:00:00"/>
    <s v="hikvision"/>
    <n v="4"/>
    <s v="ggcAdmin106"/>
    <s v="qwerty"/>
    <n v="1234"/>
    <s v="good"/>
    <x v="0"/>
    <x v="0"/>
    <d v="2020-10-29T00:00:00"/>
    <s v="Macarling, Federico"/>
    <n v="123456"/>
    <s v="yes"/>
    <s v="M001170038"/>
    <d v="2020-10-29T14:54:25"/>
    <x v="1"/>
  </r>
  <r>
    <x v="11"/>
    <x v="170"/>
    <x v="11"/>
    <s v="M163"/>
    <d v="2020-09-15T00:00:00"/>
    <s v="hikvision"/>
    <n v="1"/>
    <s v="ggcAdmin163"/>
    <s v="GUANZON_M163"/>
    <s v="yamaha4826966477"/>
    <s v="Good. plug and play nlng ang internet.. not yet added to hikconnect"/>
    <x v="1"/>
    <x v="5"/>
    <d v="2020-10-29T00:00:00"/>
    <s v="Macarling, Federico"/>
    <n v="123456"/>
    <s v="n/a"/>
    <s v="M001170038"/>
    <d v="2020-10-29T14:55:08"/>
    <x v="1"/>
  </r>
  <r>
    <x v="11"/>
    <x v="171"/>
    <x v="11"/>
    <s v="M018"/>
    <d v="2019-01-01T00:00:00"/>
    <s v="hikvision"/>
    <n v="4"/>
    <s v="ggcAdmin18"/>
    <s v="PLDTMyDSLGUANZON_M018_YAMAHA"/>
    <n v="442018236462019"/>
    <s v="offline to hikconnect"/>
    <x v="1"/>
    <x v="0"/>
    <d v="2020-10-29T00:00:00"/>
    <s v="Macarling, Federico"/>
    <n v="123456"/>
    <s v="yes"/>
    <s v="M001170038"/>
    <d v="2020-10-29T14:55:49"/>
    <x v="1"/>
  </r>
  <r>
    <x v="11"/>
    <x v="172"/>
    <x v="11"/>
    <s v="M151"/>
    <d v="2019-09-20T00:00:00"/>
    <s v="hikvision"/>
    <n v="4"/>
    <s v="ggcAdmin151"/>
    <s v="qwerty"/>
    <n v="1234"/>
    <s v="Need Hub to activate online viewing. not yet added to hikconnect"/>
    <x v="1"/>
    <x v="1"/>
    <d v="2020-10-29T00:00:00"/>
    <s v="Macarling, Federico"/>
    <n v="123456"/>
    <s v="yes"/>
    <s v="M001170038"/>
    <d v="2020-10-29T14:56:34"/>
    <x v="1"/>
  </r>
  <r>
    <x v="12"/>
    <x v="173"/>
    <x v="12"/>
    <s v="M063"/>
    <d v="2019-01-01T00:00:00"/>
    <s v="hikvision"/>
    <n v="4"/>
    <s v="ggcAdmin63"/>
    <s v="qwerty"/>
    <n v="1234"/>
    <s v="Offline to hikconnect"/>
    <x v="1"/>
    <x v="1"/>
    <d v="2020-10-26T00:00:00"/>
    <s v="Macarling, Federico"/>
    <n v="123456"/>
    <s v="-"/>
    <s v="M001170038"/>
    <d v="2020-10-26T16:07:43"/>
    <x v="1"/>
  </r>
  <r>
    <x v="12"/>
    <x v="174"/>
    <x v="12"/>
    <s v="M035"/>
    <d v="2019-01-01T00:00:00"/>
    <s v="hikvision"/>
    <n v="4"/>
    <s v="ggcAdmin35"/>
    <s v="qwerty"/>
    <n v="1234"/>
    <s v="branch to relocate next year/no cctv"/>
    <x v="1"/>
    <x v="6"/>
    <d v="2020-10-26T00:00:00"/>
    <s v="Macarling, Federico"/>
    <s v="-"/>
    <s v="-"/>
    <s v="M001170038"/>
    <d v="2020-10-26T16:12:32"/>
    <x v="1"/>
  </r>
  <r>
    <x v="12"/>
    <x v="175"/>
    <x v="12"/>
    <s v="M007"/>
    <d v="2019-01-01T00:00:00"/>
    <s v="hikvision"/>
    <n v="4"/>
    <s v="ggcAdmin07"/>
    <s v="qwerty"/>
    <n v="1234"/>
    <s v="Good and online..visited by bernard 9/29/2020"/>
    <x v="0"/>
    <x v="0"/>
    <d v="2020-10-26T00:00:00"/>
    <s v="Macarling, Federico"/>
    <n v="123456"/>
    <s v="n/a"/>
    <s v="M001170038"/>
    <d v="2020-10-26T16:08:16"/>
    <x v="1"/>
  </r>
  <r>
    <x v="12"/>
    <x v="176"/>
    <x v="12"/>
    <s v="M154"/>
    <d v="2020-09-15T00:00:00"/>
    <n v="1"/>
    <n v="1"/>
    <s v="ggcAdmin154"/>
    <s v="GUANZON_M154"/>
    <s v="mcc4826966477"/>
    <s v="Good"/>
    <x v="0"/>
    <x v="0"/>
    <d v="2020-10-26T00:00:00"/>
    <s v="Macarling, Federico"/>
    <n v="123456"/>
    <s v="n/a"/>
    <s v="M001170038"/>
    <d v="2020-10-26T16:09:03"/>
    <x v="1"/>
  </r>
  <r>
    <x v="12"/>
    <x v="177"/>
    <x v="12"/>
    <s v="M146"/>
    <d v="2019-01-01T00:00:00"/>
    <s v="hikvision"/>
    <n v="4"/>
    <s v="ggcAdmin146"/>
    <s v="PLDTMyDSLBizGUANZON_M146"/>
    <s v="G44214623646G"/>
    <s v="Good and online"/>
    <x v="0"/>
    <x v="0"/>
    <d v="2020-10-26T00:00:00"/>
    <s v="Macarling, Federico"/>
    <n v="123456"/>
    <s v="no"/>
    <s v="M001170038"/>
    <d v="2020-10-26T16:09:27"/>
    <x v="1"/>
  </r>
  <r>
    <x v="12"/>
    <x v="178"/>
    <x v="12"/>
    <s v="M120"/>
    <d v="2019-01-01T00:00:00"/>
    <s v="hikvision"/>
    <n v="4"/>
    <s v="ggcAdmin120"/>
    <s v="qwerty"/>
    <n v="1234"/>
    <s v="Good and online"/>
    <x v="0"/>
    <x v="0"/>
    <d v="2020-10-26T00:00:00"/>
    <s v="Macarling, Federico"/>
    <n v="123456"/>
    <s v="-"/>
    <s v="M001170038"/>
    <d v="2020-10-26T16:12:56"/>
    <x v="1"/>
  </r>
  <r>
    <x v="12"/>
    <x v="179"/>
    <x v="12"/>
    <s v="M167"/>
    <d v="2020-09-01T00:00:00"/>
    <s v="hikvision"/>
    <n v="4"/>
    <s v="ggcAdmin167"/>
    <s v="GUANZON_M167"/>
    <s v="mcc4826966477"/>
    <s v="not yet added to hikconnect"/>
    <x v="1"/>
    <x v="5"/>
    <d v="2020-10-26T00:00:00"/>
    <s v="Macarling, Federico"/>
    <n v="123456"/>
    <s v="n/a"/>
    <s v="M001170038"/>
    <d v="2020-10-26T16:14:51"/>
    <x v="1"/>
  </r>
  <r>
    <x v="12"/>
    <x v="180"/>
    <x v="12"/>
    <s v="M170"/>
    <d v="2020-09-01T00:00:00"/>
    <s v="hikvision"/>
    <n v="4"/>
    <s v="ggcAdmin170"/>
    <s v="GUANZON_M170"/>
    <s v="mcc4826966477"/>
    <s v="For installation"/>
    <x v="1"/>
    <x v="5"/>
    <d v="2020-10-26T00:00:00"/>
    <s v="Macarling, Federico"/>
    <n v="123456"/>
    <s v="n/a"/>
    <s v="M001170038"/>
    <d v="2020-10-26T16:14:24"/>
    <x v="1"/>
  </r>
  <r>
    <x v="12"/>
    <x v="181"/>
    <x v="12"/>
    <s v="M133"/>
    <d v="2019-01-01T00:00:00"/>
    <s v="hikvision"/>
    <n v="4"/>
    <s v="ggcAdmin133"/>
    <s v="qwerty"/>
    <n v="1234"/>
    <s v="good and online"/>
    <x v="0"/>
    <x v="3"/>
    <d v="2020-10-26T00:00:00"/>
    <s v="Macarling, Federico"/>
    <n v="123456"/>
    <s v="-"/>
    <s v="M001170038"/>
    <d v="2020-10-26T16:13:19"/>
    <x v="1"/>
  </r>
  <r>
    <x v="12"/>
    <x v="182"/>
    <x v="12"/>
    <s v="M093"/>
    <d v="2019-01-01T00:00:00"/>
    <s v="hikvision"/>
    <n v="4"/>
    <s v="ggcAdmin93"/>
    <s v="qwerty"/>
    <n v="1234"/>
    <s v="Good and online..visited by bernard 9/29/2020"/>
    <x v="0"/>
    <x v="0"/>
    <d v="2020-10-26T00:00:00"/>
    <s v="Macarling, Federico"/>
    <n v="123456"/>
    <s v="-"/>
    <s v="M001170038"/>
    <d v="2020-10-26T16:10:49"/>
    <x v="1"/>
  </r>
  <r>
    <x v="12"/>
    <x v="183"/>
    <x v="12"/>
    <s v="M135"/>
    <d v="2019-01-01T00:00:00"/>
    <s v="hikvision"/>
    <n v="4"/>
    <s v="ggcAdmin135"/>
    <s v="qwerty"/>
    <n v="1234"/>
    <s v="good..online"/>
    <x v="0"/>
    <x v="0"/>
    <d v="2020-10-26T00:00:00"/>
    <s v="Macarling, Federico"/>
    <n v="123456"/>
    <s v="yes"/>
    <s v="M001170038"/>
    <d v="2020-10-26T16:10:18"/>
    <x v="1"/>
  </r>
  <r>
    <x v="12"/>
    <x v="184"/>
    <x v="12"/>
    <s v="M083"/>
    <d v="2019-01-01T00:00:00"/>
    <s v="hikvision"/>
    <n v="4"/>
    <s v="ggcAdmin83"/>
    <s v="qwerty"/>
    <n v="1234"/>
    <s v="all camera - no video. FOR VISIT. NEED TO REPLACE CCTV RECORDER"/>
    <x v="0"/>
    <x v="1"/>
    <d v="2020-10-26T00:00:00"/>
    <s v="Macarling, Federico"/>
    <n v="123456"/>
    <s v="-"/>
    <s v="M001170038"/>
    <d v="2020-10-26T16:16:15"/>
    <x v="1"/>
  </r>
  <r>
    <x v="12"/>
    <x v="185"/>
    <x v="12"/>
    <s v="M092"/>
    <d v="2019-01-01T00:00:00"/>
    <s v="hikvision"/>
    <n v="4"/>
    <s v="ggcAdmin92"/>
    <s v="qwerty"/>
    <n v="1234"/>
    <s v="Good and online..visited by bernard 9/29/2020"/>
    <x v="0"/>
    <x v="0"/>
    <d v="2020-10-26T00:00:00"/>
    <s v="Macarling, Federico"/>
    <n v="123456"/>
    <s v="-"/>
    <s v="M001170038"/>
    <d v="2020-10-26T16:12:11"/>
    <x v="1"/>
  </r>
  <r>
    <x v="12"/>
    <x v="186"/>
    <x v="12"/>
    <s v="M130"/>
    <d v="2019-01-01T00:00:00"/>
    <s v="hikvision"/>
    <n v="4"/>
    <s v="ggcAdmin130"/>
    <s v="qwerty"/>
    <n v="1234"/>
    <s v="offline to hikconnect"/>
    <x v="1"/>
    <x v="0"/>
    <d v="2020-10-26T00:00:00"/>
    <s v="Macarling, Federico"/>
    <n v="123456"/>
    <s v="-"/>
    <s v="M001170038"/>
    <d v="2020-10-26T16:16:38"/>
    <x v="1"/>
  </r>
  <r>
    <x v="12"/>
    <x v="187"/>
    <x v="12"/>
    <s v="M079"/>
    <d v="2019-01-01T00:00:00"/>
    <s v="hikvision"/>
    <n v="4"/>
    <s v="ggcAdmin79"/>
    <s v="qwerty"/>
    <n v="1234"/>
    <s v="good and online"/>
    <x v="0"/>
    <x v="0"/>
    <d v="2020-10-26T00:00:00"/>
    <s v="Macarling, Federico"/>
    <n v="123456"/>
    <s v="-"/>
    <s v="M001170038"/>
    <d v="2020-10-26T16:16:59"/>
    <x v="1"/>
  </r>
  <r>
    <x v="13"/>
    <x v="188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13"/>
    <x v="189"/>
    <x v="13"/>
    <s v="M113"/>
    <d v="2019-01-01T00:00:00"/>
    <s v="hikvision"/>
    <n v="4"/>
    <s v="ggcAdmin113"/>
    <s v="qwerty"/>
    <n v="4421132020"/>
    <s v="cant access dvr./..update wifi password..not yet added to hikconnect"/>
    <x v="1"/>
    <x v="1"/>
    <d v="2020-10-27T00:00:00"/>
    <s v="Macarling, Federico"/>
    <n v="123456"/>
    <s v="-"/>
    <s v="M001170038"/>
    <d v="2020-10-27T09:15:54"/>
    <x v="1"/>
  </r>
  <r>
    <x v="13"/>
    <x v="190"/>
    <x v="13"/>
    <s v="M169"/>
    <d v="2020-09-01T00:00:00"/>
    <s v="hikvision"/>
    <n v="4"/>
    <s v="ggcAdmin169"/>
    <s v="GUANZON_M169"/>
    <s v="mcc4826966477"/>
    <s v="For installation"/>
    <x v="1"/>
    <x v="5"/>
    <d v="2020-10-27T00:00:00"/>
    <s v="Macarling, Federico"/>
    <n v="123456"/>
    <s v="n/a"/>
    <s v="M001170038"/>
    <d v="2020-10-27T09:16:11"/>
    <x v="1"/>
  </r>
  <r>
    <x v="13"/>
    <x v="191"/>
    <x v="13"/>
    <s v="M139"/>
    <d v="2019-01-01T00:00:00"/>
    <s v="hikvision"/>
    <n v="4"/>
    <s v="ggcAdmin139"/>
    <s v="qwerty"/>
    <n v="1234"/>
    <s v="Need to change ip of dvr..not yet added to hikconnect"/>
    <x v="1"/>
    <x v="1"/>
    <d v="2020-10-27T00:00:00"/>
    <s v="Macarling, Federico"/>
    <n v="123456"/>
    <s v="-"/>
    <s v="M001170038"/>
    <d v="2020-10-27T09:16:28"/>
    <x v="1"/>
  </r>
  <r>
    <x v="13"/>
    <x v="192"/>
    <x v="13"/>
    <s v="M160"/>
    <d v="2020-09-01T00:00:00"/>
    <s v="hikvision"/>
    <n v="4"/>
    <s v="ggcAdmin160"/>
    <s v="GUANZON_M160"/>
    <s v="mcc4826966477"/>
    <s v="Napadala na ung cctv kay S' Apjohn. For installation nlng"/>
    <x v="1"/>
    <x v="5"/>
    <d v="2020-10-27T00:00:00"/>
    <s v="Macarling, Federico"/>
    <n v="123456"/>
    <s v="n/a"/>
    <s v="M001170038"/>
    <d v="2020-10-27T13:12:32"/>
    <x v="1"/>
  </r>
  <r>
    <x v="13"/>
    <x v="193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13"/>
    <x v="194"/>
    <x v="13"/>
    <s v="M117"/>
    <d v="2019-01-01T00:00:00"/>
    <s v="hikvision"/>
    <n v="4"/>
    <s v="ggcAdmin117"/>
    <s v="qwerty"/>
    <n v="1234"/>
    <s v="Good and online"/>
    <x v="0"/>
    <x v="0"/>
    <d v="2020-10-27T00:00:00"/>
    <s v="Macarling, Federico"/>
    <n v="123456"/>
    <s v="-"/>
    <s v="M001170038"/>
    <d v="2020-10-27T09:31:07"/>
    <x v="1"/>
  </r>
  <r>
    <x v="13"/>
    <x v="195"/>
    <x v="13"/>
    <s v="M129"/>
    <d v="2019-01-01T00:00:00"/>
    <s v="hikvision"/>
    <n v="4"/>
    <s v="G44223646129"/>
    <s v="PLDTHOMEDSLGUANZON_M129"/>
    <s v="santiago4421292019"/>
    <s v="CAMERA 1 - no video.. MODEM PASSWORD: Guanzon4826966477..online"/>
    <x v="0"/>
    <x v="1"/>
    <d v="2020-10-27T00:00:00"/>
    <s v="Macarling, Federico"/>
    <n v="123456"/>
    <s v="-"/>
    <s v="M001170038"/>
    <d v="2020-10-27T13:11:24"/>
    <x v="1"/>
  </r>
  <r>
    <x v="13"/>
    <x v="196"/>
    <x v="13"/>
    <s v="M125"/>
    <d v="2019-01-01T00:00:00"/>
    <s v="hikvision"/>
    <n v="4"/>
    <s v="ggcAdmin125"/>
    <s v="qwerty"/>
    <n v="1234"/>
    <s v="cant access dvr..not yet added to hikconnect"/>
    <x v="1"/>
    <x v="1"/>
    <d v="2020-10-27T00:00:00"/>
    <s v="Macarling, Federico"/>
    <n v="123456"/>
    <s v="-"/>
    <s v="M001170038"/>
    <d v="2020-10-27T13:12:50"/>
    <x v="1"/>
  </r>
  <r>
    <x v="13"/>
    <x v="197"/>
    <x v="13"/>
    <s v="M051"/>
    <d v="2019-01-01T00:00:00"/>
    <s v="Hikvission"/>
    <n v="4"/>
    <s v="ggcAdmin51"/>
    <s v="GUANZON_M051"/>
    <n v="44205123646"/>
    <s v="Good"/>
    <x v="0"/>
    <x v="0"/>
    <d v="2020-10-27T00:00:00"/>
    <s v="Macarling, Federico"/>
    <n v="665578392"/>
    <s v="-"/>
    <s v="M001170038"/>
    <d v="2020-10-27T13:13:53"/>
    <x v="1"/>
  </r>
  <r>
    <x v="13"/>
    <x v="198"/>
    <x v="13"/>
    <s v="M109"/>
    <d v="2019-01-01T00:00:00"/>
    <s v="hikvision"/>
    <n v="4"/>
    <s v="ggcAdmin109"/>
    <s v="qwerty"/>
    <n v="1234"/>
    <s v="good and online"/>
    <x v="0"/>
    <x v="0"/>
    <d v="2020-10-27T00:00:00"/>
    <s v="Macarling, Federico"/>
    <n v="123456"/>
    <s v="-"/>
    <s v="M001170038"/>
    <d v="2020-10-27T09:32:14"/>
    <x v="1"/>
  </r>
  <r>
    <x v="13"/>
    <x v="199"/>
    <x v="13"/>
    <s v="M061"/>
    <d v="2019-01-01T00:00:00"/>
    <s v="Hikvission"/>
    <n v="4"/>
    <s v="ggcAdmin61"/>
    <s v="qwerty"/>
    <n v="1234"/>
    <s v="offline to hikconnect"/>
    <x v="1"/>
    <x v="0"/>
    <d v="2020-10-27T00:00:00"/>
    <s v="Macarling, Federico"/>
    <s v="GXEIJA"/>
    <s v="-"/>
    <s v="M001170038"/>
    <d v="2020-10-27T13:13:33"/>
    <x v="1"/>
  </r>
  <r>
    <x v="13"/>
    <x v="200"/>
    <x v="13"/>
    <s v="M052"/>
    <d v="2019-01-01T00:00:00"/>
    <s v="hikvision"/>
    <n v="4"/>
    <s v="ggcAdmin52"/>
    <s v="qwerty"/>
    <n v="1234"/>
    <s v="offline to hikconnect"/>
    <x v="1"/>
    <x v="0"/>
    <d v="2020-10-27T00:00:00"/>
    <s v="Macarling, Federico"/>
    <n v="123456"/>
    <s v="-"/>
    <s v="M001170038"/>
    <d v="2020-10-27T13:13:06"/>
    <x v="1"/>
  </r>
  <r>
    <x v="13"/>
    <x v="201"/>
    <x v="13"/>
    <s v="M071"/>
    <d v="2019-01-01T00:00:00"/>
    <s v="Hikvission"/>
    <n v="4"/>
    <s v="ggcAmin71"/>
    <s v="qwety"/>
    <n v="1234"/>
    <s v="Good."/>
    <x v="0"/>
    <x v="0"/>
    <d v="2020-10-27T00:00:00"/>
    <s v="Macarling, Federico"/>
    <n v="123456"/>
    <s v="-"/>
    <s v="M001170038"/>
    <d v="2020-10-27T13:12:12"/>
    <x v="1"/>
  </r>
  <r>
    <x v="13"/>
    <x v="202"/>
    <x v="13"/>
    <s v="M095"/>
    <d v="2019-01-01T00:00:00"/>
    <s v="hikvision"/>
    <n v="4"/>
    <s v="ggcAdmin95"/>
    <s v="qwerty"/>
    <n v="1234"/>
    <s v="Cam 2 Loss..offline to hikconnect"/>
    <x v="1"/>
    <x v="1"/>
    <d v="2020-10-27T00:00:00"/>
    <s v="Macarling, Federico"/>
    <n v="123456"/>
    <s v="-"/>
    <s v="M001170038"/>
    <d v="2020-10-27T09:33:24"/>
    <x v="1"/>
  </r>
  <r>
    <x v="13"/>
    <x v="203"/>
    <x v="13"/>
    <s v="M100"/>
    <d v="2019-01-01T00:00:00"/>
    <s v="hikvision"/>
    <n v="4"/>
    <s v="ggcAdmin100"/>
    <s v="qwerty"/>
    <n v="1234"/>
    <s v="offline to hikconnect"/>
    <x v="1"/>
    <x v="1"/>
    <d v="2020-10-27T00:00:00"/>
    <s v="Macarling, Federico"/>
    <n v="123456"/>
    <s v="-"/>
    <s v="M001170038"/>
    <d v="2020-10-27T09:33:43"/>
    <x v="1"/>
  </r>
  <r>
    <x v="14"/>
    <x v="204"/>
    <x v="14"/>
    <s v="M025"/>
    <d v="2019-01-01T00:00:00"/>
    <s v="Hikvission"/>
    <n v="4"/>
    <s v="ggcAdmin25"/>
    <s v="qwerty"/>
    <n v="1234"/>
    <s v="cant access dvr.. offline to hikconnect"/>
    <x v="1"/>
    <x v="1"/>
    <d v="2020-10-27T00:00:00"/>
    <s v="Macarling, Federico"/>
    <n v="123456"/>
    <s v="-"/>
    <s v="M001170038"/>
    <d v="2020-10-27T14:46:25"/>
    <x v="1"/>
  </r>
  <r>
    <x v="14"/>
    <x v="205"/>
    <x v="14"/>
    <s v="M058"/>
    <d v="2019-01-01T00:00:00"/>
    <s v="Hikvission"/>
    <n v="4"/>
    <s v="ggcAdmin58"/>
    <s v="qwrty"/>
    <n v="1234"/>
    <s v="good"/>
    <x v="0"/>
    <x v="0"/>
    <d v="2020-10-27T00:00:00"/>
    <s v="Macarling, Federico"/>
    <n v="123456"/>
    <s v="-"/>
    <s v="M001170038"/>
    <d v="2020-10-27T14:46:50"/>
    <x v="1"/>
  </r>
  <r>
    <x v="14"/>
    <x v="206"/>
    <x v="14"/>
    <s v="M006"/>
    <d v="2019-01-01T00:00:00"/>
    <s v="Hikvission"/>
    <n v="4"/>
    <s v="ggcAdmin05"/>
    <s v="qwerty"/>
    <n v="1234"/>
    <s v="good/online"/>
    <x v="0"/>
    <x v="0"/>
    <d v="2020-10-27T00:00:00"/>
    <s v="Macarling, Federico"/>
    <n v="123456"/>
    <s v="-"/>
    <s v="M001170038"/>
    <d v="2020-10-27T14:47:17"/>
    <x v="1"/>
  </r>
  <r>
    <x v="14"/>
    <x v="207"/>
    <x v="14"/>
    <s v="M114"/>
    <d v="2019-01-01T00:00:00"/>
    <s v="Hikvission"/>
    <n v="4"/>
    <s v="ggcAdmin114"/>
    <s v="qwerty"/>
    <n v="1234"/>
    <s v="CAN'T ACCESS THRU IP ADDRESS. OFFLINE TO HIKCONNECT"/>
    <x v="1"/>
    <x v="1"/>
    <d v="2020-10-27T00:00:00"/>
    <s v="Macarling, Federico"/>
    <n v="123456"/>
    <s v="-"/>
    <s v="M001170038"/>
    <d v="2020-10-27T14:47:33"/>
    <x v="1"/>
  </r>
  <r>
    <x v="14"/>
    <x v="208"/>
    <x v="14"/>
    <s v="M171"/>
    <d v="2020-09-01T00:00:00"/>
    <s v="hikvision"/>
    <n v="4"/>
    <s v="ggcAdmin171"/>
    <s v="GUANZON_M171"/>
    <s v="mcc4826966477"/>
    <s v="For installation"/>
    <x v="1"/>
    <x v="5"/>
    <d v="2020-10-27T00:00:00"/>
    <s v="Macarling, Federico"/>
    <n v="123456"/>
    <s v="n/a"/>
    <s v="M001170038"/>
    <d v="2020-10-27T15:16:40"/>
    <x v="1"/>
  </r>
  <r>
    <x v="14"/>
    <x v="209"/>
    <x v="14"/>
    <s v="M155"/>
    <d v="2020-09-15T00:00:00"/>
    <n v="1"/>
    <n v="4"/>
    <s v="ggcAdmin155"/>
    <s v="GUANZON_M155"/>
    <s v="mcc4826966477"/>
    <s v="Good"/>
    <x v="0"/>
    <x v="0"/>
    <d v="2020-10-27T00:00:00"/>
    <s v="Macarling, Federico"/>
    <n v="123456"/>
    <s v="n/a"/>
    <s v="M001170038"/>
    <d v="2020-10-27T15:17:08"/>
    <x v="1"/>
  </r>
  <r>
    <x v="14"/>
    <x v="210"/>
    <x v="14"/>
    <s v="M022"/>
    <d v="2019-01-01T00:00:00"/>
    <s v="Hikvission"/>
    <n v="4"/>
    <s v="ggcAdmin22"/>
    <s v="qwerty"/>
    <n v="1234"/>
    <s v="Good"/>
    <x v="0"/>
    <x v="0"/>
    <d v="2020-10-27T00:00:00"/>
    <s v="Macarling, Federico"/>
    <n v="123456"/>
    <s v="-"/>
    <s v="M001170038"/>
    <d v="2020-10-27T15:17:31"/>
    <x v="1"/>
  </r>
  <r>
    <x v="14"/>
    <x v="211"/>
    <x v="14"/>
    <s v="M068"/>
    <d v="2019-01-01T00:00:00"/>
    <s v="Hikvission"/>
    <n v="4"/>
    <s v="ggcAdmin68"/>
    <s v="qwerty"/>
    <n v="1234"/>
    <s v="good/online"/>
    <x v="0"/>
    <x v="0"/>
    <d v="2020-10-27T00:00:00"/>
    <s v="Macarling, Federico"/>
    <n v="123456"/>
    <s v="-"/>
    <s v="M001170038"/>
    <d v="2020-10-27T15:15:57"/>
    <x v="1"/>
  </r>
  <r>
    <x v="14"/>
    <x v="212"/>
    <x v="14"/>
    <s v="M148"/>
    <d v="2019-05-01T00:00:00"/>
    <s v="Hikvission"/>
    <n v="6"/>
    <s v="ggcAdmin148"/>
    <s v="qwerty"/>
    <n v="1234"/>
    <s v="good"/>
    <x v="0"/>
    <x v="0"/>
    <d v="2020-10-27T00:00:00"/>
    <s v="Macarling, Federico"/>
    <n v="123456"/>
    <s v="-"/>
    <s v="M001170038"/>
    <d v="2020-10-27T15:17:50"/>
    <x v="1"/>
  </r>
  <r>
    <x v="14"/>
    <x v="213"/>
    <x v="14"/>
    <s v="M021"/>
    <d v="2019-01-01T00:00:00"/>
    <s v="Hikvission"/>
    <n v="4"/>
    <s v="ggcAdmin21"/>
    <s v="qwerty"/>
    <n v="1234"/>
    <s v="offline to hikconnect.. for visit"/>
    <x v="1"/>
    <x v="1"/>
    <d v="2020-10-27T00:00:00"/>
    <s v="Macarling, Federico"/>
    <s v="YRHIJC"/>
    <s v="-"/>
    <s v="M001170038"/>
    <d v="2020-10-27T15:18:15"/>
    <x v="1"/>
  </r>
  <r>
    <x v="14"/>
    <x v="214"/>
    <x v="14"/>
    <s v="M128"/>
    <d v="2019-01-01T00:00:00"/>
    <s v="Hikvission"/>
    <n v="4"/>
    <s v="ggcAdmin128"/>
    <s v="qwerty"/>
    <n v="1234"/>
    <s v="OFFLINE TO HIKCONNECT.. for visit"/>
    <x v="1"/>
    <x v="1"/>
    <d v="2020-10-27T00:00:00"/>
    <s v="Macarling, Federico"/>
    <n v="123456"/>
    <s v="-"/>
    <s v="M001170038"/>
    <d v="2020-10-27T15:25:14"/>
    <x v="1"/>
  </r>
  <r>
    <x v="15"/>
    <x v="215"/>
    <x v="15"/>
    <s v="M162"/>
    <d v="2020-09-01T00:00:00"/>
    <s v="hikvision"/>
    <n v="4"/>
    <s v="ggcAdmin162"/>
    <s v="GUANZON_M162"/>
    <s v="mcc4826966477"/>
    <s v="For installation. napadala na kay sir David ung cctv"/>
    <x v="1"/>
    <x v="5"/>
    <d v="2020-10-29T00:00:00"/>
    <s v="Macarling, Federico"/>
    <n v="123456"/>
    <s v="n/a"/>
    <s v="M001170038"/>
    <d v="2020-10-29T13:17:19"/>
    <x v="1"/>
  </r>
  <r>
    <x v="15"/>
    <x v="216"/>
    <x v="15"/>
    <s v="M131"/>
    <d v="2019-10-10T00:00:00"/>
    <s v="Hikvission"/>
    <n v="4"/>
    <s v="ggcAdmin131"/>
    <s v="qwerty"/>
    <n v="1234"/>
    <s v="Good"/>
    <x v="0"/>
    <x v="0"/>
    <d v="2020-10-29T00:00:00"/>
    <s v="Macarling, Federico"/>
    <n v="123456"/>
    <s v="-"/>
    <s v="M001170038"/>
    <d v="2020-10-29T13:15:04"/>
    <x v="1"/>
  </r>
  <r>
    <x v="15"/>
    <x v="217"/>
    <x v="15"/>
    <s v="M004"/>
    <d v="2019-01-01T00:00:00"/>
    <s v="Hikvission"/>
    <n v="6"/>
    <s v="ggcAdmin04"/>
    <s v="GUANZON_M004"/>
    <s v="cabanatuan4420042019"/>
    <s v="naputol daw lan cable / need to replace..modem password: pldt4826966477..offfline to hikconnect"/>
    <x v="1"/>
    <x v="1"/>
    <d v="2020-10-29T00:00:00"/>
    <s v="Macarling, Federico"/>
    <n v="123456"/>
    <s v="-"/>
    <s v="M001170038"/>
    <d v="2020-10-29T13:15:27"/>
    <x v="1"/>
  </r>
  <r>
    <x v="15"/>
    <x v="218"/>
    <x v="15"/>
    <s v="M037"/>
    <d v="2019-03-01T00:00:00"/>
    <s v="Hikvission"/>
    <n v="4"/>
    <s v="ggcAdmin37"/>
    <s v="qwerty"/>
    <n v="1234"/>
    <s v="good"/>
    <x v="0"/>
    <x v="0"/>
    <d v="2020-10-29T00:00:00"/>
    <s v="Macarling, Federico"/>
    <n v="123456"/>
    <s v="-"/>
    <s v="M001170038"/>
    <d v="2020-10-29T13:15:59"/>
    <x v="1"/>
  </r>
  <r>
    <x v="15"/>
    <x v="219"/>
    <x v="15"/>
    <s v="M076"/>
    <d v="2019-01-01T00:00:00"/>
    <s v="Hikvission"/>
    <n v="4"/>
    <s v="ggcAdmin76"/>
    <s v="qwerty"/>
    <n v="1234"/>
    <s v="good"/>
    <x v="0"/>
    <x v="0"/>
    <d v="2020-10-29T00:00:00"/>
    <s v="Macarling, Federico"/>
    <n v="123456"/>
    <s v="-"/>
    <s v="M001170038"/>
    <d v="2020-10-29T13:16:31"/>
    <x v="1"/>
  </r>
  <r>
    <x v="15"/>
    <x v="220"/>
    <x v="15"/>
    <s v="M062"/>
    <d v="2019-03-01T00:00:00"/>
    <s v="Hikvission"/>
    <n v="4"/>
    <s v="ggcAdmin62"/>
    <s v="qwety"/>
    <n v="1234"/>
    <s v="offline to hikconnect"/>
    <x v="1"/>
    <x v="0"/>
    <d v="2020-10-29T00:00:00"/>
    <s v="Macarling, Federico"/>
    <n v="123456"/>
    <s v="no"/>
    <s v="M001170038"/>
    <d v="2020-10-29T13:17:03"/>
    <x v="1"/>
  </r>
  <r>
    <x v="16"/>
    <x v="221"/>
    <x v="16"/>
    <s v="M013"/>
    <d v="2018-01-01T00:00:00"/>
    <s v="Hikvission"/>
    <n v="3"/>
    <s v="ggcAdmin13"/>
    <s v="qwety"/>
    <n v="1234"/>
    <s v="CAMERA 4. NO VIDEO"/>
    <x v="1"/>
    <x v="1"/>
    <d v="2020-10-29T00:00:00"/>
    <s v="Macarling, Federico"/>
    <s v="IIERDL"/>
    <s v="-"/>
    <s v="M001170038"/>
    <d v="2020-10-29T13:25:02"/>
    <x v="1"/>
  </r>
  <r>
    <x v="16"/>
    <x v="222"/>
    <x v="16"/>
    <s v="M101"/>
    <d v="2018-01-01T00:00:00"/>
    <s v="Hikvission"/>
    <n v="4"/>
    <s v="ggcAdmin101"/>
    <s v="qwety"/>
    <n v="1234"/>
    <s v="CAMERA 3 NO VIDEO. HDD NOT DETECTED.. CCTV not recording"/>
    <x v="0"/>
    <x v="1"/>
    <d v="2020-10-29T00:00:00"/>
    <s v="Macarling, Federico"/>
    <n v="123456"/>
    <n v="1"/>
    <s v="M001170038"/>
    <d v="2020-10-29T13:25:24"/>
    <x v="1"/>
  </r>
  <r>
    <x v="16"/>
    <x v="223"/>
    <x v="16"/>
    <s v="M152"/>
    <d v="2019-09-24T00:00:00"/>
    <s v="Hikvission"/>
    <n v="4"/>
    <s v="ggcAdmin152"/>
    <s v="qwerty"/>
    <n v="1234"/>
    <s v="good"/>
    <x v="0"/>
    <x v="0"/>
    <d v="2020-10-29T00:00:00"/>
    <s v="Macarling, Federico"/>
    <n v="123456"/>
    <s v="-"/>
    <s v="M001170038"/>
    <d v="2020-10-29T13:20:40"/>
    <x v="1"/>
  </r>
  <r>
    <x v="16"/>
    <x v="224"/>
    <x v="16"/>
    <s v="M020"/>
    <d v="2018-01-01T00:00:00"/>
    <s v="Hikvission"/>
    <n v="4"/>
    <s v="ggcAdmin20"/>
    <s v="qwerty"/>
    <n v="1234"/>
    <s v="good"/>
    <x v="0"/>
    <x v="0"/>
    <d v="2020-10-29T00:00:00"/>
    <s v="Macarling, Federico"/>
    <s v="BKCCZH"/>
    <s v="-"/>
    <s v="M001170038"/>
    <d v="2020-10-29T13:20:57"/>
    <x v="1"/>
  </r>
  <r>
    <x v="16"/>
    <x v="225"/>
    <x v="16"/>
    <s v="M134"/>
    <d v="2019-01-01T00:00:00"/>
    <s v="Hikvission"/>
    <n v="4"/>
    <s v="ggcAdmin134"/>
    <s v="qwerty"/>
    <n v="1234"/>
    <s v="for visit. need to fix wirings"/>
    <x v="1"/>
    <x v="0"/>
    <d v="2020-11-05T00:00:00"/>
    <s v="Macarling, Federico"/>
    <n v="123456"/>
    <s v="-"/>
    <s v="M001170038"/>
    <d v="2020-11-05T13:26:34"/>
    <x v="0"/>
  </r>
  <r>
    <x v="16"/>
    <x v="226"/>
    <x v="16"/>
    <s v="M112"/>
    <d v="2019-01-01T00:00:00"/>
    <s v="Hikvission"/>
    <n v="4"/>
    <s v="ggcAdmin112"/>
    <s v="qwerty"/>
    <n v="1234"/>
    <s v="DVR NOT RECORDING..hdd failure"/>
    <x v="0"/>
    <x v="1"/>
    <d v="2020-10-29T00:00:00"/>
    <s v="Macarling, Federico"/>
    <s v="HZVFJO"/>
    <s v="-"/>
    <s v="M001170038"/>
    <d v="2020-10-29T13:24:45"/>
    <x v="1"/>
  </r>
  <r>
    <x v="16"/>
    <x v="227"/>
    <x v="16"/>
    <s v="M011"/>
    <d v="2018-01-01T00:00:00"/>
    <s v="Hikvission"/>
    <n v="4"/>
    <s v="ggcAdmin11"/>
    <s v="qwerty"/>
    <n v="1234"/>
    <s v="cant access dvr..offline to hikconnect"/>
    <x v="1"/>
    <x v="1"/>
    <d v="2020-10-29T00:00:00"/>
    <s v="Macarling, Federico"/>
    <s v="AHLFZU "/>
    <s v="-"/>
    <s v="M001170038"/>
    <d v="2020-10-29T13:25:44"/>
    <x v="1"/>
  </r>
  <r>
    <x v="16"/>
    <x v="228"/>
    <x v="16"/>
    <s v="M077"/>
    <d v="2019-01-01T00:00:00"/>
    <s v="Hikvission"/>
    <n v="4"/>
    <s v="ggcAdmin77"/>
    <s v="qwerty"/>
    <n v="1234"/>
    <s v="offline to hikconnect"/>
    <x v="1"/>
    <x v="0"/>
    <d v="2020-10-29T00:00:00"/>
    <s v="Macarling, Federico"/>
    <s v="QZBLLN "/>
    <s v="-"/>
    <s v="M001170038"/>
    <d v="2020-10-29T13:22:37"/>
    <x v="1"/>
  </r>
  <r>
    <x v="16"/>
    <x v="229"/>
    <x v="16"/>
    <s v="M085"/>
    <d v="2019-10-09T00:00:00"/>
    <s v="Hikvission"/>
    <n v="4"/>
    <n v="1234"/>
    <n v="1234"/>
    <s v="qwety"/>
    <s v="no cctv, for installation"/>
    <x v="1"/>
    <x v="6"/>
    <d v="2020-10-29T00:00:00"/>
    <s v="Macarling, Federico"/>
    <s v="--"/>
    <s v="--"/>
    <s v="M001170038"/>
    <d v="2020-10-29T13:26:09"/>
    <x v="1"/>
  </r>
  <r>
    <x v="16"/>
    <x v="230"/>
    <x v="16"/>
    <s v="M124"/>
    <d v="2018-10-01T00:00:00"/>
    <s v="Hikvission"/>
    <n v="4"/>
    <s v="ggcAdmin124"/>
    <s v="qwerty"/>
    <n v="1234"/>
    <s v="offline to hikconnect"/>
    <x v="1"/>
    <x v="0"/>
    <d v="2020-10-29T00:00:00"/>
    <s v="Macarling, Federico"/>
    <n v="123456"/>
    <s v="-"/>
    <s v="M001170038"/>
    <d v="2020-10-29T13:23:50"/>
    <x v="1"/>
  </r>
  <r>
    <x v="16"/>
    <x v="231"/>
    <x v="16"/>
    <s v="M070"/>
    <d v="2018-01-01T00:00:00"/>
    <s v="Hikvission"/>
    <n v="4"/>
    <s v="ggcAdmin70"/>
    <s v="qwerty"/>
    <n v="1234"/>
    <s v="cant access dvr/need to rewire lan cable to dvr"/>
    <x v="1"/>
    <x v="1"/>
    <d v="2020-10-29T00:00:00"/>
    <s v="Macarling, Federico"/>
    <s v="PBSILA"/>
    <s v="-"/>
    <s v="M001170038"/>
    <d v="2020-10-29T13:26:29"/>
    <x v="1"/>
  </r>
  <r>
    <x v="16"/>
    <x v="232"/>
    <x v="16"/>
    <s v="M060"/>
    <d v="2018-01-01T00:00:00"/>
    <s v="M143190012"/>
    <n v="4"/>
    <s v="ggcAdmin60"/>
    <s v="qwerty"/>
    <n v="1234"/>
    <s v="offline to hikconnect"/>
    <x v="1"/>
    <x v="1"/>
    <d v="2020-10-29T00:00:00"/>
    <s v="Macarling, Federico"/>
    <s v="FPBFUS"/>
    <s v="-"/>
    <s v="M001170038"/>
    <d v="2020-10-29T13:21:50"/>
    <x v="1"/>
  </r>
  <r>
    <x v="16"/>
    <x v="233"/>
    <x v="16"/>
    <s v="M066"/>
    <d v="2018-01-01T00:00:00"/>
    <s v="Hikvission"/>
    <n v="4"/>
    <s v="ggcAdmin66"/>
    <s v="qwerty"/>
    <n v="1234"/>
    <s v="good"/>
    <x v="0"/>
    <x v="0"/>
    <d v="2020-10-29T00:00:00"/>
    <s v="Macarling, Federico"/>
    <s v="MFZROB"/>
    <s v="-"/>
    <s v="M001170038"/>
    <d v="2020-10-29T13:24:16"/>
    <x v="1"/>
  </r>
  <r>
    <x v="16"/>
    <x v="234"/>
    <x v="16"/>
    <s v="M045"/>
    <d v="2018-01-01T00:00:00"/>
    <s v="Hikvission"/>
    <n v="4"/>
    <s v="ggcAdmin45"/>
    <s v="qwerty"/>
    <n v="1234"/>
    <s v="cant access dvr..not yet added to hikconnect"/>
    <x v="1"/>
    <x v="1"/>
    <d v="2020-10-29T00:00:00"/>
    <s v="Macarling, Federico"/>
    <s v="VRPUEK"/>
    <s v="-"/>
    <s v="M001170038"/>
    <d v="2020-10-29T13:26:47"/>
    <x v="1"/>
  </r>
  <r>
    <x v="16"/>
    <x v="235"/>
    <x v="16"/>
    <s v="M116"/>
    <d v="2018-01-01T00:00:00"/>
    <s v="Hikvission"/>
    <n v="4"/>
    <s v="ggcAdmin"/>
    <s v="qwerty"/>
    <n v="1234"/>
    <s v="offline to hikconnect. can't access thru local ip address"/>
    <x v="1"/>
    <x v="1"/>
    <d v="2020-10-29T00:00:00"/>
    <s v="Macarling, Federico"/>
    <s v="RJZWHA"/>
    <s v="-"/>
    <s v="M001170038"/>
    <d v="2020-10-29T13:22:55"/>
    <x v="1"/>
  </r>
  <r>
    <x v="17"/>
    <x v="236"/>
    <x v="17"/>
    <s v="M115"/>
    <d v="2018-01-01T00:00:00"/>
    <s v="Hikvission"/>
    <n v="4"/>
    <s v="ggcAdmin115"/>
    <s v="GUANZON_M115"/>
    <s v="naic44211523646mcc"/>
    <s v="good"/>
    <x v="0"/>
    <x v="0"/>
    <d v="2020-10-29T00:00:00"/>
    <s v="Macarling, Federico"/>
    <n v="123456"/>
    <s v="-"/>
    <s v="M001170038"/>
    <d v="2020-10-29T14:08:27"/>
    <x v="1"/>
  </r>
  <r>
    <x v="17"/>
    <x v="237"/>
    <x v="17"/>
    <s v="M153"/>
    <d v="2020-01-28T00:00:00"/>
    <s v="hikvision"/>
    <n v="4"/>
    <s v="G44223646153"/>
    <s v="GUANZON_M153"/>
    <s v="tanza4421532020"/>
    <s v="good. visited by bernard 1/29/2020..online"/>
    <x v="0"/>
    <x v="0"/>
    <d v="2020-10-29T00:00:00"/>
    <s v="Macarling, Federico"/>
    <n v="123456"/>
    <s v="-"/>
    <s v="M001170038"/>
    <d v="2020-10-29T14:04:28"/>
    <x v="1"/>
  </r>
  <r>
    <x v="17"/>
    <x v="238"/>
    <x v="17"/>
    <s v="M040"/>
    <d v="2018-01-01T00:00:00"/>
    <s v="Hikvission"/>
    <n v="4"/>
    <s v="ggcAdmin40"/>
    <s v="qwerty"/>
    <n v="1234"/>
    <s v="CAMERA 3 AND 4 NO VIDEO..OUTSIDE AND SERVICE AREA NABABASA NG ULAN"/>
    <x v="0"/>
    <x v="1"/>
    <d v="2020-10-29T00:00:00"/>
    <s v="Macarling, Federico"/>
    <n v="123456"/>
    <s v="n/a"/>
    <s v="M001170038"/>
    <d v="2020-10-29T14:07:50"/>
    <x v="1"/>
  </r>
  <r>
    <x v="17"/>
    <x v="239"/>
    <x v="17"/>
    <s v="M044"/>
    <d v="2018-10-01T00:00:00"/>
    <s v="Hikvission"/>
    <n v="6"/>
    <s v="ggcAdmin138"/>
    <s v="qwerty"/>
    <n v="1234"/>
    <s v="CAMERA 1..no video..offline to hikconnect"/>
    <x v="1"/>
    <x v="1"/>
    <d v="2020-10-29T00:00:00"/>
    <s v="Macarling, Federico"/>
    <n v="123456"/>
    <s v="-"/>
    <s v="M001170038"/>
    <d v="2020-10-29T14:05:32"/>
    <x v="1"/>
  </r>
  <r>
    <x v="17"/>
    <x v="240"/>
    <x v="17"/>
    <s v="M039"/>
    <d v="2018-01-01T00:00:00"/>
    <s v="Hikvission"/>
    <n v="4"/>
    <s v="ggcAdmin39"/>
    <s v="qwety"/>
    <n v="1234"/>
    <s v="CAMERA 3..NO VIDEO."/>
    <x v="0"/>
    <x v="1"/>
    <d v="2020-10-29T00:00:00"/>
    <s v="Macarling, Federico"/>
    <n v="123456"/>
    <s v="-"/>
    <s v="M001170038"/>
    <d v="2020-10-29T14:04:51"/>
    <x v="1"/>
  </r>
  <r>
    <x v="17"/>
    <x v="241"/>
    <x v="17"/>
    <s v="M075"/>
    <d v="2018-01-01T00:00:00"/>
    <s v="Hikvission"/>
    <n v="4"/>
    <s v="ggcAdmin75"/>
    <s v="qwerty"/>
    <n v="1234"/>
    <s v="Cant access dvr..OFFLINE TO HIKCONNECT"/>
    <x v="1"/>
    <x v="1"/>
    <d v="2020-10-29T00:00:00"/>
    <s v="Macarling, Federico"/>
    <n v="123456"/>
    <s v="-"/>
    <s v="M001170038"/>
    <d v="2020-10-29T14:07:25"/>
    <x v="1"/>
  </r>
  <r>
    <x v="17"/>
    <x v="242"/>
    <x v="17"/>
    <s v="M054"/>
    <d v="2018-01-01T00:00:00"/>
    <s v="Hikvission"/>
    <n v="4"/>
    <s v="ggcAdmin54"/>
    <s v="qwerty"/>
    <n v="1234"/>
    <s v="OFFLINE TO HIKCONNECT. "/>
    <x v="1"/>
    <x v="1"/>
    <d v="2020-10-29T00:00:00"/>
    <s v="Macarling, Federico"/>
    <s v="YPPIXC"/>
    <s v="-"/>
    <s v="M001170038"/>
    <d v="2020-10-29T14:05:55"/>
    <x v="1"/>
  </r>
  <r>
    <x v="17"/>
    <x v="243"/>
    <x v="17"/>
    <s v="M091"/>
    <d v="2018-01-01T00:00:00"/>
    <s v="Hikvission"/>
    <n v="4"/>
    <s v="ggcAdmin91"/>
    <s v="qwerty"/>
    <n v="1234"/>
    <s v="CAMERA 1 NO VIDEO...offline to hikconnect"/>
    <x v="1"/>
    <x v="1"/>
    <d v="2020-10-29T00:00:00"/>
    <s v="Macarling, Federico"/>
    <n v="123456"/>
    <s v="-"/>
    <s v="M001170038"/>
    <d v="2020-10-29T14:06:34"/>
    <x v="1"/>
  </r>
  <r>
    <x v="17"/>
    <x v="244"/>
    <x v="17"/>
    <s v="M121"/>
    <d v="2018-01-01T00:00:00"/>
    <s v="Hikvission"/>
    <n v="4"/>
    <s v="ggcAdmin121"/>
    <s v="qwerty"/>
    <n v="1234"/>
    <s v="good"/>
    <x v="0"/>
    <x v="0"/>
    <d v="2020-10-29T00:00:00"/>
    <s v="Macarling, Federico"/>
    <n v="123456"/>
    <s v="-"/>
    <s v="M001170038"/>
    <d v="2020-10-29T14:07:11"/>
    <x v="1"/>
  </r>
  <r>
    <x v="17"/>
    <x v="245"/>
    <x v="17"/>
    <s v="M046"/>
    <d v="2018-01-01T00:00:00"/>
    <s v="Hikvission"/>
    <n v="4"/>
    <s v="ggcAdmin46"/>
    <s v="qwerty"/>
    <n v="1234"/>
    <s v="OFFLINE DVR. FOR VISIT"/>
    <x v="1"/>
    <x v="1"/>
    <d v="2020-10-29T00:00:00"/>
    <s v="Macarling, Federico"/>
    <n v="123456"/>
    <s v="-"/>
    <s v="M001170038"/>
    <d v="2020-10-29T14:06:51"/>
    <x v="1"/>
  </r>
  <r>
    <x v="17"/>
    <x v="246"/>
    <x v="17"/>
    <s v="M081"/>
    <d v="2018-01-01T00:00:00"/>
    <s v="Hikvission"/>
    <n v="4"/>
    <s v="ggcAdmin81"/>
    <s v="qwerty"/>
    <n v="1234"/>
    <s v="URGENT FOR VISIT REQUEST BY TONY CABALLERO..OFFLINE TO HIKCONNECT"/>
    <x v="1"/>
    <x v="1"/>
    <d v="2020-10-29T00:00:00"/>
    <s v="Macarling, Federico"/>
    <n v="123456"/>
    <s v="-"/>
    <s v="M001170038"/>
    <d v="2020-10-29T14:05:06"/>
    <x v="1"/>
  </r>
  <r>
    <x v="18"/>
    <x v="247"/>
    <x v="18"/>
    <s v="M127"/>
    <d v="2018-05-03T00:00:00"/>
    <s v="Hikvission"/>
    <n v="4"/>
    <s v="ggcAdmin127"/>
    <s v="qwerty"/>
    <n v="1234"/>
    <s v="good"/>
    <x v="0"/>
    <x v="0"/>
    <d v="2020-11-27T00:00:00"/>
    <s v="Macarling, Federico"/>
    <n v="123456"/>
    <s v="-"/>
    <s v="M001170038"/>
    <d v="2020-11-27T10:18:38"/>
    <x v="0"/>
  </r>
  <r>
    <x v="18"/>
    <x v="248"/>
    <x v="18"/>
    <s v="M099"/>
    <d v="2018-01-01T00:00:00"/>
    <s v="Hikvission"/>
    <n v="4"/>
    <s v="ggcAdmin99"/>
    <s v="qwerty"/>
    <n v="1234"/>
    <s v="dvr no isp/ broadband connection only"/>
    <x v="1"/>
    <x v="5"/>
    <d v="2020-10-29T00:00:00"/>
    <s v="Macarling, Federico"/>
    <n v="123456"/>
    <n v="1"/>
    <s v="M001170038"/>
    <d v="2020-10-29T14:10:53"/>
    <x v="1"/>
  </r>
  <r>
    <x v="18"/>
    <x v="249"/>
    <x v="18"/>
    <s v="M090"/>
    <d v="2018-01-01T00:00:00"/>
    <s v="Hikvission"/>
    <n v="4"/>
    <s v="ggcAdmin90"/>
    <s v="qwrty"/>
    <n v="1234"/>
    <s v="dvr no isp/ broadband connection only"/>
    <x v="1"/>
    <x v="5"/>
    <d v="2020-10-29T00:00:00"/>
    <s v="Macarling, Federico"/>
    <n v="123456"/>
    <s v="-"/>
    <s v="M001170038"/>
    <d v="2020-10-29T14:11:05"/>
    <x v="1"/>
  </r>
  <r>
    <x v="19"/>
    <x v="250"/>
    <x v="19"/>
    <s v="M143"/>
    <d v="2019-04-03T00:00:00"/>
    <s v="Hikvission"/>
    <n v="6"/>
    <s v="gtcAdmin143"/>
    <s v="qwerty"/>
    <n v="1234"/>
    <s v="good"/>
    <x v="0"/>
    <x v="0"/>
    <d v="2020-10-29T00:00:00"/>
    <s v="Macarling, Federico"/>
    <n v="123456"/>
    <s v="-"/>
    <s v="M001170038"/>
    <d v="2020-10-29T14:16:19"/>
    <x v="1"/>
  </r>
  <r>
    <x v="19"/>
    <x v="251"/>
    <x v="19"/>
    <s v="M168"/>
    <d v="2020-09-01T00:00:00"/>
    <s v="hikvision"/>
    <n v="4"/>
    <s v="ggcAdmin168"/>
    <s v="GUANZON_M168"/>
    <s v="mcc4826966477"/>
    <s v="For installation and for issuance of CCTV"/>
    <x v="1"/>
    <x v="5"/>
    <d v="2020-10-29T00:00:00"/>
    <s v="Macarling, Federico"/>
    <n v="123456"/>
    <s v="n/a"/>
    <s v="M001170038"/>
    <d v="2020-10-29T14:16:30"/>
    <x v="1"/>
  </r>
  <r>
    <x v="20"/>
    <x v="252"/>
    <x v="20"/>
    <s v="M074"/>
    <d v="2018-01-01T00:00:00"/>
    <s v="Hikvission"/>
    <n v="4"/>
    <s v="ggcAdmin74"/>
    <s v="qwerty"/>
    <n v="1234"/>
    <s v="good"/>
    <x v="0"/>
    <x v="0"/>
    <d v="2020-10-29T00:00:00"/>
    <s v="Macarling, Federico"/>
    <n v="123456"/>
    <s v="-"/>
    <s v="M001170038"/>
    <d v="2020-10-29T14:17:41"/>
    <x v="1"/>
  </r>
  <r>
    <x v="20"/>
    <x v="253"/>
    <x v="20"/>
    <s v="M119"/>
    <d v="2019-01-01T00:00:00"/>
    <s v="Hikvission"/>
    <n v="4"/>
    <s v="ggcAdmin119"/>
    <s v="qwerty"/>
    <n v="1234"/>
    <s v="ALL CAMERA VIDEO LOSS.. FOR REPLACEMENT CCTV POWER SUPPLY"/>
    <x v="0"/>
    <x v="1"/>
    <d v="2020-10-29T00:00:00"/>
    <s v="Macarling, Federico"/>
    <s v="ZCHHVA"/>
    <s v="-"/>
    <s v="M001170038"/>
    <d v="2020-10-29T14:18:05"/>
    <x v="1"/>
  </r>
  <r>
    <x v="20"/>
    <x v="254"/>
    <x v="20"/>
    <s v="M137"/>
    <d v="2019-01-01T00:00:00"/>
    <s v="Hikvission"/>
    <n v="4"/>
    <s v="ggcAdmin137"/>
    <s v="qwerty"/>
    <n v="1234"/>
    <s v="good"/>
    <x v="0"/>
    <x v="0"/>
    <d v="2020-10-29T00:00:00"/>
    <s v="Macarling, Federico"/>
    <n v="123456"/>
    <s v="-"/>
    <s v="M001170038"/>
    <d v="2020-10-29T14:18:28"/>
    <x v="1"/>
  </r>
  <r>
    <x v="20"/>
    <x v="255"/>
    <x v="20"/>
    <s v="M123"/>
    <d v="2019-01-01T00:00:00"/>
    <s v="Hikvission"/>
    <n v="4"/>
    <s v="ggcAdmin123"/>
    <s v="qwerty"/>
    <n v="1234"/>
    <s v="CAMERA 4.. BLUR.. NEED TO CHECK CAMERA AND VIDEO BALUN"/>
    <x v="0"/>
    <x v="1"/>
    <d v="2020-10-29T00:00:00"/>
    <s v="Macarling, Federico"/>
    <s v="OULDYS"/>
    <s v="-"/>
    <s v="M001170038"/>
    <d v="2020-10-29T14:23:18"/>
    <x v="1"/>
  </r>
  <r>
    <x v="20"/>
    <x v="256"/>
    <x v="20"/>
    <s v="M147"/>
    <d v="2019-01-01T00:00:00"/>
    <s v="Hikvission"/>
    <n v="4"/>
    <s v="ggcAdmin147"/>
    <s v="qwty"/>
    <n v="1234"/>
    <s v="CAMERA 3. NO VIDEO"/>
    <x v="0"/>
    <x v="1"/>
    <d v="2020-10-29T00:00:00"/>
    <s v="Macarling, Federico"/>
    <n v="123456"/>
    <s v="-"/>
    <s v="M001170038"/>
    <d v="2020-10-29T14:22:36"/>
    <x v="1"/>
  </r>
  <r>
    <x v="20"/>
    <x v="257"/>
    <x v="20"/>
    <s v="M087"/>
    <d v="2019-10-09T00:00:00"/>
    <s v="Hikvission"/>
    <n v="4"/>
    <s v="ggcAdmin87"/>
    <s v="qwerty"/>
    <n v="1234"/>
    <s v="offline to hikconnect"/>
    <x v="1"/>
    <x v="1"/>
    <d v="2020-10-29T00:00:00"/>
    <s v="Macarling, Federico"/>
    <n v="123456"/>
    <s v="-"/>
    <s v="M001170038"/>
    <d v="2020-10-29T14:23:55"/>
    <x v="1"/>
  </r>
  <r>
    <x v="20"/>
    <x v="258"/>
    <x v="20"/>
    <s v="M042"/>
    <d v="2018-01-01T00:00:00"/>
    <s v="Hikvission"/>
    <n v="4"/>
    <s v="ggcAdmin42"/>
    <s v="qwerty"/>
    <n v="1234"/>
    <s v="ALL CAMERA - NO VIDEO..FOR VISIT. NEED TO REPLACE CCTV POWER SUPPLY"/>
    <x v="0"/>
    <x v="1"/>
    <d v="2020-10-29T00:00:00"/>
    <s v="Macarling, Federico"/>
    <n v="123456"/>
    <n v="1"/>
    <s v="M001170038"/>
    <d v="2020-10-29T14:26:08"/>
    <x v="1"/>
  </r>
  <r>
    <x v="20"/>
    <x v="259"/>
    <x v="20"/>
    <s v="M108"/>
    <d v="2018-01-01T00:00:00"/>
    <s v="Hikvission"/>
    <n v="4"/>
    <s v="ggcAdmin108"/>
    <s v="qwerty"/>
    <n v="1234"/>
    <s v="offline to hikconnect"/>
    <x v="1"/>
    <x v="0"/>
    <d v="2020-10-29T00:00:00"/>
    <s v="Macarling, Federico"/>
    <n v="123456"/>
    <s v="-"/>
    <s v="M001170038"/>
    <d v="2020-10-29T14:25:46"/>
    <x v="1"/>
  </r>
  <r>
    <x v="20"/>
    <x v="260"/>
    <x v="20"/>
    <s v="M097"/>
    <d v="2018-01-01T00:00:00"/>
    <s v="Hikvission"/>
    <n v="4"/>
    <s v="ggcAdmin97"/>
    <s v="qwerty"/>
    <n v="1234"/>
    <s v="OFFLINE TO HIKCONNECT"/>
    <x v="1"/>
    <x v="0"/>
    <d v="2020-10-29T00:00:00"/>
    <s v="Macarling, Federico"/>
    <n v="123456"/>
    <s v="-"/>
    <s v="M001170038"/>
    <d v="2020-10-29T14:25:18"/>
    <x v="1"/>
  </r>
  <r>
    <x v="20"/>
    <x v="261"/>
    <x v="20"/>
    <s v="M089"/>
    <d v="2018-01-01T00:00:00"/>
    <s v="Hikvission"/>
    <n v="4"/>
    <s v="ggcAdmin89"/>
    <s v="qwerty"/>
    <n v="1234"/>
    <s v="HINDI PA NAKAINSTALL ANG CCTV RECORDER..FOR VISIT"/>
    <x v="1"/>
    <x v="1"/>
    <d v="2020-10-29T00:00:00"/>
    <s v="Macarling, Federico"/>
    <n v="123456"/>
    <s v="-"/>
    <s v="M001170038"/>
    <d v="2020-10-29T14:24:24"/>
    <x v="1"/>
  </r>
  <r>
    <x v="20"/>
    <x v="262"/>
    <x v="20"/>
    <s v="M098"/>
    <d v="2018-01-01T00:00:00"/>
    <s v="Hikvission"/>
    <n v="4"/>
    <s v="ggcAdmin98"/>
    <s v="qwerty"/>
    <n v="1234"/>
    <s v="good"/>
    <x v="0"/>
    <x v="0"/>
    <d v="2020-10-29T00:00:00"/>
    <s v="Macarling, Federico"/>
    <n v="123456"/>
    <s v="-"/>
    <s v="M001170038"/>
    <d v="2020-10-29T14:22:15"/>
    <x v="1"/>
  </r>
  <r>
    <x v="21"/>
    <x v="263"/>
    <x v="21"/>
    <s v="M159"/>
    <d v="2020-09-01T00:00:00"/>
    <s v="hikvision"/>
    <n v="4"/>
    <s v="ggcAdmin159"/>
    <s v="GUANZON_M159"/>
    <s v="mcc4826966477"/>
    <s v="good"/>
    <x v="0"/>
    <x v="0"/>
    <d v="2020-10-29T00:00:00"/>
    <s v="Macarling, Federico"/>
    <n v="123456"/>
    <s v="n/a"/>
    <s v="M001170038"/>
    <d v="2020-10-29T14:33:26"/>
    <x v="1"/>
  </r>
  <r>
    <x v="21"/>
    <x v="264"/>
    <x v="21"/>
    <s v="M161"/>
    <d v="2020-09-01T00:00:00"/>
    <s v="hikvision"/>
    <n v="4"/>
    <s v="ggcAdmin161"/>
    <s v="GUANZON_M161"/>
    <s v="mcc4826966477"/>
    <s v="Need to make lan connection going to modem. c/o sir sidney"/>
    <x v="1"/>
    <x v="0"/>
    <d v="2020-10-29T00:00:00"/>
    <s v="Macarling, Federico"/>
    <n v="123456"/>
    <s v="n/a"/>
    <s v="M001170038"/>
    <d v="2020-10-29T14:34:08"/>
    <x v="1"/>
  </r>
  <r>
    <x v="21"/>
    <x v="265"/>
    <x v="21"/>
    <s v="M118"/>
    <d v="2017-10-01T00:00:00"/>
    <s v="Hikvission"/>
    <n v="4"/>
    <s v="ggcAdmin118"/>
    <s v="qwerty"/>
    <n v="1234"/>
    <s v="good"/>
    <x v="0"/>
    <x v="0"/>
    <d v="2020-10-29T00:00:00"/>
    <s v="Macarling, Federico"/>
    <n v="123456"/>
    <s v="-"/>
    <s v="M001170038"/>
    <d v="2020-10-29T14:33:51"/>
    <x v="1"/>
  </r>
  <r>
    <x v="21"/>
    <x v="266"/>
    <x v="21"/>
    <s v="M141"/>
    <d v="2019-05-03T00:00:00"/>
    <s v="Hikvission"/>
    <n v="4"/>
    <s v="ggcAdmin141"/>
    <s v="qwerty"/>
    <n v="1234"/>
    <s v="offline to hikconnect. weak isp connection"/>
    <x v="1"/>
    <x v="0"/>
    <d v="2020-10-29T00:00:00"/>
    <s v="Macarling, Federico"/>
    <n v="123456"/>
    <s v="-"/>
    <s v="M001170038"/>
    <d v="2020-10-29T14:34:27"/>
    <x v="1"/>
  </r>
  <r>
    <x v="21"/>
    <x v="267"/>
    <x v="21"/>
    <s v="M142"/>
    <d v="2019-05-03T00:00:00"/>
    <s v="Hikvission"/>
    <n v="4"/>
    <s v="ggcAdmin142"/>
    <s v="qwerty"/>
    <n v="1234"/>
    <s v="good"/>
    <x v="0"/>
    <x v="0"/>
    <d v="2020-10-29T00:00:00"/>
    <s v="Macarling, Federico"/>
    <n v="123456"/>
    <s v="--"/>
    <s v="M001170038"/>
    <d v="2020-10-29T14:34:40"/>
    <x v="1"/>
  </r>
  <r>
    <x v="22"/>
    <x v="268"/>
    <x v="22"/>
    <s v="M0W5"/>
    <d v="2020-09-01T00:00:00"/>
    <s v="hikvision"/>
    <n v="9"/>
    <s v="ggcAdmin123"/>
    <s v="GUANZON_M0W5"/>
    <s v="baler4826966477"/>
    <s v="good"/>
    <x v="0"/>
    <x v="0"/>
    <d v="2020-10-29T00:00:00"/>
    <s v="Macarling, Federico"/>
    <n v="123456"/>
    <s v="n/a"/>
    <s v="M001170038"/>
    <d v="2020-10-29T14:35:29"/>
    <x v="1"/>
  </r>
  <r>
    <x v="22"/>
    <x v="269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22"/>
    <x v="270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22"/>
    <x v="271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  <r>
    <x v="22"/>
    <x v="272"/>
    <x v="2"/>
    <s v="\N"/>
    <s v="\N"/>
    <s v="\N"/>
    <s v="\N"/>
    <s v="\N"/>
    <s v="\N"/>
    <s v="\N"/>
    <s v="\N"/>
    <x v="2"/>
    <x v="2"/>
    <s v="\N"/>
    <s v="\N"/>
    <s v="\N"/>
    <s v="\N"/>
    <s v="\N"/>
    <s v="\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7:I62" firstHeaderRow="1" firstDataRow="2" firstDataCol="1"/>
  <pivotFields count="20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2"/>
        <item x="4"/>
        <item x="1"/>
        <item x="3"/>
        <item x="6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sBranchNm" fld="1" subtotal="count" baseField="0" baseItem="0"/>
  </dataFields>
  <formats count="7"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2" count="0"/>
        </references>
      </pivotArea>
    </format>
    <format dxfId="4">
      <pivotArea dataOnly="0" labelOnly="1" grandCol="1" outline="0" fieldPosition="0"/>
    </format>
    <format dxfId="3">
      <pivotArea dataOnly="0" outline="0" fieldPosition="0">
        <references count="1">
          <reference field="12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67:E92" firstHeaderRow="1" firstDataRow="2" firstDataCol="1"/>
  <pivotFields count="20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sBranchNm" fld="1" subtotal="count" baseField="0" baseItem="0"/>
  </dataFields>
  <formats count="8"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11" count="0"/>
        </references>
      </pivotArea>
    </format>
    <format dxfId="12">
      <pivotArea dataOnly="0" labelOnly="1" grandCol="1" outline="0" fieldPosition="0"/>
    </format>
    <format dxfId="11">
      <pivotArea outline="0" collapsedLevelsAreSubtotals="1" fieldPosition="0">
        <references count="1">
          <reference field="11" count="2" selected="0">
            <x v="0"/>
            <x v="1"/>
          </reference>
        </references>
      </pivotArea>
    </format>
    <format dxfId="10">
      <pivotArea dataOnly="0" labelOnly="1" fieldPosition="0">
        <references count="1">
          <reference field="11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1:E33" firstHeaderRow="1" firstDataRow="2" firstDataCol="1"/>
  <pivotFields count="20">
    <pivotField showAll="0"/>
    <pivotField dataField="1" showAll="0">
      <items count="274">
        <item x="91"/>
        <item x="268"/>
        <item x="84"/>
        <item x="85"/>
        <item x="86"/>
        <item x="122"/>
        <item x="269"/>
        <item x="123"/>
        <item x="152"/>
        <item x="173"/>
        <item x="136"/>
        <item x="95"/>
        <item x="174"/>
        <item x="153"/>
        <item x="221"/>
        <item x="222"/>
        <item x="204"/>
        <item x="106"/>
        <item x="137"/>
        <item x="124"/>
        <item x="270"/>
        <item x="205"/>
        <item x="107"/>
        <item x="271"/>
        <item x="87"/>
        <item x="88"/>
        <item x="92"/>
        <item x="93"/>
        <item x="188"/>
        <item x="89"/>
        <item x="94"/>
        <item x="36"/>
        <item x="15"/>
        <item x="16"/>
        <item x="48"/>
        <item x="0"/>
        <item x="1"/>
        <item x="49"/>
        <item x="50"/>
        <item x="69"/>
        <item x="90"/>
        <item x="175"/>
        <item x="125"/>
        <item x="138"/>
        <item x="252"/>
        <item x="154"/>
        <item x="108"/>
        <item x="206"/>
        <item x="155"/>
        <item x="156"/>
        <item x="157"/>
        <item x="189"/>
        <item x="176"/>
        <item x="158"/>
        <item x="126"/>
        <item x="223"/>
        <item x="253"/>
        <item x="177"/>
        <item x="109"/>
        <item x="178"/>
        <item x="179"/>
        <item x="190"/>
        <item x="254"/>
        <item x="139"/>
        <item x="96"/>
        <item x="207"/>
        <item x="263"/>
        <item x="191"/>
        <item x="250"/>
        <item x="140"/>
        <item x="141"/>
        <item x="180"/>
        <item x="224"/>
        <item x="264"/>
        <item x="192"/>
        <item x="255"/>
        <item x="251"/>
        <item x="225"/>
        <item x="193"/>
        <item x="159"/>
        <item x="181"/>
        <item x="97"/>
        <item x="236"/>
        <item x="208"/>
        <item x="98"/>
        <item x="256"/>
        <item x="247"/>
        <item x="160"/>
        <item x="161"/>
        <item x="142"/>
        <item x="226"/>
        <item x="143"/>
        <item x="215"/>
        <item x="194"/>
        <item x="195"/>
        <item x="110"/>
        <item x="144"/>
        <item x="209"/>
        <item x="111"/>
        <item x="265"/>
        <item x="127"/>
        <item x="266"/>
        <item x="237"/>
        <item x="267"/>
        <item x="216"/>
        <item x="17"/>
        <item x="51"/>
        <item x="2"/>
        <item x="37"/>
        <item x="38"/>
        <item x="3"/>
        <item x="39"/>
        <item x="18"/>
        <item x="40"/>
        <item x="19"/>
        <item x="52"/>
        <item x="41"/>
        <item x="20"/>
        <item x="21"/>
        <item x="4"/>
        <item x="53"/>
        <item x="5"/>
        <item x="42"/>
        <item x="6"/>
        <item x="22"/>
        <item x="70"/>
        <item x="71"/>
        <item x="54"/>
        <item x="55"/>
        <item x="23"/>
        <item x="24"/>
        <item x="72"/>
        <item x="56"/>
        <item x="57"/>
        <item x="7"/>
        <item x="73"/>
        <item x="74"/>
        <item x="75"/>
        <item x="43"/>
        <item x="25"/>
        <item x="76"/>
        <item x="77"/>
        <item x="58"/>
        <item x="59"/>
        <item x="78"/>
        <item x="79"/>
        <item x="8"/>
        <item x="9"/>
        <item x="44"/>
        <item x="60"/>
        <item x="61"/>
        <item x="10"/>
        <item x="45"/>
        <item x="26"/>
        <item x="80"/>
        <item x="27"/>
        <item x="62"/>
        <item x="81"/>
        <item x="28"/>
        <item x="63"/>
        <item x="11"/>
        <item x="29"/>
        <item x="64"/>
        <item x="30"/>
        <item x="31"/>
        <item x="12"/>
        <item x="32"/>
        <item x="82"/>
        <item x="65"/>
        <item x="66"/>
        <item x="13"/>
        <item x="33"/>
        <item x="83"/>
        <item x="67"/>
        <item x="46"/>
        <item x="34"/>
        <item x="14"/>
        <item x="272"/>
        <item x="128"/>
        <item x="238"/>
        <item x="182"/>
        <item x="162"/>
        <item x="227"/>
        <item x="129"/>
        <item x="99"/>
        <item x="228"/>
        <item x="100"/>
        <item x="112"/>
        <item x="113"/>
        <item x="114"/>
        <item x="163"/>
        <item x="164"/>
        <item x="165"/>
        <item x="183"/>
        <item x="248"/>
        <item x="196"/>
        <item x="217"/>
        <item x="115"/>
        <item x="101"/>
        <item x="239"/>
        <item x="145"/>
        <item x="146"/>
        <item x="130"/>
        <item x="210"/>
        <item x="166"/>
        <item x="240"/>
        <item x="197"/>
        <item x="211"/>
        <item x="147"/>
        <item x="148"/>
        <item x="229"/>
        <item x="116"/>
        <item x="230"/>
        <item x="218"/>
        <item x="219"/>
        <item x="184"/>
        <item x="257"/>
        <item x="258"/>
        <item x="241"/>
        <item x="131"/>
        <item x="117"/>
        <item x="118"/>
        <item x="185"/>
        <item x="231"/>
        <item x="232"/>
        <item x="242"/>
        <item x="167"/>
        <item x="102"/>
        <item x="259"/>
        <item x="149"/>
        <item x="150"/>
        <item x="186"/>
        <item x="243"/>
        <item x="249"/>
        <item x="132"/>
        <item x="133"/>
        <item x="260"/>
        <item x="168"/>
        <item x="103"/>
        <item x="134"/>
        <item x="261"/>
        <item x="198"/>
        <item x="151"/>
        <item x="135"/>
        <item x="233"/>
        <item x="234"/>
        <item x="262"/>
        <item x="220"/>
        <item x="119"/>
        <item x="244"/>
        <item x="199"/>
        <item x="200"/>
        <item x="245"/>
        <item x="187"/>
        <item x="246"/>
        <item x="235"/>
        <item x="212"/>
        <item x="213"/>
        <item x="104"/>
        <item x="169"/>
        <item x="201"/>
        <item x="202"/>
        <item x="203"/>
        <item x="170"/>
        <item x="171"/>
        <item x="105"/>
        <item x="214"/>
        <item x="120"/>
        <item x="121"/>
        <item x="172"/>
        <item x="47"/>
        <item x="68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Items count="1">
    <i/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Count of sBranchNm" fld="1" subtotal="count" baseField="0" baseItem="0"/>
  </dataFields>
  <formats count="7">
    <format dxfId="25">
      <pivotArea outline="0" collapsedLevelsAreSubtotals="1" fieldPosition="0"/>
    </format>
    <format dxfId="24">
      <pivotArea type="origin" dataOnly="0" labelOnly="1" outline="0" offset="A2" fieldPosition="0"/>
    </format>
    <format dxfId="23">
      <pivotArea dataOnly="0" labelOnly="1" outline="0" axis="axisValues" fieldPosition="0"/>
    </format>
    <format dxfId="22">
      <pivotArea dataOnly="0" labelOnly="1" fieldPosition="0">
        <references count="1">
          <reference field="19" count="0"/>
        </references>
      </pivotArea>
    </format>
    <format dxfId="21">
      <pivotArea dataOnly="0" labelOnly="1" grandCol="1" outline="0" fieldPosition="0"/>
    </format>
    <format dxfId="20">
      <pivotArea outline="0" collapsedLevelsAreSubtotals="1" fieldPosition="0">
        <references count="1">
          <reference field="19" count="1" selected="0">
            <x v="1"/>
          </reference>
        </references>
      </pivotArea>
    </format>
    <format dxfId="18">
      <pivotArea dataOnly="0" labelOnly="1" fieldPosition="0">
        <references count="1">
          <reference field="1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F18:I24" firstHeaderRow="1" firstDataRow="2" firstDataCol="1"/>
  <pivotFields count="22">
    <pivotField showAll="0"/>
    <pivotField showAll="0"/>
    <pivotField axis="axisCol" showAll="0">
      <items count="3">
        <item x="1"/>
        <item x="0"/>
        <item t="default"/>
      </items>
    </pivotField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numFmtId="22"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TransNox" fld="3" subtotal="count" baseField="0" baseItem="0"/>
  </dataFields>
  <formats count="3">
    <format dxfId="28">
      <pivotArea type="all" dataOnly="0" outline="0" fieldPosition="0"/>
    </format>
    <format dxfId="27">
      <pivotArea collapsedLevelsAreSubtotals="1" fieldPosition="0">
        <references count="2">
          <reference field="2" count="1" selected="0">
            <x v="0"/>
          </reference>
          <reference field="20" count="1">
            <x v="1"/>
          </reference>
        </references>
      </pivotArea>
    </format>
    <format dxfId="26">
      <pivotArea collapsedLevelsAreSubtotals="1" fieldPosition="0">
        <references count="2">
          <reference field="2" count="1" selected="0">
            <x v="0"/>
          </reference>
          <reference field="2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7:D27" firstHeaderRow="1" firstDataRow="2" firstDataCol="1"/>
  <pivotFields count="22"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axis="axisRow" showAll="0">
      <items count="9">
        <item x="4"/>
        <item x="3"/>
        <item x="1"/>
        <item x="0"/>
        <item x="5"/>
        <item x="2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numFmtId="22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sTransNox" fld="3" subtotal="count" baseField="0" baseItem="0"/>
  </dataFields>
  <formats count="8">
    <format dxfId="36">
      <pivotArea outline="0" collapsedLevelsAreSubtotals="1" fieldPosition="0"/>
    </format>
    <format dxfId="35">
      <pivotArea field="8" type="button" dataOnly="0" labelOnly="1" outline="0" axis="axisRow" fieldPosition="0"/>
    </format>
    <format dxfId="34">
      <pivotArea dataOnly="0" labelOnly="1" fieldPosition="0">
        <references count="1">
          <reference field="8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17" count="0"/>
        </references>
      </pivotArea>
    </format>
    <format dxfId="31">
      <pivotArea dataOnly="0" labelOnly="1" grandCol="1" outline="0" fieldPosition="0"/>
    </format>
    <format dxfId="30">
      <pivotArea outline="0" collapsedLevelsAreSubtotals="1" fieldPosition="0">
        <references count="1">
          <reference field="17" count="1" selected="0">
            <x v="0"/>
          </reference>
        </references>
      </pivotArea>
    </format>
    <format dxfId="29">
      <pivotArea dataOnly="0" labelOnly="1" fieldPosition="0">
        <references count="1">
          <reference field="1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L13" firstHeaderRow="1" firstDataRow="2" firstDataCol="1"/>
  <pivotFields count="22"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axis="axisRow" showAll="0">
      <items count="9">
        <item x="4"/>
        <item x="3"/>
        <item x="1"/>
        <item x="0"/>
        <item x="5"/>
        <item x="2"/>
        <item x="7"/>
        <item x="6"/>
        <item t="default"/>
      </items>
    </pivotField>
    <pivotField axis="axisCol" showAll="0">
      <items count="11">
        <item x="4"/>
        <item x="6"/>
        <item x="7"/>
        <item x="8"/>
        <item x="3"/>
        <item x="1"/>
        <item x="2"/>
        <item x="0"/>
        <item x="5"/>
        <item x="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22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9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sTransNox" fld="3" subtotal="count" baseField="0" baseItem="0"/>
  </dataFields>
  <formats count="12">
    <format dxfId="48">
      <pivotArea outline="0" collapsedLevelsAreSubtotals="1" fieldPosition="0"/>
    </format>
    <format dxfId="47">
      <pivotArea field="8" type="button" dataOnly="0" labelOnly="1" outline="0" axis="axisRow" fieldPosition="0"/>
    </format>
    <format dxfId="46">
      <pivotArea dataOnly="0" labelOnly="1" fieldPosition="0">
        <references count="1">
          <reference field="8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9" count="0"/>
        </references>
      </pivotArea>
    </format>
    <format dxfId="43">
      <pivotArea dataOnly="0" labelOnly="1" grandCol="1" outline="0" fieldPosition="0"/>
    </format>
    <format dxfId="42">
      <pivotArea outline="0" collapsedLevelsAreSubtotals="1" fieldPosition="0">
        <references count="1">
          <reference field="9" count="1" selected="0">
            <x v="7"/>
          </reference>
        </references>
      </pivotArea>
    </format>
    <format dxfId="41">
      <pivotArea dataOnly="0" labelOnly="1" fieldPosition="0">
        <references count="1">
          <reference field="9" count="1">
            <x v="7"/>
          </reference>
        </references>
      </pivotArea>
    </format>
    <format dxfId="40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39">
      <pivotArea dataOnly="0" labelOnly="1" fieldPosition="0">
        <references count="1">
          <reference field="9" count="1">
            <x v="0"/>
          </reference>
        </references>
      </pivotArea>
    </format>
    <format dxfId="38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37">
      <pivotArea dataOnly="0" labelOnly="1" fieldPosition="0">
        <references count="1"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V66" totalsRowShown="0">
  <autoFilter ref="A1:V66"/>
  <tableColumns count="22">
    <tableColumn id="1" name="sBranchNm"/>
    <tableColumn id="2" name="JO Status"/>
    <tableColumn id="3" name="Status"/>
    <tableColumn id="4" name="sTransNox"/>
    <tableColumn id="5" name="dTransact" dataDxfId="2"/>
    <tableColumn id="6" name="sBranchCd"/>
    <tableColumn id="7" name="sRequestX"/>
    <tableColumn id="8" name="sDiagnose"/>
    <tableColumn id="9" name="sJOTypexx"/>
    <tableColumn id="10" name="sCategory"/>
    <tableColumn id="11" name="cServerPC"/>
    <tableColumn id="12" name="sProblemx"/>
    <tableColumn id="13" name="sRemarksx"/>
    <tableColumn id="14" name="sRqstdIDx"/>
    <tableColumn id="15" name="sSupprtBy"/>
    <tableColumn id="16" name="dPostedxx" dataDxfId="1"/>
    <tableColumn id="17" name="ACTUAL STATUS"/>
    <tableColumn id="18" name="ACTUAL STATUS no formula"/>
    <tableColumn id="19" name="STATUS2"/>
    <tableColumn id="20" name="sModified"/>
    <tableColumn id="21" name="Encoder"/>
    <tableColumn id="22" name="dModifi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workbookViewId="0">
      <selection activeCell="G18" sqref="G18"/>
    </sheetView>
  </sheetViews>
  <sheetFormatPr defaultRowHeight="15" x14ac:dyDescent="0.25"/>
  <cols>
    <col min="1" max="1" width="26.7109375" bestFit="1" customWidth="1"/>
    <col min="2" max="2" width="11.28515625" bestFit="1" customWidth="1"/>
    <col min="3" max="3" width="8.7109375" bestFit="1" customWidth="1"/>
    <col min="4" max="4" width="13.85546875" bestFit="1" customWidth="1"/>
    <col min="5" max="5" width="11.7109375" bestFit="1" customWidth="1"/>
    <col min="6" max="6" width="12.42578125" bestFit="1" customWidth="1"/>
    <col min="7" max="7" width="85" bestFit="1" customWidth="1"/>
    <col min="8" max="8" width="48.28515625" bestFit="1" customWidth="1"/>
    <col min="9" max="9" width="36.42578125" bestFit="1" customWidth="1"/>
    <col min="10" max="10" width="26.140625" bestFit="1" customWidth="1"/>
    <col min="11" max="11" width="12.140625" bestFit="1" customWidth="1"/>
    <col min="12" max="12" width="12.7109375" bestFit="1" customWidth="1"/>
    <col min="13" max="13" width="14" bestFit="1" customWidth="1"/>
    <col min="14" max="14" width="13.85546875" bestFit="1" customWidth="1"/>
    <col min="15" max="15" width="12.140625" bestFit="1" customWidth="1"/>
    <col min="16" max="16" width="12.5703125" bestFit="1" customWidth="1"/>
    <col min="17" max="17" width="25" bestFit="1" customWidth="1"/>
    <col min="18" max="18" width="28.140625" bestFit="1" customWidth="1"/>
    <col min="19" max="19" width="11" bestFit="1" customWidth="1"/>
    <col min="20" max="20" width="12.42578125" bestFit="1" customWidth="1"/>
    <col min="21" max="21" width="28.42578125" bestFit="1" customWidth="1"/>
    <col min="22" max="22" width="15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1271</v>
      </c>
      <c r="R1" t="s">
        <v>1274</v>
      </c>
      <c r="S1" t="s">
        <v>2226</v>
      </c>
      <c r="T1" t="s">
        <v>16</v>
      </c>
      <c r="U1" t="s">
        <v>1266</v>
      </c>
      <c r="V1" t="s">
        <v>17</v>
      </c>
    </row>
    <row r="2" spans="1:22" x14ac:dyDescent="0.25">
      <c r="A2" t="s">
        <v>250</v>
      </c>
      <c r="B2" t="s">
        <v>19</v>
      </c>
      <c r="C2" t="s">
        <v>166</v>
      </c>
      <c r="D2" t="s">
        <v>1250</v>
      </c>
      <c r="E2" s="22">
        <v>44165</v>
      </c>
      <c r="F2" t="s">
        <v>252</v>
      </c>
      <c r="G2" t="s">
        <v>916</v>
      </c>
      <c r="I2" t="s">
        <v>41</v>
      </c>
      <c r="J2" t="s">
        <v>42</v>
      </c>
      <c r="K2">
        <v>0</v>
      </c>
      <c r="N2" t="s">
        <v>602</v>
      </c>
      <c r="P2" s="22">
        <v>44165</v>
      </c>
      <c r="Q2" t="s">
        <v>1272</v>
      </c>
      <c r="R2" t="s">
        <v>1272</v>
      </c>
      <c r="S2">
        <v>0</v>
      </c>
      <c r="T2" t="s">
        <v>246</v>
      </c>
      <c r="U2" t="s">
        <v>1262</v>
      </c>
      <c r="V2" s="23">
        <v>44165.419664351852</v>
      </c>
    </row>
    <row r="3" spans="1:22" x14ac:dyDescent="0.25">
      <c r="A3" t="s">
        <v>18</v>
      </c>
      <c r="B3" t="s">
        <v>19</v>
      </c>
      <c r="C3" t="s">
        <v>166</v>
      </c>
      <c r="D3" t="s">
        <v>1248</v>
      </c>
      <c r="E3" s="22">
        <v>44165</v>
      </c>
      <c r="F3" t="s">
        <v>22</v>
      </c>
      <c r="G3" t="s">
        <v>1249</v>
      </c>
      <c r="I3" t="s">
        <v>25</v>
      </c>
      <c r="J3" t="s">
        <v>26</v>
      </c>
      <c r="K3">
        <v>0</v>
      </c>
      <c r="N3" t="s">
        <v>602</v>
      </c>
      <c r="P3" s="22">
        <v>44165</v>
      </c>
      <c r="Q3" t="s">
        <v>1272</v>
      </c>
      <c r="R3" t="s">
        <v>1272</v>
      </c>
      <c r="S3">
        <v>0</v>
      </c>
      <c r="T3" t="s">
        <v>246</v>
      </c>
      <c r="U3" t="s">
        <v>1262</v>
      </c>
      <c r="V3" s="23">
        <v>44165.4140162037</v>
      </c>
    </row>
    <row r="4" spans="1:22" x14ac:dyDescent="0.25">
      <c r="A4" t="s">
        <v>78</v>
      </c>
      <c r="B4" t="s">
        <v>19</v>
      </c>
      <c r="C4" t="s">
        <v>166</v>
      </c>
      <c r="D4" t="s">
        <v>1246</v>
      </c>
      <c r="E4" s="22">
        <v>44165</v>
      </c>
      <c r="F4" t="s">
        <v>80</v>
      </c>
      <c r="G4" t="s">
        <v>1247</v>
      </c>
      <c r="I4" t="s">
        <v>25</v>
      </c>
      <c r="J4" t="s">
        <v>287</v>
      </c>
      <c r="K4">
        <v>0</v>
      </c>
      <c r="P4" s="22">
        <v>44165</v>
      </c>
      <c r="Q4" t="s">
        <v>1272</v>
      </c>
      <c r="R4" t="s">
        <v>1272</v>
      </c>
      <c r="S4">
        <v>0</v>
      </c>
      <c r="T4" t="s">
        <v>246</v>
      </c>
      <c r="U4" t="s">
        <v>1262</v>
      </c>
      <c r="V4" s="23">
        <v>44165.411747685182</v>
      </c>
    </row>
    <row r="5" spans="1:22" x14ac:dyDescent="0.25">
      <c r="A5" t="s">
        <v>1242</v>
      </c>
      <c r="B5" t="s">
        <v>19</v>
      </c>
      <c r="C5" t="s">
        <v>166</v>
      </c>
      <c r="D5" t="s">
        <v>1243</v>
      </c>
      <c r="E5" s="22">
        <v>44165</v>
      </c>
      <c r="F5" t="s">
        <v>1244</v>
      </c>
      <c r="G5" t="s">
        <v>1245</v>
      </c>
      <c r="I5" t="s">
        <v>41</v>
      </c>
      <c r="J5" t="s">
        <v>563</v>
      </c>
      <c r="K5">
        <v>0</v>
      </c>
      <c r="P5" s="22">
        <v>44165</v>
      </c>
      <c r="Q5" t="s">
        <v>1272</v>
      </c>
      <c r="R5" t="s">
        <v>1272</v>
      </c>
      <c r="S5">
        <v>0</v>
      </c>
      <c r="T5" t="s">
        <v>246</v>
      </c>
      <c r="U5" t="s">
        <v>1262</v>
      </c>
      <c r="V5" s="23">
        <v>44165.40483796296</v>
      </c>
    </row>
    <row r="6" spans="1:22" x14ac:dyDescent="0.25">
      <c r="A6" t="s">
        <v>37</v>
      </c>
      <c r="B6" t="s">
        <v>19</v>
      </c>
      <c r="C6" t="s">
        <v>166</v>
      </c>
      <c r="D6" t="s">
        <v>1239</v>
      </c>
      <c r="E6" s="22">
        <v>44165</v>
      </c>
      <c r="F6" t="s">
        <v>39</v>
      </c>
      <c r="G6" t="s">
        <v>1240</v>
      </c>
      <c r="I6" t="s">
        <v>25</v>
      </c>
      <c r="J6" t="s">
        <v>42</v>
      </c>
      <c r="K6">
        <v>0</v>
      </c>
      <c r="N6" t="s">
        <v>1241</v>
      </c>
      <c r="P6" s="22">
        <v>44165</v>
      </c>
      <c r="Q6" t="s">
        <v>1272</v>
      </c>
      <c r="R6" t="s">
        <v>1272</v>
      </c>
      <c r="S6">
        <v>0</v>
      </c>
      <c r="T6" t="s">
        <v>246</v>
      </c>
      <c r="U6" t="s">
        <v>1262</v>
      </c>
      <c r="V6" s="23">
        <v>44165.375486111108</v>
      </c>
    </row>
    <row r="7" spans="1:22" x14ac:dyDescent="0.25">
      <c r="A7" t="s">
        <v>1214</v>
      </c>
      <c r="B7" t="s">
        <v>19</v>
      </c>
      <c r="C7" t="s">
        <v>166</v>
      </c>
      <c r="D7" t="s">
        <v>1215</v>
      </c>
      <c r="E7" s="22">
        <v>44163</v>
      </c>
      <c r="F7" t="s">
        <v>1216</v>
      </c>
      <c r="G7" t="s">
        <v>1217</v>
      </c>
      <c r="I7" t="s">
        <v>41</v>
      </c>
      <c r="J7" t="s">
        <v>287</v>
      </c>
      <c r="K7">
        <v>0</v>
      </c>
      <c r="N7" t="s">
        <v>1218</v>
      </c>
      <c r="P7" s="22">
        <v>44163</v>
      </c>
      <c r="Q7" t="s">
        <v>1272</v>
      </c>
      <c r="R7" t="s">
        <v>1272</v>
      </c>
      <c r="S7">
        <v>0</v>
      </c>
      <c r="T7" t="s">
        <v>246</v>
      </c>
      <c r="U7" t="s">
        <v>1262</v>
      </c>
      <c r="V7" s="23">
        <v>44163.485520833332</v>
      </c>
    </row>
    <row r="8" spans="1:22" x14ac:dyDescent="0.25">
      <c r="A8" t="s">
        <v>18</v>
      </c>
      <c r="B8" t="s">
        <v>19</v>
      </c>
      <c r="C8" t="s">
        <v>166</v>
      </c>
      <c r="D8" t="s">
        <v>1123</v>
      </c>
      <c r="E8" s="22">
        <v>44161</v>
      </c>
      <c r="F8" t="s">
        <v>22</v>
      </c>
      <c r="G8" t="s">
        <v>1124</v>
      </c>
      <c r="I8" t="s">
        <v>36</v>
      </c>
      <c r="J8" t="s">
        <v>171</v>
      </c>
      <c r="K8">
        <v>0</v>
      </c>
      <c r="N8" t="s">
        <v>1125</v>
      </c>
      <c r="P8" s="22">
        <v>44161</v>
      </c>
      <c r="Q8" t="s">
        <v>1272</v>
      </c>
      <c r="R8" t="s">
        <v>1272</v>
      </c>
      <c r="S8">
        <v>0</v>
      </c>
      <c r="T8" t="s">
        <v>246</v>
      </c>
      <c r="U8" t="s">
        <v>1262</v>
      </c>
      <c r="V8" s="23">
        <v>44161.590277777781</v>
      </c>
    </row>
    <row r="9" spans="1:22" x14ac:dyDescent="0.25">
      <c r="A9" t="s">
        <v>37</v>
      </c>
      <c r="B9" t="s">
        <v>19</v>
      </c>
      <c r="C9" t="s">
        <v>166</v>
      </c>
      <c r="D9" t="s">
        <v>1118</v>
      </c>
      <c r="E9" s="22">
        <v>44161</v>
      </c>
      <c r="F9" t="s">
        <v>39</v>
      </c>
      <c r="G9" t="s">
        <v>1119</v>
      </c>
      <c r="I9" t="s">
        <v>36</v>
      </c>
      <c r="J9" t="s">
        <v>171</v>
      </c>
      <c r="K9">
        <v>0</v>
      </c>
      <c r="N9" t="s">
        <v>751</v>
      </c>
      <c r="P9" s="22">
        <v>44161</v>
      </c>
      <c r="Q9" t="s">
        <v>1272</v>
      </c>
      <c r="R9" t="s">
        <v>1272</v>
      </c>
      <c r="S9">
        <v>0</v>
      </c>
      <c r="T9" t="s">
        <v>246</v>
      </c>
      <c r="U9" t="s">
        <v>1262</v>
      </c>
      <c r="V9" s="23">
        <v>44161.436122685183</v>
      </c>
    </row>
    <row r="10" spans="1:22" x14ac:dyDescent="0.25">
      <c r="A10" t="s">
        <v>1093</v>
      </c>
      <c r="B10" t="s">
        <v>19</v>
      </c>
      <c r="C10" t="s">
        <v>166</v>
      </c>
      <c r="D10" t="s">
        <v>1094</v>
      </c>
      <c r="E10" s="22">
        <v>44159</v>
      </c>
      <c r="F10" t="s">
        <v>1095</v>
      </c>
      <c r="G10" t="s">
        <v>1096</v>
      </c>
      <c r="I10" t="s">
        <v>25</v>
      </c>
      <c r="J10" t="s">
        <v>272</v>
      </c>
      <c r="K10">
        <v>0</v>
      </c>
      <c r="P10" s="22">
        <v>44159</v>
      </c>
      <c r="Q10" t="s">
        <v>1272</v>
      </c>
      <c r="R10" t="s">
        <v>1272</v>
      </c>
      <c r="S10">
        <v>0</v>
      </c>
      <c r="T10" t="s">
        <v>246</v>
      </c>
      <c r="U10" t="s">
        <v>1262</v>
      </c>
      <c r="V10" s="23">
        <v>44159.692650462966</v>
      </c>
    </row>
    <row r="11" spans="1:22" x14ac:dyDescent="0.25">
      <c r="A11" t="s">
        <v>18</v>
      </c>
      <c r="B11" t="s">
        <v>19</v>
      </c>
      <c r="C11" t="s">
        <v>166</v>
      </c>
      <c r="D11" t="s">
        <v>1091</v>
      </c>
      <c r="E11" s="22">
        <v>44159</v>
      </c>
      <c r="F11" t="s">
        <v>22</v>
      </c>
      <c r="G11" t="s">
        <v>1092</v>
      </c>
      <c r="I11" t="s">
        <v>25</v>
      </c>
      <c r="J11" t="s">
        <v>563</v>
      </c>
      <c r="K11">
        <v>0</v>
      </c>
      <c r="P11" s="22">
        <v>44159</v>
      </c>
      <c r="Q11" t="s">
        <v>1272</v>
      </c>
      <c r="R11" t="s">
        <v>1272</v>
      </c>
      <c r="S11">
        <v>0</v>
      </c>
      <c r="T11" t="s">
        <v>246</v>
      </c>
      <c r="U11" t="s">
        <v>1262</v>
      </c>
      <c r="V11" s="23">
        <v>44159.691736111112</v>
      </c>
    </row>
    <row r="12" spans="1:22" x14ac:dyDescent="0.25">
      <c r="A12" t="s">
        <v>387</v>
      </c>
      <c r="B12" t="s">
        <v>19</v>
      </c>
      <c r="C12" t="s">
        <v>166</v>
      </c>
      <c r="D12" t="s">
        <v>1074</v>
      </c>
      <c r="E12" s="22">
        <v>44156</v>
      </c>
      <c r="F12" t="s">
        <v>390</v>
      </c>
      <c r="G12" t="s">
        <v>1075</v>
      </c>
      <c r="I12" t="s">
        <v>95</v>
      </c>
      <c r="J12" t="s">
        <v>36</v>
      </c>
      <c r="K12">
        <v>0</v>
      </c>
      <c r="N12" t="s">
        <v>1073</v>
      </c>
      <c r="P12" s="22">
        <v>44156</v>
      </c>
      <c r="Q12" t="s">
        <v>1272</v>
      </c>
      <c r="R12" t="s">
        <v>1272</v>
      </c>
      <c r="S12">
        <v>0</v>
      </c>
      <c r="T12" t="s">
        <v>246</v>
      </c>
      <c r="U12" t="s">
        <v>1262</v>
      </c>
      <c r="V12" s="23">
        <v>44156.69023148148</v>
      </c>
    </row>
    <row r="13" spans="1:22" x14ac:dyDescent="0.25">
      <c r="A13" t="s">
        <v>37</v>
      </c>
      <c r="B13" t="s">
        <v>19</v>
      </c>
      <c r="C13" t="s">
        <v>166</v>
      </c>
      <c r="D13" t="s">
        <v>1071</v>
      </c>
      <c r="E13" s="22">
        <v>44156</v>
      </c>
      <c r="F13" t="s">
        <v>39</v>
      </c>
      <c r="G13" t="s">
        <v>1072</v>
      </c>
      <c r="I13" t="s">
        <v>36</v>
      </c>
      <c r="J13" t="s">
        <v>42</v>
      </c>
      <c r="K13">
        <v>0</v>
      </c>
      <c r="N13" t="s">
        <v>1073</v>
      </c>
      <c r="P13" s="22">
        <v>44156</v>
      </c>
      <c r="Q13" t="s">
        <v>1272</v>
      </c>
      <c r="R13" t="s">
        <v>1272</v>
      </c>
      <c r="S13">
        <v>0</v>
      </c>
      <c r="T13" t="s">
        <v>246</v>
      </c>
      <c r="U13" t="s">
        <v>1262</v>
      </c>
      <c r="V13" s="23">
        <v>44156.689849537041</v>
      </c>
    </row>
    <row r="14" spans="1:22" x14ac:dyDescent="0.25">
      <c r="A14" t="s">
        <v>78</v>
      </c>
      <c r="B14" t="s">
        <v>19</v>
      </c>
      <c r="C14" t="s">
        <v>166</v>
      </c>
      <c r="D14" t="s">
        <v>1060</v>
      </c>
      <c r="E14" s="22">
        <v>44156</v>
      </c>
      <c r="F14" t="s">
        <v>80</v>
      </c>
      <c r="G14" t="s">
        <v>1061</v>
      </c>
      <c r="I14" t="s">
        <v>95</v>
      </c>
      <c r="J14" t="s">
        <v>171</v>
      </c>
      <c r="K14">
        <v>0</v>
      </c>
      <c r="N14" t="s">
        <v>1062</v>
      </c>
      <c r="P14" s="22">
        <v>44156</v>
      </c>
      <c r="Q14" t="s">
        <v>1272</v>
      </c>
      <c r="R14" t="s">
        <v>1272</v>
      </c>
      <c r="S14">
        <v>0</v>
      </c>
      <c r="T14" t="s">
        <v>246</v>
      </c>
      <c r="U14" t="s">
        <v>1262</v>
      </c>
      <c r="V14" s="23">
        <v>44156.543113425927</v>
      </c>
    </row>
    <row r="15" spans="1:22" x14ac:dyDescent="0.25">
      <c r="A15" t="s">
        <v>18</v>
      </c>
      <c r="B15" t="s">
        <v>19</v>
      </c>
      <c r="C15" t="s">
        <v>166</v>
      </c>
      <c r="D15" t="s">
        <v>1058</v>
      </c>
      <c r="E15" s="22">
        <v>44155</v>
      </c>
      <c r="F15" t="s">
        <v>22</v>
      </c>
      <c r="G15" t="s">
        <v>1059</v>
      </c>
      <c r="I15" t="s">
        <v>36</v>
      </c>
      <c r="J15" t="s">
        <v>171</v>
      </c>
      <c r="K15">
        <v>0</v>
      </c>
      <c r="N15" t="s">
        <v>1031</v>
      </c>
      <c r="P15" s="22">
        <v>44156</v>
      </c>
      <c r="Q15" t="s">
        <v>1272</v>
      </c>
      <c r="R15" t="s">
        <v>1272</v>
      </c>
      <c r="S15">
        <v>0</v>
      </c>
      <c r="T15" t="s">
        <v>246</v>
      </c>
      <c r="U15" t="s">
        <v>1262</v>
      </c>
      <c r="V15" s="23">
        <v>44156.541759259257</v>
      </c>
    </row>
    <row r="16" spans="1:22" x14ac:dyDescent="0.25">
      <c r="A16" t="s">
        <v>78</v>
      </c>
      <c r="B16" t="s">
        <v>19</v>
      </c>
      <c r="C16" t="s">
        <v>166</v>
      </c>
      <c r="D16" t="s">
        <v>1056</v>
      </c>
      <c r="E16" s="22">
        <v>44155</v>
      </c>
      <c r="F16" t="s">
        <v>80</v>
      </c>
      <c r="G16" t="s">
        <v>1057</v>
      </c>
      <c r="I16" t="s">
        <v>36</v>
      </c>
      <c r="J16" t="s">
        <v>171</v>
      </c>
      <c r="K16">
        <v>0</v>
      </c>
      <c r="N16" t="s">
        <v>1031</v>
      </c>
      <c r="P16" s="22">
        <v>44156</v>
      </c>
      <c r="Q16" t="s">
        <v>1272</v>
      </c>
      <c r="R16" t="s">
        <v>1272</v>
      </c>
      <c r="S16">
        <v>0</v>
      </c>
      <c r="T16" t="s">
        <v>246</v>
      </c>
      <c r="U16" t="s">
        <v>1262</v>
      </c>
      <c r="V16" s="23">
        <v>44156.539120370369</v>
      </c>
    </row>
    <row r="17" spans="1:22" x14ac:dyDescent="0.25">
      <c r="A17" t="s">
        <v>37</v>
      </c>
      <c r="B17" t="s">
        <v>19</v>
      </c>
      <c r="C17" t="s">
        <v>166</v>
      </c>
      <c r="D17" t="s">
        <v>1054</v>
      </c>
      <c r="E17" s="22">
        <v>44156</v>
      </c>
      <c r="F17" t="s">
        <v>39</v>
      </c>
      <c r="G17" t="s">
        <v>1055</v>
      </c>
      <c r="I17" t="s">
        <v>25</v>
      </c>
      <c r="J17" t="s">
        <v>42</v>
      </c>
      <c r="K17">
        <v>0</v>
      </c>
      <c r="N17" t="s">
        <v>1031</v>
      </c>
      <c r="P17" s="22">
        <v>44156</v>
      </c>
      <c r="Q17" t="s">
        <v>1272</v>
      </c>
      <c r="R17" t="s">
        <v>1272</v>
      </c>
      <c r="S17">
        <v>0</v>
      </c>
      <c r="T17" t="s">
        <v>246</v>
      </c>
      <c r="U17" t="s">
        <v>1262</v>
      </c>
      <c r="V17" s="23">
        <v>44156.521643518521</v>
      </c>
    </row>
    <row r="18" spans="1:22" x14ac:dyDescent="0.25">
      <c r="A18" t="s">
        <v>37</v>
      </c>
      <c r="B18" t="s">
        <v>19</v>
      </c>
      <c r="C18" t="s">
        <v>166</v>
      </c>
      <c r="D18" t="s">
        <v>1052</v>
      </c>
      <c r="E18" s="22">
        <v>44156</v>
      </c>
      <c r="F18" t="s">
        <v>39</v>
      </c>
      <c r="G18" t="s">
        <v>1053</v>
      </c>
      <c r="I18" t="s">
        <v>25</v>
      </c>
      <c r="J18" t="s">
        <v>42</v>
      </c>
      <c r="K18">
        <v>0</v>
      </c>
      <c r="N18" t="s">
        <v>1031</v>
      </c>
      <c r="P18" s="22">
        <v>44156</v>
      </c>
      <c r="Q18" t="s">
        <v>1272</v>
      </c>
      <c r="R18" t="s">
        <v>1272</v>
      </c>
      <c r="S18">
        <v>0</v>
      </c>
      <c r="T18" t="s">
        <v>246</v>
      </c>
      <c r="U18" t="s">
        <v>1262</v>
      </c>
      <c r="V18" s="23">
        <v>44156.521481481483</v>
      </c>
    </row>
    <row r="19" spans="1:22" x14ac:dyDescent="0.25">
      <c r="A19" t="s">
        <v>18</v>
      </c>
      <c r="B19" t="s">
        <v>19</v>
      </c>
      <c r="C19" t="s">
        <v>166</v>
      </c>
      <c r="D19" t="s">
        <v>1047</v>
      </c>
      <c r="E19" s="22">
        <v>44156</v>
      </c>
      <c r="F19" t="s">
        <v>22</v>
      </c>
      <c r="G19" t="s">
        <v>1048</v>
      </c>
      <c r="I19" t="s">
        <v>25</v>
      </c>
      <c r="J19" t="s">
        <v>42</v>
      </c>
      <c r="K19">
        <v>0</v>
      </c>
      <c r="N19" t="s">
        <v>1031</v>
      </c>
      <c r="P19" s="22">
        <v>44156</v>
      </c>
      <c r="Q19" t="s">
        <v>1272</v>
      </c>
      <c r="R19" t="s">
        <v>1272</v>
      </c>
      <c r="S19">
        <v>0</v>
      </c>
      <c r="T19" t="s">
        <v>246</v>
      </c>
      <c r="U19" t="s">
        <v>1262</v>
      </c>
      <c r="V19" s="23">
        <v>44156.519074074073</v>
      </c>
    </row>
    <row r="20" spans="1:22" x14ac:dyDescent="0.25">
      <c r="A20" t="s">
        <v>917</v>
      </c>
      <c r="B20" t="s">
        <v>19</v>
      </c>
      <c r="C20" t="s">
        <v>166</v>
      </c>
      <c r="D20" t="s">
        <v>1035</v>
      </c>
      <c r="E20" s="22">
        <v>44156</v>
      </c>
      <c r="F20" t="s">
        <v>919</v>
      </c>
      <c r="G20" t="s">
        <v>1036</v>
      </c>
      <c r="I20" t="s">
        <v>95</v>
      </c>
      <c r="J20" t="s">
        <v>26</v>
      </c>
      <c r="K20">
        <v>1</v>
      </c>
      <c r="N20" t="s">
        <v>1031</v>
      </c>
      <c r="P20" s="22">
        <v>44156</v>
      </c>
      <c r="Q20" t="s">
        <v>1272</v>
      </c>
      <c r="R20" t="s">
        <v>1272</v>
      </c>
      <c r="S20">
        <v>0</v>
      </c>
      <c r="T20" t="s">
        <v>246</v>
      </c>
      <c r="U20" t="s">
        <v>1262</v>
      </c>
      <c r="V20" s="23">
        <v>44156.461701388886</v>
      </c>
    </row>
    <row r="21" spans="1:22" x14ac:dyDescent="0.25">
      <c r="A21" t="s">
        <v>387</v>
      </c>
      <c r="B21" t="s">
        <v>19</v>
      </c>
      <c r="C21" t="s">
        <v>166</v>
      </c>
      <c r="D21" t="s">
        <v>1029</v>
      </c>
      <c r="E21" s="22">
        <v>44156</v>
      </c>
      <c r="F21" t="s">
        <v>390</v>
      </c>
      <c r="G21" t="s">
        <v>1030</v>
      </c>
      <c r="H21" t="s">
        <v>828</v>
      </c>
      <c r="I21" t="s">
        <v>95</v>
      </c>
      <c r="J21" t="s">
        <v>171</v>
      </c>
      <c r="K21">
        <v>0</v>
      </c>
      <c r="M21" t="s">
        <v>160</v>
      </c>
      <c r="N21" t="s">
        <v>1031</v>
      </c>
      <c r="O21" t="s">
        <v>245</v>
      </c>
      <c r="P21" s="22">
        <v>44156</v>
      </c>
      <c r="Q21" t="s">
        <v>1272</v>
      </c>
      <c r="R21" t="s">
        <v>1272</v>
      </c>
      <c r="S21">
        <v>0</v>
      </c>
      <c r="T21" t="s">
        <v>246</v>
      </c>
      <c r="U21" t="s">
        <v>1262</v>
      </c>
      <c r="V21" s="23">
        <v>44156.377604166664</v>
      </c>
    </row>
    <row r="22" spans="1:22" x14ac:dyDescent="0.25">
      <c r="A22" t="s">
        <v>18</v>
      </c>
      <c r="B22" t="s">
        <v>19</v>
      </c>
      <c r="C22" t="s">
        <v>166</v>
      </c>
      <c r="D22" t="s">
        <v>1025</v>
      </c>
      <c r="E22" s="22">
        <v>44155</v>
      </c>
      <c r="F22" t="s">
        <v>22</v>
      </c>
      <c r="G22" t="s">
        <v>1026</v>
      </c>
      <c r="I22" t="s">
        <v>25</v>
      </c>
      <c r="J22" t="s">
        <v>42</v>
      </c>
      <c r="K22">
        <v>0</v>
      </c>
      <c r="N22" t="s">
        <v>1001</v>
      </c>
      <c r="P22" s="22">
        <v>44155</v>
      </c>
      <c r="Q22" t="s">
        <v>1272</v>
      </c>
      <c r="R22" t="s">
        <v>1272</v>
      </c>
      <c r="S22">
        <v>0</v>
      </c>
      <c r="T22" t="s">
        <v>246</v>
      </c>
      <c r="U22" t="s">
        <v>1262</v>
      </c>
      <c r="V22" s="23">
        <v>44155.674363425926</v>
      </c>
    </row>
    <row r="23" spans="1:22" x14ac:dyDescent="0.25">
      <c r="A23" t="s">
        <v>18</v>
      </c>
      <c r="B23" t="s">
        <v>19</v>
      </c>
      <c r="C23" t="s">
        <v>166</v>
      </c>
      <c r="D23" t="s">
        <v>1023</v>
      </c>
      <c r="E23" s="22">
        <v>44155</v>
      </c>
      <c r="F23" t="s">
        <v>22</v>
      </c>
      <c r="G23" t="s">
        <v>1024</v>
      </c>
      <c r="I23" t="s">
        <v>95</v>
      </c>
      <c r="J23" t="s">
        <v>42</v>
      </c>
      <c r="K23">
        <v>0</v>
      </c>
      <c r="N23" t="s">
        <v>1001</v>
      </c>
      <c r="P23" s="22">
        <v>44155</v>
      </c>
      <c r="Q23" t="s">
        <v>1272</v>
      </c>
      <c r="R23" t="s">
        <v>1272</v>
      </c>
      <c r="S23">
        <v>0</v>
      </c>
      <c r="T23" t="s">
        <v>246</v>
      </c>
      <c r="U23" t="s">
        <v>1262</v>
      </c>
      <c r="V23" s="23">
        <v>44155.67391203704</v>
      </c>
    </row>
    <row r="24" spans="1:22" x14ac:dyDescent="0.25">
      <c r="A24" t="s">
        <v>18</v>
      </c>
      <c r="B24" t="s">
        <v>19</v>
      </c>
      <c r="C24" t="s">
        <v>166</v>
      </c>
      <c r="D24" t="s">
        <v>1005</v>
      </c>
      <c r="E24" s="22">
        <v>44155</v>
      </c>
      <c r="F24" t="s">
        <v>22</v>
      </c>
      <c r="G24" t="s">
        <v>1006</v>
      </c>
      <c r="I24" t="s">
        <v>36</v>
      </c>
      <c r="J24" t="s">
        <v>171</v>
      </c>
      <c r="K24">
        <v>0</v>
      </c>
      <c r="N24" t="s">
        <v>1001</v>
      </c>
      <c r="P24" s="22">
        <v>44155</v>
      </c>
      <c r="Q24" t="s">
        <v>1272</v>
      </c>
      <c r="R24" t="s">
        <v>1272</v>
      </c>
      <c r="S24">
        <v>0</v>
      </c>
      <c r="T24" t="s">
        <v>246</v>
      </c>
      <c r="U24" t="s">
        <v>1262</v>
      </c>
      <c r="V24" s="23">
        <v>44155.607476851852</v>
      </c>
    </row>
    <row r="25" spans="1:22" x14ac:dyDescent="0.25">
      <c r="A25" t="s">
        <v>993</v>
      </c>
      <c r="B25" t="s">
        <v>19</v>
      </c>
      <c r="C25" t="s">
        <v>166</v>
      </c>
      <c r="D25" t="s">
        <v>994</v>
      </c>
      <c r="E25" s="22">
        <v>44154</v>
      </c>
      <c r="F25" t="s">
        <v>995</v>
      </c>
      <c r="G25" t="s">
        <v>996</v>
      </c>
      <c r="I25" t="s">
        <v>25</v>
      </c>
      <c r="J25" t="s">
        <v>42</v>
      </c>
      <c r="K25">
        <v>0</v>
      </c>
      <c r="N25" t="s">
        <v>992</v>
      </c>
      <c r="P25" s="22">
        <v>44154</v>
      </c>
      <c r="Q25" t="s">
        <v>1272</v>
      </c>
      <c r="R25" t="s">
        <v>1272</v>
      </c>
      <c r="S25">
        <v>0</v>
      </c>
      <c r="T25" t="s">
        <v>246</v>
      </c>
      <c r="U25" t="s">
        <v>1262</v>
      </c>
      <c r="V25" s="23">
        <v>44154.647175925929</v>
      </c>
    </row>
    <row r="26" spans="1:22" x14ac:dyDescent="0.25">
      <c r="A26" t="s">
        <v>18</v>
      </c>
      <c r="B26" t="s">
        <v>19</v>
      </c>
      <c r="C26" t="s">
        <v>166</v>
      </c>
      <c r="D26" t="s">
        <v>987</v>
      </c>
      <c r="E26" s="22">
        <v>44154</v>
      </c>
      <c r="F26" t="s">
        <v>22</v>
      </c>
      <c r="G26" t="s">
        <v>988</v>
      </c>
      <c r="I26" t="s">
        <v>36</v>
      </c>
      <c r="J26" t="s">
        <v>171</v>
      </c>
      <c r="K26">
        <v>0</v>
      </c>
      <c r="N26" t="s">
        <v>145</v>
      </c>
      <c r="P26" s="22">
        <v>44154</v>
      </c>
      <c r="Q26" t="s">
        <v>1272</v>
      </c>
      <c r="R26" t="s">
        <v>1272</v>
      </c>
      <c r="S26">
        <v>0</v>
      </c>
      <c r="T26" t="s">
        <v>246</v>
      </c>
      <c r="U26" t="s">
        <v>1262</v>
      </c>
      <c r="V26" s="23">
        <v>44154.581388888888</v>
      </c>
    </row>
    <row r="27" spans="1:22" x14ac:dyDescent="0.25">
      <c r="A27" t="s">
        <v>307</v>
      </c>
      <c r="B27" t="s">
        <v>19</v>
      </c>
      <c r="C27" t="s">
        <v>166</v>
      </c>
      <c r="D27" t="s">
        <v>985</v>
      </c>
      <c r="E27" s="22">
        <v>44154</v>
      </c>
      <c r="F27" t="s">
        <v>309</v>
      </c>
      <c r="G27" t="s">
        <v>986</v>
      </c>
      <c r="I27" t="s">
        <v>25</v>
      </c>
      <c r="J27" t="s">
        <v>652</v>
      </c>
      <c r="K27">
        <v>0</v>
      </c>
      <c r="N27" t="s">
        <v>956</v>
      </c>
      <c r="P27" s="22">
        <v>44154</v>
      </c>
      <c r="Q27" t="s">
        <v>1272</v>
      </c>
      <c r="R27" t="s">
        <v>1272</v>
      </c>
      <c r="S27">
        <v>0</v>
      </c>
      <c r="T27" t="s">
        <v>246</v>
      </c>
      <c r="U27" t="s">
        <v>1262</v>
      </c>
      <c r="V27" s="23">
        <v>44154.454629629632</v>
      </c>
    </row>
    <row r="28" spans="1:22" x14ac:dyDescent="0.25">
      <c r="A28" t="s">
        <v>806</v>
      </c>
      <c r="B28" t="s">
        <v>19</v>
      </c>
      <c r="C28" t="s">
        <v>166</v>
      </c>
      <c r="D28" t="s">
        <v>980</v>
      </c>
      <c r="E28" s="22">
        <v>44154</v>
      </c>
      <c r="F28" t="s">
        <v>808</v>
      </c>
      <c r="G28" t="s">
        <v>981</v>
      </c>
      <c r="I28" t="s">
        <v>25</v>
      </c>
      <c r="J28" t="s">
        <v>652</v>
      </c>
      <c r="K28">
        <v>0</v>
      </c>
      <c r="N28" t="s">
        <v>142</v>
      </c>
      <c r="P28" s="22">
        <v>44154</v>
      </c>
      <c r="Q28" t="s">
        <v>1272</v>
      </c>
      <c r="R28" t="s">
        <v>1272</v>
      </c>
      <c r="S28">
        <v>0</v>
      </c>
      <c r="T28" t="s">
        <v>246</v>
      </c>
      <c r="U28" t="s">
        <v>1262</v>
      </c>
      <c r="V28" s="23">
        <v>44154.453773148147</v>
      </c>
    </row>
    <row r="29" spans="1:22" x14ac:dyDescent="0.25">
      <c r="A29" t="s">
        <v>18</v>
      </c>
      <c r="B29" t="s">
        <v>19</v>
      </c>
      <c r="C29" t="s">
        <v>166</v>
      </c>
      <c r="D29" t="s">
        <v>978</v>
      </c>
      <c r="E29" s="22">
        <v>44154</v>
      </c>
      <c r="F29" t="s">
        <v>22</v>
      </c>
      <c r="G29" t="s">
        <v>979</v>
      </c>
      <c r="I29" t="s">
        <v>25</v>
      </c>
      <c r="J29" t="s">
        <v>652</v>
      </c>
      <c r="K29">
        <v>0</v>
      </c>
      <c r="N29" t="s">
        <v>142</v>
      </c>
      <c r="P29" s="22">
        <v>44154</v>
      </c>
      <c r="Q29" t="s">
        <v>1272</v>
      </c>
      <c r="R29" t="s">
        <v>1272</v>
      </c>
      <c r="S29">
        <v>0</v>
      </c>
      <c r="T29" t="s">
        <v>246</v>
      </c>
      <c r="U29" t="s">
        <v>1262</v>
      </c>
      <c r="V29" s="23">
        <v>44154.453483796293</v>
      </c>
    </row>
    <row r="30" spans="1:22" x14ac:dyDescent="0.25">
      <c r="A30" t="s">
        <v>18</v>
      </c>
      <c r="B30" t="s">
        <v>19</v>
      </c>
      <c r="C30" t="s">
        <v>166</v>
      </c>
      <c r="D30" t="s">
        <v>975</v>
      </c>
      <c r="E30" s="22">
        <v>44154</v>
      </c>
      <c r="F30" t="s">
        <v>22</v>
      </c>
      <c r="G30" t="s">
        <v>976</v>
      </c>
      <c r="I30" t="s">
        <v>41</v>
      </c>
      <c r="J30" t="s">
        <v>287</v>
      </c>
      <c r="K30">
        <v>0</v>
      </c>
      <c r="N30" t="s">
        <v>977</v>
      </c>
      <c r="P30" s="22">
        <v>44154</v>
      </c>
      <c r="Q30" t="s">
        <v>1272</v>
      </c>
      <c r="R30" t="s">
        <v>1272</v>
      </c>
      <c r="S30">
        <v>0</v>
      </c>
      <c r="T30" t="s">
        <v>246</v>
      </c>
      <c r="U30" t="s">
        <v>1262</v>
      </c>
      <c r="V30" s="23">
        <v>44154.453148148146</v>
      </c>
    </row>
    <row r="31" spans="1:22" x14ac:dyDescent="0.25">
      <c r="A31" t="s">
        <v>18</v>
      </c>
      <c r="B31" t="s">
        <v>19</v>
      </c>
      <c r="C31" t="s">
        <v>166</v>
      </c>
      <c r="D31" t="s">
        <v>959</v>
      </c>
      <c r="E31" s="22">
        <v>44153</v>
      </c>
      <c r="F31" t="s">
        <v>22</v>
      </c>
      <c r="G31" t="s">
        <v>960</v>
      </c>
      <c r="I31" t="s">
        <v>25</v>
      </c>
      <c r="J31" t="s">
        <v>26</v>
      </c>
      <c r="K31">
        <v>0</v>
      </c>
      <c r="N31" t="s">
        <v>943</v>
      </c>
      <c r="P31" s="22">
        <v>44153</v>
      </c>
      <c r="Q31" t="s">
        <v>1272</v>
      </c>
      <c r="R31" t="s">
        <v>1272</v>
      </c>
      <c r="S31">
        <v>0</v>
      </c>
      <c r="T31" t="s">
        <v>246</v>
      </c>
      <c r="U31" t="s">
        <v>1262</v>
      </c>
      <c r="V31" s="23">
        <v>44153.40351851852</v>
      </c>
    </row>
    <row r="32" spans="1:22" x14ac:dyDescent="0.25">
      <c r="A32" t="s">
        <v>37</v>
      </c>
      <c r="B32" t="s">
        <v>19</v>
      </c>
      <c r="C32" t="s">
        <v>166</v>
      </c>
      <c r="D32" t="s">
        <v>957</v>
      </c>
      <c r="E32" s="22">
        <v>44153</v>
      </c>
      <c r="F32" t="s">
        <v>39</v>
      </c>
      <c r="G32" t="s">
        <v>958</v>
      </c>
      <c r="I32" t="s">
        <v>41</v>
      </c>
      <c r="J32" t="s">
        <v>287</v>
      </c>
      <c r="K32">
        <v>0</v>
      </c>
      <c r="N32" t="s">
        <v>943</v>
      </c>
      <c r="P32" s="22">
        <v>44153</v>
      </c>
      <c r="Q32" t="s">
        <v>1272</v>
      </c>
      <c r="R32" t="s">
        <v>1272</v>
      </c>
      <c r="S32">
        <v>0</v>
      </c>
      <c r="T32" t="s">
        <v>246</v>
      </c>
      <c r="U32" t="s">
        <v>1262</v>
      </c>
      <c r="V32" s="23">
        <v>44153.385937500003</v>
      </c>
    </row>
    <row r="33" spans="1:22" x14ac:dyDescent="0.25">
      <c r="A33" t="s">
        <v>307</v>
      </c>
      <c r="B33" t="s">
        <v>19</v>
      </c>
      <c r="C33" t="s">
        <v>166</v>
      </c>
      <c r="D33" t="s">
        <v>954</v>
      </c>
      <c r="E33" s="22">
        <v>44153</v>
      </c>
      <c r="F33" t="s">
        <v>309</v>
      </c>
      <c r="G33" t="s">
        <v>955</v>
      </c>
      <c r="I33" t="s">
        <v>41</v>
      </c>
      <c r="J33" t="s">
        <v>287</v>
      </c>
      <c r="K33">
        <v>0</v>
      </c>
      <c r="N33" t="s">
        <v>956</v>
      </c>
      <c r="P33" s="22">
        <v>44153</v>
      </c>
      <c r="Q33" t="s">
        <v>1272</v>
      </c>
      <c r="R33" t="s">
        <v>1272</v>
      </c>
      <c r="S33">
        <v>0</v>
      </c>
      <c r="T33" t="s">
        <v>246</v>
      </c>
      <c r="U33" t="s">
        <v>1262</v>
      </c>
      <c r="V33" s="23">
        <v>44153.384571759256</v>
      </c>
    </row>
    <row r="34" spans="1:22" x14ac:dyDescent="0.25">
      <c r="A34" t="s">
        <v>944</v>
      </c>
      <c r="B34" t="s">
        <v>19</v>
      </c>
      <c r="C34" t="s">
        <v>166</v>
      </c>
      <c r="D34" t="s">
        <v>945</v>
      </c>
      <c r="E34" s="22">
        <v>44152</v>
      </c>
      <c r="F34" t="s">
        <v>946</v>
      </c>
      <c r="G34" t="s">
        <v>947</v>
      </c>
      <c r="I34" t="s">
        <v>25</v>
      </c>
      <c r="J34" t="s">
        <v>563</v>
      </c>
      <c r="K34">
        <v>0</v>
      </c>
      <c r="N34" t="s">
        <v>948</v>
      </c>
      <c r="P34" s="22">
        <v>44152</v>
      </c>
      <c r="Q34" t="s">
        <v>1272</v>
      </c>
      <c r="R34" t="s">
        <v>1272</v>
      </c>
      <c r="S34">
        <v>0</v>
      </c>
      <c r="T34" t="s">
        <v>246</v>
      </c>
      <c r="U34" t="s">
        <v>1262</v>
      </c>
      <c r="V34" s="23">
        <v>44152.446076388886</v>
      </c>
    </row>
    <row r="35" spans="1:22" x14ac:dyDescent="0.25">
      <c r="A35" t="s">
        <v>37</v>
      </c>
      <c r="B35" t="s">
        <v>19</v>
      </c>
      <c r="C35" t="s">
        <v>166</v>
      </c>
      <c r="D35" t="s">
        <v>941</v>
      </c>
      <c r="E35" s="22">
        <v>44152</v>
      </c>
      <c r="F35" t="s">
        <v>39</v>
      </c>
      <c r="G35" t="s">
        <v>942</v>
      </c>
      <c r="I35" t="s">
        <v>41</v>
      </c>
      <c r="J35" t="s">
        <v>287</v>
      </c>
      <c r="K35">
        <v>0</v>
      </c>
      <c r="N35" t="s">
        <v>943</v>
      </c>
      <c r="P35" s="22">
        <v>44152</v>
      </c>
      <c r="Q35" t="s">
        <v>1272</v>
      </c>
      <c r="R35" t="s">
        <v>1272</v>
      </c>
      <c r="S35">
        <v>0</v>
      </c>
      <c r="T35" t="s">
        <v>246</v>
      </c>
      <c r="U35" t="s">
        <v>1262</v>
      </c>
      <c r="V35" s="23">
        <v>44152.425162037034</v>
      </c>
    </row>
    <row r="36" spans="1:22" x14ac:dyDescent="0.25">
      <c r="A36" t="s">
        <v>917</v>
      </c>
      <c r="B36" t="s">
        <v>19</v>
      </c>
      <c r="C36" t="s">
        <v>166</v>
      </c>
      <c r="D36" t="s">
        <v>918</v>
      </c>
      <c r="E36" s="22">
        <v>44151</v>
      </c>
      <c r="F36" t="s">
        <v>919</v>
      </c>
      <c r="G36" t="s">
        <v>920</v>
      </c>
      <c r="I36" t="s">
        <v>25</v>
      </c>
      <c r="J36" t="s">
        <v>26</v>
      </c>
      <c r="K36">
        <v>0</v>
      </c>
      <c r="N36" t="s">
        <v>921</v>
      </c>
      <c r="P36" s="22">
        <v>44151</v>
      </c>
      <c r="Q36" t="s">
        <v>1272</v>
      </c>
      <c r="R36" t="s">
        <v>1272</v>
      </c>
      <c r="S36">
        <v>0</v>
      </c>
      <c r="T36" t="s">
        <v>246</v>
      </c>
      <c r="U36" t="s">
        <v>1262</v>
      </c>
      <c r="V36" s="23">
        <v>44151.628900462965</v>
      </c>
    </row>
    <row r="37" spans="1:22" x14ac:dyDescent="0.25">
      <c r="A37" t="s">
        <v>893</v>
      </c>
      <c r="B37" t="s">
        <v>19</v>
      </c>
      <c r="C37" t="s">
        <v>166</v>
      </c>
      <c r="D37" t="s">
        <v>894</v>
      </c>
      <c r="E37" s="22">
        <v>44149</v>
      </c>
      <c r="F37" t="s">
        <v>895</v>
      </c>
      <c r="G37" t="s">
        <v>896</v>
      </c>
      <c r="I37" t="s">
        <v>25</v>
      </c>
      <c r="J37" t="s">
        <v>652</v>
      </c>
      <c r="K37">
        <v>0</v>
      </c>
      <c r="N37" t="s">
        <v>467</v>
      </c>
      <c r="P37" s="22">
        <v>44149</v>
      </c>
      <c r="Q37" t="s">
        <v>1272</v>
      </c>
      <c r="R37" t="s">
        <v>1272</v>
      </c>
      <c r="S37">
        <v>0</v>
      </c>
      <c r="T37" t="s">
        <v>246</v>
      </c>
      <c r="U37" t="s">
        <v>1262</v>
      </c>
      <c r="V37" s="23">
        <v>44149.568402777775</v>
      </c>
    </row>
    <row r="38" spans="1:22" x14ac:dyDescent="0.25">
      <c r="A38" t="s">
        <v>18</v>
      </c>
      <c r="B38" t="s">
        <v>19</v>
      </c>
      <c r="C38" t="s">
        <v>166</v>
      </c>
      <c r="D38" t="s">
        <v>881</v>
      </c>
      <c r="E38" s="22">
        <v>44149</v>
      </c>
      <c r="F38" t="s">
        <v>22</v>
      </c>
      <c r="G38" t="s">
        <v>882</v>
      </c>
      <c r="I38" t="s">
        <v>95</v>
      </c>
      <c r="J38" t="s">
        <v>26</v>
      </c>
      <c r="K38">
        <v>0</v>
      </c>
      <c r="P38" s="22">
        <v>44149</v>
      </c>
      <c r="Q38" t="s">
        <v>1272</v>
      </c>
      <c r="R38" t="s">
        <v>1272</v>
      </c>
      <c r="S38">
        <v>0</v>
      </c>
      <c r="T38" t="s">
        <v>246</v>
      </c>
      <c r="U38" t="s">
        <v>1262</v>
      </c>
      <c r="V38" s="23">
        <v>44149.43891203704</v>
      </c>
    </row>
    <row r="39" spans="1:22" x14ac:dyDescent="0.25">
      <c r="A39" t="s">
        <v>18</v>
      </c>
      <c r="B39" t="s">
        <v>19</v>
      </c>
      <c r="C39" t="s">
        <v>166</v>
      </c>
      <c r="D39" t="s">
        <v>879</v>
      </c>
      <c r="E39" s="22">
        <v>44149</v>
      </c>
      <c r="F39" t="s">
        <v>22</v>
      </c>
      <c r="G39" t="s">
        <v>880</v>
      </c>
      <c r="I39" t="s">
        <v>95</v>
      </c>
      <c r="J39" t="s">
        <v>26</v>
      </c>
      <c r="K39">
        <v>0</v>
      </c>
      <c r="P39" s="22">
        <v>44149</v>
      </c>
      <c r="Q39" t="s">
        <v>1272</v>
      </c>
      <c r="R39" t="s">
        <v>1272</v>
      </c>
      <c r="S39">
        <v>0</v>
      </c>
      <c r="T39" t="s">
        <v>246</v>
      </c>
      <c r="U39" t="s">
        <v>1262</v>
      </c>
      <c r="V39" s="23">
        <v>44149.438773148147</v>
      </c>
    </row>
    <row r="40" spans="1:22" x14ac:dyDescent="0.25">
      <c r="A40" t="s">
        <v>250</v>
      </c>
      <c r="B40" t="s">
        <v>19</v>
      </c>
      <c r="C40" t="s">
        <v>166</v>
      </c>
      <c r="D40" t="s">
        <v>871</v>
      </c>
      <c r="E40" s="22">
        <v>44148</v>
      </c>
      <c r="F40" t="s">
        <v>252</v>
      </c>
      <c r="G40" t="s">
        <v>872</v>
      </c>
      <c r="I40" t="s">
        <v>25</v>
      </c>
      <c r="J40" t="s">
        <v>26</v>
      </c>
      <c r="K40">
        <v>1</v>
      </c>
      <c r="N40" t="s">
        <v>868</v>
      </c>
      <c r="P40" s="22">
        <v>44148</v>
      </c>
      <c r="Q40" t="s">
        <v>1272</v>
      </c>
      <c r="R40" t="s">
        <v>1272</v>
      </c>
      <c r="S40">
        <v>0</v>
      </c>
      <c r="T40" t="s">
        <v>246</v>
      </c>
      <c r="U40" t="s">
        <v>1262</v>
      </c>
      <c r="V40" s="23">
        <v>44148.624201388891</v>
      </c>
    </row>
    <row r="41" spans="1:22" x14ac:dyDescent="0.25">
      <c r="A41" t="s">
        <v>194</v>
      </c>
      <c r="B41" t="s">
        <v>19</v>
      </c>
      <c r="C41" t="s">
        <v>166</v>
      </c>
      <c r="D41" t="s">
        <v>869</v>
      </c>
      <c r="E41" s="22">
        <v>44148</v>
      </c>
      <c r="F41" t="s">
        <v>196</v>
      </c>
      <c r="G41" t="s">
        <v>870</v>
      </c>
      <c r="I41" t="s">
        <v>95</v>
      </c>
      <c r="J41" t="s">
        <v>26</v>
      </c>
      <c r="K41">
        <v>0</v>
      </c>
      <c r="N41" t="s">
        <v>868</v>
      </c>
      <c r="P41" s="22">
        <v>44148</v>
      </c>
      <c r="Q41" t="s">
        <v>1272</v>
      </c>
      <c r="R41" t="s">
        <v>1272</v>
      </c>
      <c r="S41">
        <v>0</v>
      </c>
      <c r="T41" t="s">
        <v>246</v>
      </c>
      <c r="U41" t="s">
        <v>1262</v>
      </c>
      <c r="V41" s="23">
        <v>44148.622847222221</v>
      </c>
    </row>
    <row r="42" spans="1:22" x14ac:dyDescent="0.25">
      <c r="A42" t="s">
        <v>194</v>
      </c>
      <c r="B42" t="s">
        <v>19</v>
      </c>
      <c r="C42" t="s">
        <v>166</v>
      </c>
      <c r="D42" t="s">
        <v>866</v>
      </c>
      <c r="E42" s="22">
        <v>44148</v>
      </c>
      <c r="F42" t="s">
        <v>196</v>
      </c>
      <c r="G42" t="s">
        <v>867</v>
      </c>
      <c r="I42" t="s">
        <v>95</v>
      </c>
      <c r="J42" t="s">
        <v>26</v>
      </c>
      <c r="K42">
        <v>0</v>
      </c>
      <c r="N42" t="s">
        <v>868</v>
      </c>
      <c r="P42" s="22">
        <v>44148</v>
      </c>
      <c r="Q42" t="s">
        <v>1272</v>
      </c>
      <c r="R42" t="s">
        <v>1272</v>
      </c>
      <c r="S42">
        <v>0</v>
      </c>
      <c r="T42" t="s">
        <v>246</v>
      </c>
      <c r="U42" t="s">
        <v>1262</v>
      </c>
      <c r="V42" s="23">
        <v>44148.622615740744</v>
      </c>
    </row>
    <row r="43" spans="1:22" x14ac:dyDescent="0.25">
      <c r="A43" t="s">
        <v>265</v>
      </c>
      <c r="B43" t="s">
        <v>19</v>
      </c>
      <c r="C43" t="s">
        <v>166</v>
      </c>
      <c r="D43" t="s">
        <v>860</v>
      </c>
      <c r="E43" s="22">
        <v>44148</v>
      </c>
      <c r="F43" t="s">
        <v>267</v>
      </c>
      <c r="G43" t="s">
        <v>861</v>
      </c>
      <c r="I43" t="s">
        <v>41</v>
      </c>
      <c r="J43" t="s">
        <v>287</v>
      </c>
      <c r="K43">
        <v>0</v>
      </c>
      <c r="N43" t="s">
        <v>862</v>
      </c>
      <c r="P43" s="22">
        <v>44148</v>
      </c>
      <c r="Q43" t="s">
        <v>1272</v>
      </c>
      <c r="R43" t="s">
        <v>1272</v>
      </c>
      <c r="S43">
        <v>0</v>
      </c>
      <c r="T43" t="s">
        <v>246</v>
      </c>
      <c r="U43" t="s">
        <v>1262</v>
      </c>
      <c r="V43" s="23">
        <v>44148.453518518516</v>
      </c>
    </row>
    <row r="44" spans="1:22" x14ac:dyDescent="0.25">
      <c r="A44" t="s">
        <v>18</v>
      </c>
      <c r="B44" t="s">
        <v>19</v>
      </c>
      <c r="C44" t="s">
        <v>166</v>
      </c>
      <c r="D44" t="s">
        <v>856</v>
      </c>
      <c r="E44" s="22">
        <v>44147</v>
      </c>
      <c r="F44" t="s">
        <v>22</v>
      </c>
      <c r="G44" t="s">
        <v>857</v>
      </c>
      <c r="H44" t="s">
        <v>858</v>
      </c>
      <c r="I44" t="s">
        <v>25</v>
      </c>
      <c r="J44" t="s">
        <v>563</v>
      </c>
      <c r="K44">
        <v>0</v>
      </c>
      <c r="M44" t="s">
        <v>859</v>
      </c>
      <c r="N44" t="s">
        <v>136</v>
      </c>
      <c r="O44" t="s">
        <v>543</v>
      </c>
      <c r="P44" s="22">
        <v>44148</v>
      </c>
      <c r="Q44" t="s">
        <v>1272</v>
      </c>
      <c r="R44" t="s">
        <v>1272</v>
      </c>
      <c r="S44">
        <v>0</v>
      </c>
      <c r="T44" t="s">
        <v>246</v>
      </c>
      <c r="U44" t="s">
        <v>1262</v>
      </c>
      <c r="V44" s="23">
        <v>44148.447280092594</v>
      </c>
    </row>
    <row r="45" spans="1:22" x14ac:dyDescent="0.25">
      <c r="A45" t="s">
        <v>18</v>
      </c>
      <c r="B45" t="s">
        <v>32</v>
      </c>
      <c r="C45" t="s">
        <v>166</v>
      </c>
      <c r="D45" t="s">
        <v>853</v>
      </c>
      <c r="E45" s="22">
        <v>44148</v>
      </c>
      <c r="F45" t="s">
        <v>22</v>
      </c>
      <c r="G45" t="s">
        <v>854</v>
      </c>
      <c r="H45" t="s">
        <v>855</v>
      </c>
      <c r="I45" t="s">
        <v>25</v>
      </c>
      <c r="J45" t="s">
        <v>563</v>
      </c>
      <c r="K45">
        <v>0</v>
      </c>
      <c r="M45" t="s">
        <v>160</v>
      </c>
      <c r="N45" t="s">
        <v>145</v>
      </c>
      <c r="O45" t="s">
        <v>245</v>
      </c>
      <c r="P45" s="22">
        <v>44148</v>
      </c>
      <c r="Q45" t="s">
        <v>1272</v>
      </c>
      <c r="R45" t="s">
        <v>1272</v>
      </c>
      <c r="S45">
        <v>4</v>
      </c>
      <c r="T45" t="s">
        <v>246</v>
      </c>
      <c r="U45" t="s">
        <v>1262</v>
      </c>
      <c r="V45" s="23">
        <v>44148.440335648149</v>
      </c>
    </row>
    <row r="46" spans="1:22" x14ac:dyDescent="0.25">
      <c r="A46" t="s">
        <v>815</v>
      </c>
      <c r="B46" t="s">
        <v>19</v>
      </c>
      <c r="C46" t="s">
        <v>166</v>
      </c>
      <c r="D46" t="s">
        <v>816</v>
      </c>
      <c r="E46" s="22">
        <v>44147</v>
      </c>
      <c r="F46" t="s">
        <v>817</v>
      </c>
      <c r="G46" t="s">
        <v>818</v>
      </c>
      <c r="I46" t="s">
        <v>41</v>
      </c>
      <c r="J46" t="s">
        <v>272</v>
      </c>
      <c r="K46">
        <v>0</v>
      </c>
      <c r="P46" s="22">
        <v>44147</v>
      </c>
      <c r="Q46" t="s">
        <v>1272</v>
      </c>
      <c r="R46" t="s">
        <v>1272</v>
      </c>
      <c r="S46">
        <v>0</v>
      </c>
      <c r="T46" t="s">
        <v>246</v>
      </c>
      <c r="U46" t="s">
        <v>1262</v>
      </c>
      <c r="V46" s="23">
        <v>44147.456400462965</v>
      </c>
    </row>
    <row r="47" spans="1:22" x14ac:dyDescent="0.25">
      <c r="A47" t="s">
        <v>468</v>
      </c>
      <c r="B47" t="s">
        <v>19</v>
      </c>
      <c r="C47" t="s">
        <v>166</v>
      </c>
      <c r="D47" t="s">
        <v>802</v>
      </c>
      <c r="E47" s="22">
        <v>44146</v>
      </c>
      <c r="F47" t="s">
        <v>470</v>
      </c>
      <c r="G47" t="s">
        <v>803</v>
      </c>
      <c r="I47" t="s">
        <v>36</v>
      </c>
      <c r="J47" t="s">
        <v>171</v>
      </c>
      <c r="K47">
        <v>0</v>
      </c>
      <c r="P47" s="22">
        <v>44146</v>
      </c>
      <c r="Q47" t="s">
        <v>1272</v>
      </c>
      <c r="R47" t="s">
        <v>1272</v>
      </c>
      <c r="S47">
        <v>0</v>
      </c>
      <c r="T47" t="s">
        <v>246</v>
      </c>
      <c r="U47" t="s">
        <v>1262</v>
      </c>
      <c r="V47" s="23">
        <v>44146.612974537034</v>
      </c>
    </row>
    <row r="48" spans="1:22" x14ac:dyDescent="0.25">
      <c r="A48" t="s">
        <v>468</v>
      </c>
      <c r="B48" t="s">
        <v>19</v>
      </c>
      <c r="C48" t="s">
        <v>166</v>
      </c>
      <c r="D48" t="s">
        <v>800</v>
      </c>
      <c r="E48" s="22">
        <v>44146</v>
      </c>
      <c r="F48" t="s">
        <v>470</v>
      </c>
      <c r="G48" t="s">
        <v>801</v>
      </c>
      <c r="I48" t="s">
        <v>36</v>
      </c>
      <c r="J48" t="s">
        <v>171</v>
      </c>
      <c r="K48">
        <v>0</v>
      </c>
      <c r="P48" s="22">
        <v>44146</v>
      </c>
      <c r="Q48" t="s">
        <v>1272</v>
      </c>
      <c r="R48" t="s">
        <v>1272</v>
      </c>
      <c r="S48">
        <v>0</v>
      </c>
      <c r="T48" t="s">
        <v>246</v>
      </c>
      <c r="U48" t="s">
        <v>1262</v>
      </c>
      <c r="V48" s="23">
        <v>44146.612662037034</v>
      </c>
    </row>
    <row r="49" spans="1:22" x14ac:dyDescent="0.25">
      <c r="A49" t="s">
        <v>78</v>
      </c>
      <c r="B49" t="s">
        <v>19</v>
      </c>
      <c r="C49" t="s">
        <v>166</v>
      </c>
      <c r="D49" t="s">
        <v>798</v>
      </c>
      <c r="E49" s="22">
        <v>44146</v>
      </c>
      <c r="F49" t="s">
        <v>80</v>
      </c>
      <c r="G49" t="s">
        <v>799</v>
      </c>
      <c r="I49" t="s">
        <v>41</v>
      </c>
      <c r="J49" t="s">
        <v>287</v>
      </c>
      <c r="K49">
        <v>0</v>
      </c>
      <c r="P49" s="22">
        <v>44146</v>
      </c>
      <c r="Q49" t="s">
        <v>1272</v>
      </c>
      <c r="R49" t="s">
        <v>1272</v>
      </c>
      <c r="S49">
        <v>0</v>
      </c>
      <c r="T49" t="s">
        <v>246</v>
      </c>
      <c r="U49" t="s">
        <v>1262</v>
      </c>
      <c r="V49" s="23">
        <v>44146.610891203702</v>
      </c>
    </row>
    <row r="50" spans="1:22" x14ac:dyDescent="0.25">
      <c r="A50" t="s">
        <v>37</v>
      </c>
      <c r="B50" t="s">
        <v>19</v>
      </c>
      <c r="C50" t="s">
        <v>166</v>
      </c>
      <c r="D50" t="s">
        <v>795</v>
      </c>
      <c r="E50" s="22">
        <v>44146</v>
      </c>
      <c r="F50" t="s">
        <v>39</v>
      </c>
      <c r="G50" t="s">
        <v>796</v>
      </c>
      <c r="I50" t="s">
        <v>797</v>
      </c>
      <c r="J50" t="s">
        <v>287</v>
      </c>
      <c r="K50">
        <v>0</v>
      </c>
      <c r="P50" s="22">
        <v>44146</v>
      </c>
      <c r="Q50" t="s">
        <v>1272</v>
      </c>
      <c r="R50" t="s">
        <v>1272</v>
      </c>
      <c r="S50">
        <v>0</v>
      </c>
      <c r="T50" t="s">
        <v>246</v>
      </c>
      <c r="U50" t="s">
        <v>1262</v>
      </c>
      <c r="V50" s="23">
        <v>44146.609930555554</v>
      </c>
    </row>
    <row r="51" spans="1:22" x14ac:dyDescent="0.25">
      <c r="A51" t="s">
        <v>247</v>
      </c>
      <c r="B51" t="s">
        <v>19</v>
      </c>
      <c r="C51" t="s">
        <v>166</v>
      </c>
      <c r="D51" t="s">
        <v>791</v>
      </c>
      <c r="E51" s="22">
        <v>44146</v>
      </c>
      <c r="F51" t="s">
        <v>249</v>
      </c>
      <c r="G51" t="s">
        <v>792</v>
      </c>
      <c r="I51" t="s">
        <v>25</v>
      </c>
      <c r="J51" t="s">
        <v>26</v>
      </c>
      <c r="K51">
        <v>1</v>
      </c>
      <c r="P51" s="22">
        <v>44146</v>
      </c>
      <c r="Q51" t="s">
        <v>1272</v>
      </c>
      <c r="R51" t="s">
        <v>1272</v>
      </c>
      <c r="S51">
        <v>0</v>
      </c>
      <c r="T51" t="s">
        <v>246</v>
      </c>
      <c r="U51" t="s">
        <v>1262</v>
      </c>
      <c r="V51" s="23">
        <v>44146.609166666669</v>
      </c>
    </row>
    <row r="52" spans="1:22" x14ac:dyDescent="0.25">
      <c r="A52" t="s">
        <v>468</v>
      </c>
      <c r="B52" t="s">
        <v>19</v>
      </c>
      <c r="C52" t="s">
        <v>166</v>
      </c>
      <c r="D52" t="s">
        <v>789</v>
      </c>
      <c r="E52" s="22">
        <v>44146</v>
      </c>
      <c r="F52" t="s">
        <v>470</v>
      </c>
      <c r="G52" t="s">
        <v>790</v>
      </c>
      <c r="I52" t="s">
        <v>25</v>
      </c>
      <c r="J52" t="s">
        <v>42</v>
      </c>
      <c r="K52">
        <v>0</v>
      </c>
      <c r="P52" s="22">
        <v>44146</v>
      </c>
      <c r="Q52" t="s">
        <v>1272</v>
      </c>
      <c r="R52" t="s">
        <v>1272</v>
      </c>
      <c r="S52">
        <v>0</v>
      </c>
      <c r="T52" t="s">
        <v>246</v>
      </c>
      <c r="U52" t="s">
        <v>1262</v>
      </c>
      <c r="V52" s="23">
        <v>44146.592997685184</v>
      </c>
    </row>
    <row r="53" spans="1:22" x14ac:dyDescent="0.25">
      <c r="A53" t="s">
        <v>78</v>
      </c>
      <c r="B53" t="s">
        <v>19</v>
      </c>
      <c r="C53" t="s">
        <v>166</v>
      </c>
      <c r="D53" t="s">
        <v>744</v>
      </c>
      <c r="E53" s="22">
        <v>44145</v>
      </c>
      <c r="F53" t="s">
        <v>80</v>
      </c>
      <c r="G53" t="s">
        <v>745</v>
      </c>
      <c r="I53" t="s">
        <v>95</v>
      </c>
      <c r="J53" t="s">
        <v>652</v>
      </c>
      <c r="K53">
        <v>0</v>
      </c>
      <c r="N53" t="s">
        <v>746</v>
      </c>
      <c r="P53" s="22">
        <v>44145</v>
      </c>
      <c r="Q53" t="s">
        <v>1272</v>
      </c>
      <c r="R53" t="s">
        <v>1272</v>
      </c>
      <c r="S53">
        <v>0</v>
      </c>
      <c r="T53" t="s">
        <v>246</v>
      </c>
      <c r="U53" t="s">
        <v>1262</v>
      </c>
      <c r="V53" s="23">
        <v>44145.424293981479</v>
      </c>
    </row>
    <row r="54" spans="1:22" x14ac:dyDescent="0.25">
      <c r="A54" t="s">
        <v>18</v>
      </c>
      <c r="B54" t="s">
        <v>19</v>
      </c>
      <c r="C54" t="s">
        <v>166</v>
      </c>
      <c r="D54" t="s">
        <v>720</v>
      </c>
      <c r="E54" s="22">
        <v>44144</v>
      </c>
      <c r="F54" t="s">
        <v>22</v>
      </c>
      <c r="G54" t="s">
        <v>721</v>
      </c>
      <c r="I54" t="s">
        <v>25</v>
      </c>
      <c r="J54" t="s">
        <v>42</v>
      </c>
      <c r="K54">
        <v>0</v>
      </c>
      <c r="N54" t="s">
        <v>621</v>
      </c>
      <c r="P54" s="22">
        <v>44144</v>
      </c>
      <c r="Q54" t="s">
        <v>1272</v>
      </c>
      <c r="R54" t="s">
        <v>1272</v>
      </c>
      <c r="S54">
        <v>0</v>
      </c>
      <c r="T54" t="s">
        <v>246</v>
      </c>
      <c r="U54" t="s">
        <v>1262</v>
      </c>
      <c r="V54" s="23">
        <v>44144.491238425922</v>
      </c>
    </row>
    <row r="55" spans="1:22" x14ac:dyDescent="0.25">
      <c r="A55" t="s">
        <v>78</v>
      </c>
      <c r="B55" t="s">
        <v>19</v>
      </c>
      <c r="C55" t="s">
        <v>166</v>
      </c>
      <c r="D55" t="s">
        <v>715</v>
      </c>
      <c r="E55" s="22">
        <v>44144</v>
      </c>
      <c r="F55" t="s">
        <v>80</v>
      </c>
      <c r="G55" t="s">
        <v>716</v>
      </c>
      <c r="I55" t="s">
        <v>36</v>
      </c>
      <c r="J55" t="s">
        <v>36</v>
      </c>
      <c r="K55">
        <v>0</v>
      </c>
      <c r="N55" t="s">
        <v>621</v>
      </c>
      <c r="P55" s="22">
        <v>44144</v>
      </c>
      <c r="Q55" t="s">
        <v>1272</v>
      </c>
      <c r="R55" t="s">
        <v>1272</v>
      </c>
      <c r="S55">
        <v>0</v>
      </c>
      <c r="T55" t="s">
        <v>246</v>
      </c>
      <c r="U55" t="s">
        <v>1262</v>
      </c>
      <c r="V55" s="23">
        <v>44144.473854166667</v>
      </c>
    </row>
    <row r="56" spans="1:22" x14ac:dyDescent="0.25">
      <c r="A56" t="s">
        <v>18</v>
      </c>
      <c r="B56" t="s">
        <v>19</v>
      </c>
      <c r="C56" t="s">
        <v>166</v>
      </c>
      <c r="D56" t="s">
        <v>688</v>
      </c>
      <c r="E56" s="22">
        <v>44142</v>
      </c>
      <c r="F56" t="s">
        <v>22</v>
      </c>
      <c r="G56" t="s">
        <v>689</v>
      </c>
      <c r="I56" t="s">
        <v>36</v>
      </c>
      <c r="J56" t="s">
        <v>287</v>
      </c>
      <c r="K56">
        <v>0</v>
      </c>
      <c r="N56" t="s">
        <v>681</v>
      </c>
      <c r="P56" s="22">
        <v>44142</v>
      </c>
      <c r="Q56" t="s">
        <v>1272</v>
      </c>
      <c r="R56" t="s">
        <v>1272</v>
      </c>
      <c r="S56">
        <v>0</v>
      </c>
      <c r="T56" t="s">
        <v>246</v>
      </c>
      <c r="U56" t="s">
        <v>1262</v>
      </c>
      <c r="V56" s="23">
        <v>44142.472037037034</v>
      </c>
    </row>
    <row r="57" spans="1:22" x14ac:dyDescent="0.25">
      <c r="A57" t="s">
        <v>37</v>
      </c>
      <c r="B57" t="s">
        <v>19</v>
      </c>
      <c r="C57" t="s">
        <v>166</v>
      </c>
      <c r="D57" t="s">
        <v>686</v>
      </c>
      <c r="E57" s="22">
        <v>44142</v>
      </c>
      <c r="F57" t="s">
        <v>39</v>
      </c>
      <c r="G57" t="s">
        <v>687</v>
      </c>
      <c r="I57" t="s">
        <v>95</v>
      </c>
      <c r="J57" t="s">
        <v>26</v>
      </c>
      <c r="K57">
        <v>0</v>
      </c>
      <c r="N57" t="s">
        <v>681</v>
      </c>
      <c r="P57" s="22">
        <v>44142</v>
      </c>
      <c r="Q57" t="s">
        <v>1272</v>
      </c>
      <c r="R57" t="s">
        <v>1272</v>
      </c>
      <c r="S57">
        <v>0</v>
      </c>
      <c r="T57" t="s">
        <v>246</v>
      </c>
      <c r="U57" t="s">
        <v>1262</v>
      </c>
      <c r="V57" s="23">
        <v>44142.471689814818</v>
      </c>
    </row>
    <row r="58" spans="1:22" x14ac:dyDescent="0.25">
      <c r="A58" t="s">
        <v>37</v>
      </c>
      <c r="B58" t="s">
        <v>19</v>
      </c>
      <c r="C58" t="s">
        <v>166</v>
      </c>
      <c r="D58" t="s">
        <v>684</v>
      </c>
      <c r="E58" s="22">
        <v>44142</v>
      </c>
      <c r="F58" t="s">
        <v>39</v>
      </c>
      <c r="G58" t="s">
        <v>685</v>
      </c>
      <c r="I58" t="s">
        <v>95</v>
      </c>
      <c r="J58" t="s">
        <v>26</v>
      </c>
      <c r="K58">
        <v>0</v>
      </c>
      <c r="N58" t="s">
        <v>681</v>
      </c>
      <c r="P58" s="22">
        <v>44142</v>
      </c>
      <c r="Q58" t="s">
        <v>1272</v>
      </c>
      <c r="R58" t="s">
        <v>1272</v>
      </c>
      <c r="S58">
        <v>0</v>
      </c>
      <c r="T58" t="s">
        <v>246</v>
      </c>
      <c r="U58" t="s">
        <v>1262</v>
      </c>
      <c r="V58" s="23">
        <v>44142.471435185187</v>
      </c>
    </row>
    <row r="59" spans="1:22" x14ac:dyDescent="0.25">
      <c r="A59" t="s">
        <v>78</v>
      </c>
      <c r="B59" t="s">
        <v>19</v>
      </c>
      <c r="C59" t="s">
        <v>166</v>
      </c>
      <c r="D59" t="s">
        <v>682</v>
      </c>
      <c r="E59" s="22">
        <v>44142</v>
      </c>
      <c r="F59" t="s">
        <v>80</v>
      </c>
      <c r="G59" t="s">
        <v>683</v>
      </c>
      <c r="I59" t="s">
        <v>95</v>
      </c>
      <c r="J59" t="s">
        <v>26</v>
      </c>
      <c r="K59">
        <v>0</v>
      </c>
      <c r="N59" t="s">
        <v>681</v>
      </c>
      <c r="P59" s="22">
        <v>44142</v>
      </c>
      <c r="Q59" t="s">
        <v>1272</v>
      </c>
      <c r="R59" t="s">
        <v>1272</v>
      </c>
      <c r="S59">
        <v>0</v>
      </c>
      <c r="T59" t="s">
        <v>246</v>
      </c>
      <c r="U59" t="s">
        <v>1262</v>
      </c>
      <c r="V59" s="23">
        <v>44142.471203703702</v>
      </c>
    </row>
    <row r="60" spans="1:22" x14ac:dyDescent="0.25">
      <c r="A60" t="s">
        <v>37</v>
      </c>
      <c r="B60" t="s">
        <v>19</v>
      </c>
      <c r="C60" t="s">
        <v>166</v>
      </c>
      <c r="D60" t="s">
        <v>679</v>
      </c>
      <c r="E60" s="22">
        <v>44142</v>
      </c>
      <c r="F60" t="s">
        <v>39</v>
      </c>
      <c r="G60" t="s">
        <v>680</v>
      </c>
      <c r="I60" t="s">
        <v>95</v>
      </c>
      <c r="J60" t="s">
        <v>26</v>
      </c>
      <c r="K60">
        <v>0</v>
      </c>
      <c r="N60" t="s">
        <v>681</v>
      </c>
      <c r="P60" s="22">
        <v>44142</v>
      </c>
      <c r="Q60" t="s">
        <v>1272</v>
      </c>
      <c r="R60" t="s">
        <v>1272</v>
      </c>
      <c r="S60">
        <v>0</v>
      </c>
      <c r="T60" t="s">
        <v>246</v>
      </c>
      <c r="U60" t="s">
        <v>1262</v>
      </c>
      <c r="V60" s="23">
        <v>44142.470960648148</v>
      </c>
    </row>
    <row r="61" spans="1:22" x14ac:dyDescent="0.25">
      <c r="A61" t="s">
        <v>18</v>
      </c>
      <c r="B61" t="s">
        <v>19</v>
      </c>
      <c r="C61" t="s">
        <v>166</v>
      </c>
      <c r="D61" t="s">
        <v>675</v>
      </c>
      <c r="E61" s="22">
        <v>44142</v>
      </c>
      <c r="F61" t="s">
        <v>22</v>
      </c>
      <c r="G61" t="s">
        <v>676</v>
      </c>
      <c r="I61" t="s">
        <v>36</v>
      </c>
      <c r="J61" t="s">
        <v>171</v>
      </c>
      <c r="K61">
        <v>0</v>
      </c>
      <c r="N61" t="s">
        <v>674</v>
      </c>
      <c r="P61" s="22">
        <v>44142</v>
      </c>
      <c r="Q61" t="s">
        <v>1272</v>
      </c>
      <c r="R61" t="s">
        <v>1272</v>
      </c>
      <c r="S61">
        <v>0</v>
      </c>
      <c r="T61" t="s">
        <v>246</v>
      </c>
      <c r="U61" t="s">
        <v>1262</v>
      </c>
      <c r="V61" s="23">
        <v>44142.469675925924</v>
      </c>
    </row>
    <row r="62" spans="1:22" x14ac:dyDescent="0.25">
      <c r="A62" t="s">
        <v>18</v>
      </c>
      <c r="B62" t="s">
        <v>19</v>
      </c>
      <c r="C62" t="s">
        <v>166</v>
      </c>
      <c r="D62" t="s">
        <v>660</v>
      </c>
      <c r="E62" s="22">
        <v>44141</v>
      </c>
      <c r="F62" t="s">
        <v>22</v>
      </c>
      <c r="G62" t="s">
        <v>661</v>
      </c>
      <c r="I62" t="s">
        <v>36</v>
      </c>
      <c r="J62" t="s">
        <v>36</v>
      </c>
      <c r="K62">
        <v>0</v>
      </c>
      <c r="N62" t="s">
        <v>662</v>
      </c>
      <c r="P62" s="22">
        <v>44141</v>
      </c>
      <c r="Q62" t="s">
        <v>1272</v>
      </c>
      <c r="R62" t="s">
        <v>1272</v>
      </c>
      <c r="S62">
        <v>0</v>
      </c>
      <c r="T62" t="s">
        <v>246</v>
      </c>
      <c r="U62" t="s">
        <v>1262</v>
      </c>
      <c r="V62" s="23">
        <v>44141.601053240738</v>
      </c>
    </row>
    <row r="63" spans="1:22" x14ac:dyDescent="0.25">
      <c r="A63" t="s">
        <v>642</v>
      </c>
      <c r="B63" t="s">
        <v>19</v>
      </c>
      <c r="C63" t="s">
        <v>166</v>
      </c>
      <c r="D63" t="s">
        <v>643</v>
      </c>
      <c r="E63" s="22">
        <v>44141</v>
      </c>
      <c r="F63" t="s">
        <v>644</v>
      </c>
      <c r="G63" t="s">
        <v>645</v>
      </c>
      <c r="I63" t="s">
        <v>36</v>
      </c>
      <c r="J63" t="s">
        <v>287</v>
      </c>
      <c r="K63">
        <v>0</v>
      </c>
      <c r="N63" t="s">
        <v>145</v>
      </c>
      <c r="P63" s="22">
        <v>44141</v>
      </c>
      <c r="Q63" t="s">
        <v>1272</v>
      </c>
      <c r="R63" t="s">
        <v>1272</v>
      </c>
      <c r="S63">
        <v>0</v>
      </c>
      <c r="T63" t="s">
        <v>246</v>
      </c>
      <c r="U63" t="s">
        <v>1262</v>
      </c>
      <c r="V63" s="23">
        <v>44141.432129629633</v>
      </c>
    </row>
    <row r="64" spans="1:22" x14ac:dyDescent="0.25">
      <c r="A64" t="s">
        <v>18</v>
      </c>
      <c r="B64" t="s">
        <v>19</v>
      </c>
      <c r="C64" t="s">
        <v>166</v>
      </c>
      <c r="D64" t="s">
        <v>633</v>
      </c>
      <c r="E64" s="22">
        <v>44140</v>
      </c>
      <c r="F64" t="s">
        <v>22</v>
      </c>
      <c r="G64" t="s">
        <v>634</v>
      </c>
      <c r="I64" t="s">
        <v>41</v>
      </c>
      <c r="J64" t="s">
        <v>287</v>
      </c>
      <c r="K64">
        <v>0</v>
      </c>
      <c r="N64" t="s">
        <v>635</v>
      </c>
      <c r="P64" s="22">
        <v>44140</v>
      </c>
      <c r="Q64" t="s">
        <v>1272</v>
      </c>
      <c r="R64" t="s">
        <v>1272</v>
      </c>
      <c r="S64">
        <v>0</v>
      </c>
      <c r="T64" t="s">
        <v>246</v>
      </c>
      <c r="U64" t="s">
        <v>1262</v>
      </c>
      <c r="V64" s="23">
        <v>44140.705972222226</v>
      </c>
    </row>
    <row r="65" spans="1:22" x14ac:dyDescent="0.25">
      <c r="A65" t="s">
        <v>18</v>
      </c>
      <c r="B65" t="s">
        <v>19</v>
      </c>
      <c r="C65" t="s">
        <v>166</v>
      </c>
      <c r="D65" t="s">
        <v>622</v>
      </c>
      <c r="E65" s="22">
        <v>44140</v>
      </c>
      <c r="F65" t="s">
        <v>22</v>
      </c>
      <c r="G65" t="s">
        <v>623</v>
      </c>
      <c r="I65" t="s">
        <v>36</v>
      </c>
      <c r="J65" t="s">
        <v>171</v>
      </c>
      <c r="K65">
        <v>0</v>
      </c>
      <c r="N65" t="s">
        <v>621</v>
      </c>
      <c r="P65" s="22">
        <v>44140</v>
      </c>
      <c r="Q65" t="s">
        <v>1272</v>
      </c>
      <c r="R65" t="s">
        <v>1272</v>
      </c>
      <c r="S65">
        <v>0</v>
      </c>
      <c r="T65" t="s">
        <v>246</v>
      </c>
      <c r="U65" t="s">
        <v>1262</v>
      </c>
      <c r="V65" s="23">
        <v>44140.65116898148</v>
      </c>
    </row>
    <row r="66" spans="1:22" x14ac:dyDescent="0.25">
      <c r="A66" t="s">
        <v>78</v>
      </c>
      <c r="B66" t="s">
        <v>19</v>
      </c>
      <c r="C66" t="s">
        <v>166</v>
      </c>
      <c r="D66" t="s">
        <v>610</v>
      </c>
      <c r="E66" s="22">
        <v>44140</v>
      </c>
      <c r="F66" t="s">
        <v>80</v>
      </c>
      <c r="G66" t="s">
        <v>611</v>
      </c>
      <c r="I66" t="s">
        <v>25</v>
      </c>
      <c r="J66" t="s">
        <v>563</v>
      </c>
      <c r="K66">
        <v>0</v>
      </c>
      <c r="N66" t="s">
        <v>606</v>
      </c>
      <c r="P66" s="22">
        <v>44140</v>
      </c>
      <c r="Q66" t="s">
        <v>1272</v>
      </c>
      <c r="R66" t="s">
        <v>1272</v>
      </c>
      <c r="S66">
        <v>0</v>
      </c>
      <c r="T66" t="s">
        <v>246</v>
      </c>
      <c r="U66" t="s">
        <v>1262</v>
      </c>
      <c r="V66" s="23">
        <v>44140.409097222226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2"/>
  <sheetViews>
    <sheetView tabSelected="1" workbookViewId="0">
      <selection activeCell="F15" sqref="F15"/>
    </sheetView>
  </sheetViews>
  <sheetFormatPr defaultRowHeight="15" x14ac:dyDescent="0.25"/>
  <cols>
    <col min="1" max="1" width="19.28515625" customWidth="1"/>
    <col min="2" max="2" width="16.28515625" customWidth="1"/>
    <col min="3" max="3" width="18.140625" customWidth="1"/>
    <col min="4" max="4" width="9.42578125" customWidth="1"/>
    <col min="5" max="5" width="11" customWidth="1"/>
    <col min="6" max="6" width="32" customWidth="1"/>
    <col min="7" max="7" width="7" customWidth="1"/>
    <col min="8" max="8" width="11.5703125" customWidth="1"/>
    <col min="9" max="9" width="11.28515625" customWidth="1"/>
    <col min="10" max="10" width="19.7109375" bestFit="1" customWidth="1"/>
    <col min="11" max="11" width="7.28515625" customWidth="1"/>
    <col min="12" max="12" width="11.28515625" bestFit="1" customWidth="1"/>
  </cols>
  <sheetData>
    <row r="2" spans="1:12" x14ac:dyDescent="0.25">
      <c r="A2" s="19" t="s">
        <v>1277</v>
      </c>
    </row>
    <row r="3" spans="1:12" x14ac:dyDescent="0.25">
      <c r="A3" s="4" t="s">
        <v>1269</v>
      </c>
      <c r="B3" s="4" t="s">
        <v>1275</v>
      </c>
    </row>
    <row r="4" spans="1:12" x14ac:dyDescent="0.25">
      <c r="A4" s="5" t="s">
        <v>1267</v>
      </c>
      <c r="B4" s="14" t="s">
        <v>272</v>
      </c>
      <c r="C4" s="14" t="s">
        <v>552</v>
      </c>
      <c r="D4" s="1" t="s">
        <v>563</v>
      </c>
      <c r="E4" s="1" t="s">
        <v>652</v>
      </c>
      <c r="F4" s="1" t="s">
        <v>171</v>
      </c>
      <c r="G4" s="1" t="s">
        <v>36</v>
      </c>
      <c r="H4" s="1" t="s">
        <v>42</v>
      </c>
      <c r="I4" s="10" t="s">
        <v>26</v>
      </c>
      <c r="J4" s="1" t="s">
        <v>287</v>
      </c>
      <c r="K4" s="1" t="s">
        <v>1276</v>
      </c>
      <c r="L4" s="1" t="s">
        <v>1268</v>
      </c>
    </row>
    <row r="5" spans="1:12" x14ac:dyDescent="0.25">
      <c r="A5" s="6" t="s">
        <v>95</v>
      </c>
      <c r="B5" s="17">
        <v>5</v>
      </c>
      <c r="C5" s="17">
        <v>6</v>
      </c>
      <c r="D5" s="7"/>
      <c r="E5" s="7">
        <v>1</v>
      </c>
      <c r="F5" s="7">
        <v>6</v>
      </c>
      <c r="G5" s="7">
        <v>1</v>
      </c>
      <c r="H5" s="7">
        <v>2</v>
      </c>
      <c r="I5" s="11">
        <v>35</v>
      </c>
      <c r="J5" s="7"/>
      <c r="K5" s="7"/>
      <c r="L5" s="7">
        <v>56</v>
      </c>
    </row>
    <row r="6" spans="1:12" x14ac:dyDescent="0.25">
      <c r="A6" s="6" t="s">
        <v>84</v>
      </c>
      <c r="B6" s="17">
        <v>1</v>
      </c>
      <c r="C6" s="17"/>
      <c r="D6" s="7"/>
      <c r="E6" s="7">
        <v>1</v>
      </c>
      <c r="F6" s="7"/>
      <c r="G6" s="7"/>
      <c r="H6" s="7">
        <v>2</v>
      </c>
      <c r="I6" s="11">
        <v>1</v>
      </c>
      <c r="J6" s="7"/>
      <c r="K6" s="7"/>
      <c r="L6" s="7">
        <v>5</v>
      </c>
    </row>
    <row r="7" spans="1:12" x14ac:dyDescent="0.25">
      <c r="A7" s="6" t="s">
        <v>36</v>
      </c>
      <c r="B7" s="17"/>
      <c r="C7" s="17">
        <v>8</v>
      </c>
      <c r="D7" s="7">
        <v>5</v>
      </c>
      <c r="E7" s="7">
        <v>3</v>
      </c>
      <c r="F7" s="7">
        <v>56</v>
      </c>
      <c r="G7" s="7">
        <v>63</v>
      </c>
      <c r="H7" s="7">
        <v>4</v>
      </c>
      <c r="I7" s="11">
        <v>3</v>
      </c>
      <c r="J7" s="7">
        <v>2</v>
      </c>
      <c r="K7" s="7"/>
      <c r="L7" s="7">
        <v>144</v>
      </c>
    </row>
    <row r="8" spans="1:12" x14ac:dyDescent="0.25">
      <c r="A8" s="6" t="s">
        <v>25</v>
      </c>
      <c r="B8" s="17">
        <v>2</v>
      </c>
      <c r="C8" s="17"/>
      <c r="D8" s="7">
        <v>22</v>
      </c>
      <c r="E8" s="7">
        <v>7</v>
      </c>
      <c r="F8" s="7">
        <v>3</v>
      </c>
      <c r="G8" s="7"/>
      <c r="H8" s="7">
        <v>39</v>
      </c>
      <c r="I8" s="11">
        <v>37</v>
      </c>
      <c r="J8" s="7">
        <v>1</v>
      </c>
      <c r="K8" s="7"/>
      <c r="L8" s="7">
        <v>111</v>
      </c>
    </row>
    <row r="9" spans="1:12" x14ac:dyDescent="0.25">
      <c r="A9" s="6" t="s">
        <v>170</v>
      </c>
      <c r="B9" s="17">
        <v>2</v>
      </c>
      <c r="C9" s="17">
        <v>1</v>
      </c>
      <c r="D9" s="7"/>
      <c r="E9" s="7"/>
      <c r="F9" s="7">
        <v>3</v>
      </c>
      <c r="G9" s="7"/>
      <c r="H9" s="7"/>
      <c r="I9" s="11">
        <v>6</v>
      </c>
      <c r="J9" s="7"/>
      <c r="K9" s="7"/>
      <c r="L9" s="7">
        <v>12</v>
      </c>
    </row>
    <row r="10" spans="1:12" x14ac:dyDescent="0.25">
      <c r="A10" s="6" t="s">
        <v>41</v>
      </c>
      <c r="B10" s="17">
        <v>6</v>
      </c>
      <c r="C10" s="17">
        <v>1</v>
      </c>
      <c r="D10" s="7">
        <v>15</v>
      </c>
      <c r="E10" s="7">
        <v>9</v>
      </c>
      <c r="F10" s="7">
        <v>2</v>
      </c>
      <c r="G10" s="7"/>
      <c r="H10" s="7">
        <v>24</v>
      </c>
      <c r="I10" s="11">
        <v>3</v>
      </c>
      <c r="J10" s="7">
        <v>42</v>
      </c>
      <c r="K10" s="7"/>
      <c r="L10" s="7">
        <v>102</v>
      </c>
    </row>
    <row r="11" spans="1:12" x14ac:dyDescent="0.25">
      <c r="A11" s="6" t="s">
        <v>797</v>
      </c>
      <c r="B11" s="17"/>
      <c r="C11" s="17"/>
      <c r="D11" s="7"/>
      <c r="E11" s="7">
        <v>2</v>
      </c>
      <c r="F11" s="7"/>
      <c r="G11" s="7"/>
      <c r="H11" s="7">
        <v>1</v>
      </c>
      <c r="I11" s="11"/>
      <c r="J11" s="7">
        <v>1</v>
      </c>
      <c r="K11" s="7"/>
      <c r="L11" s="7">
        <v>4</v>
      </c>
    </row>
    <row r="12" spans="1:12" x14ac:dyDescent="0.25">
      <c r="A12" s="6" t="s">
        <v>1276</v>
      </c>
      <c r="B12" s="17"/>
      <c r="C12" s="17"/>
      <c r="D12" s="7"/>
      <c r="E12" s="7"/>
      <c r="F12" s="7"/>
      <c r="G12" s="7"/>
      <c r="H12" s="7"/>
      <c r="I12" s="11"/>
      <c r="J12" s="7"/>
      <c r="K12" s="7">
        <v>5</v>
      </c>
      <c r="L12" s="7">
        <v>5</v>
      </c>
    </row>
    <row r="13" spans="1:12" x14ac:dyDescent="0.25">
      <c r="A13" s="6" t="s">
        <v>1268</v>
      </c>
      <c r="B13" s="17">
        <v>16</v>
      </c>
      <c r="C13" s="17">
        <v>16</v>
      </c>
      <c r="D13" s="7">
        <v>42</v>
      </c>
      <c r="E13" s="7">
        <v>23</v>
      </c>
      <c r="F13" s="7">
        <v>70</v>
      </c>
      <c r="G13" s="7">
        <v>64</v>
      </c>
      <c r="H13" s="7">
        <v>72</v>
      </c>
      <c r="I13" s="11">
        <v>85</v>
      </c>
      <c r="J13" s="7">
        <v>46</v>
      </c>
      <c r="K13" s="7">
        <v>5</v>
      </c>
      <c r="L13" s="7">
        <v>439</v>
      </c>
    </row>
    <row r="16" spans="1:12" x14ac:dyDescent="0.25">
      <c r="A16" s="31" t="s">
        <v>1278</v>
      </c>
    </row>
    <row r="17" spans="1:9" x14ac:dyDescent="0.25">
      <c r="A17" s="12" t="s">
        <v>1269</v>
      </c>
      <c r="B17" s="12" t="s">
        <v>1275</v>
      </c>
    </row>
    <row r="18" spans="1:9" x14ac:dyDescent="0.25">
      <c r="A18" s="13" t="s">
        <v>1267</v>
      </c>
      <c r="B18" s="14" t="s">
        <v>1273</v>
      </c>
      <c r="C18" s="15" t="s">
        <v>1272</v>
      </c>
      <c r="D18" s="15" t="s">
        <v>1268</v>
      </c>
      <c r="F18" s="25" t="s">
        <v>1269</v>
      </c>
      <c r="G18" s="25" t="s">
        <v>1275</v>
      </c>
      <c r="H18" s="27"/>
      <c r="I18" s="27"/>
    </row>
    <row r="19" spans="1:9" x14ac:dyDescent="0.25">
      <c r="A19" s="16" t="s">
        <v>95</v>
      </c>
      <c r="B19" s="17">
        <v>20</v>
      </c>
      <c r="C19" s="18">
        <v>36</v>
      </c>
      <c r="D19" s="18">
        <v>56</v>
      </c>
      <c r="F19" s="25" t="s">
        <v>1267</v>
      </c>
      <c r="G19" s="27" t="s">
        <v>166</v>
      </c>
      <c r="H19" s="27" t="s">
        <v>20</v>
      </c>
      <c r="I19" s="27" t="s">
        <v>1268</v>
      </c>
    </row>
    <row r="20" spans="1:9" x14ac:dyDescent="0.25">
      <c r="A20" s="16" t="s">
        <v>84</v>
      </c>
      <c r="B20" s="17">
        <v>1</v>
      </c>
      <c r="C20" s="18">
        <v>4</v>
      </c>
      <c r="D20" s="18">
        <v>5</v>
      </c>
      <c r="F20" s="28" t="s">
        <v>1263</v>
      </c>
      <c r="G20" s="30">
        <v>12</v>
      </c>
      <c r="H20" s="30"/>
      <c r="I20" s="30">
        <v>12</v>
      </c>
    </row>
    <row r="21" spans="1:9" x14ac:dyDescent="0.25">
      <c r="A21" s="16" t="s">
        <v>36</v>
      </c>
      <c r="B21" s="17">
        <v>45</v>
      </c>
      <c r="C21" s="18">
        <v>99</v>
      </c>
      <c r="D21" s="18">
        <v>144</v>
      </c>
      <c r="F21" s="28" t="s">
        <v>1262</v>
      </c>
      <c r="G21" s="20">
        <v>65</v>
      </c>
      <c r="H21" s="30">
        <v>110</v>
      </c>
      <c r="I21" s="30">
        <v>175</v>
      </c>
    </row>
    <row r="22" spans="1:9" x14ac:dyDescent="0.25">
      <c r="A22" s="16" t="s">
        <v>25</v>
      </c>
      <c r="B22" s="17">
        <v>35</v>
      </c>
      <c r="C22" s="18">
        <v>76</v>
      </c>
      <c r="D22" s="18">
        <v>111</v>
      </c>
      <c r="F22" s="28" t="s">
        <v>1265</v>
      </c>
      <c r="G22" s="30">
        <v>25</v>
      </c>
      <c r="H22" s="30">
        <v>131</v>
      </c>
      <c r="I22" s="30">
        <v>156</v>
      </c>
    </row>
    <row r="23" spans="1:9" x14ac:dyDescent="0.25">
      <c r="A23" s="16" t="s">
        <v>170</v>
      </c>
      <c r="B23" s="17">
        <v>2</v>
      </c>
      <c r="C23" s="18">
        <v>10</v>
      </c>
      <c r="D23" s="18">
        <v>12</v>
      </c>
      <c r="F23" s="28" t="s">
        <v>1264</v>
      </c>
      <c r="G23" s="30">
        <v>14</v>
      </c>
      <c r="H23" s="30">
        <v>82</v>
      </c>
      <c r="I23" s="30">
        <v>96</v>
      </c>
    </row>
    <row r="24" spans="1:9" x14ac:dyDescent="0.25">
      <c r="A24" s="16" t="s">
        <v>41</v>
      </c>
      <c r="B24" s="17">
        <v>28</v>
      </c>
      <c r="C24" s="18">
        <v>74</v>
      </c>
      <c r="D24" s="18">
        <v>102</v>
      </c>
      <c r="F24" s="28" t="s">
        <v>1268</v>
      </c>
      <c r="G24" s="30">
        <v>116</v>
      </c>
      <c r="H24" s="30">
        <v>323</v>
      </c>
      <c r="I24" s="30">
        <v>439</v>
      </c>
    </row>
    <row r="25" spans="1:9" x14ac:dyDescent="0.25">
      <c r="A25" s="16" t="s">
        <v>797</v>
      </c>
      <c r="B25" s="17"/>
      <c r="C25" s="18">
        <v>4</v>
      </c>
      <c r="D25" s="18">
        <v>4</v>
      </c>
    </row>
    <row r="26" spans="1:9" x14ac:dyDescent="0.25">
      <c r="A26" s="16" t="s">
        <v>1276</v>
      </c>
      <c r="B26" s="17">
        <v>1</v>
      </c>
      <c r="C26" s="18">
        <v>4</v>
      </c>
      <c r="D26" s="18">
        <v>5</v>
      </c>
    </row>
    <row r="27" spans="1:9" x14ac:dyDescent="0.25">
      <c r="A27" s="16" t="s">
        <v>1268</v>
      </c>
      <c r="B27" s="17">
        <v>132</v>
      </c>
      <c r="C27" s="18">
        <v>307</v>
      </c>
      <c r="D27" s="18">
        <v>439</v>
      </c>
    </row>
    <row r="30" spans="1:9" x14ac:dyDescent="0.25">
      <c r="A30" s="32" t="s">
        <v>2224</v>
      </c>
    </row>
    <row r="31" spans="1:9" x14ac:dyDescent="0.25">
      <c r="B31" s="24" t="s">
        <v>1275</v>
      </c>
    </row>
    <row r="32" spans="1:9" x14ac:dyDescent="0.25">
      <c r="A32" s="27"/>
      <c r="B32" s="27" t="s">
        <v>2221</v>
      </c>
      <c r="C32" s="26" t="s">
        <v>2222</v>
      </c>
      <c r="D32" s="27" t="s">
        <v>2220</v>
      </c>
      <c r="E32" s="27" t="s">
        <v>1268</v>
      </c>
    </row>
    <row r="33" spans="1:9" x14ac:dyDescent="0.25">
      <c r="A33" s="27" t="s">
        <v>2223</v>
      </c>
      <c r="B33" s="30">
        <v>32</v>
      </c>
      <c r="C33" s="29">
        <v>219</v>
      </c>
      <c r="D33" s="30">
        <v>22</v>
      </c>
      <c r="E33" s="30">
        <v>273</v>
      </c>
    </row>
    <row r="34" spans="1:9" s="21" customFormat="1" x14ac:dyDescent="0.25">
      <c r="A34" s="33"/>
      <c r="B34" s="34"/>
      <c r="C34" s="35"/>
      <c r="D34" s="34"/>
      <c r="E34" s="34"/>
    </row>
    <row r="35" spans="1:9" s="21" customFormat="1" x14ac:dyDescent="0.25">
      <c r="A35" s="33"/>
      <c r="B35" s="34"/>
      <c r="C35" s="35"/>
      <c r="D35" s="34"/>
      <c r="E35" s="34"/>
    </row>
    <row r="36" spans="1:9" s="21" customFormat="1" x14ac:dyDescent="0.25">
      <c r="A36" s="33"/>
      <c r="B36" s="34"/>
      <c r="C36" s="35"/>
      <c r="D36" s="34"/>
      <c r="E36" s="34"/>
    </row>
    <row r="37" spans="1:9" s="21" customFormat="1" x14ac:dyDescent="0.25">
      <c r="A37" s="24" t="s">
        <v>2223</v>
      </c>
      <c r="B37" s="24" t="s">
        <v>1275</v>
      </c>
      <c r="C37"/>
      <c r="D37"/>
      <c r="E37"/>
      <c r="F37"/>
      <c r="G37"/>
      <c r="H37"/>
      <c r="I37"/>
    </row>
    <row r="38" spans="1:9" s="21" customFormat="1" x14ac:dyDescent="0.25">
      <c r="A38" s="25" t="s">
        <v>1267</v>
      </c>
      <c r="B38" s="26" t="s">
        <v>1293</v>
      </c>
      <c r="C38" s="26" t="s">
        <v>1496</v>
      </c>
      <c r="D38" s="26" t="s">
        <v>1324</v>
      </c>
      <c r="E38" s="27" t="s">
        <v>1311</v>
      </c>
      <c r="F38" s="27" t="s">
        <v>1728</v>
      </c>
      <c r="G38" s="27" t="s">
        <v>1509</v>
      </c>
      <c r="H38" s="27" t="s">
        <v>1302</v>
      </c>
      <c r="I38" s="27" t="s">
        <v>1268</v>
      </c>
    </row>
    <row r="39" spans="1:9" s="21" customFormat="1" x14ac:dyDescent="0.25">
      <c r="A39" s="28" t="s">
        <v>1294</v>
      </c>
      <c r="B39" s="29"/>
      <c r="C39" s="29"/>
      <c r="D39" s="29">
        <v>7</v>
      </c>
      <c r="E39" s="30"/>
      <c r="F39" s="30"/>
      <c r="G39" s="30"/>
      <c r="H39" s="30">
        <v>8</v>
      </c>
      <c r="I39" s="30">
        <v>15</v>
      </c>
    </row>
    <row r="40" spans="1:9" s="21" customFormat="1" x14ac:dyDescent="0.25">
      <c r="A40" s="28" t="s">
        <v>1371</v>
      </c>
      <c r="B40" s="29">
        <v>4</v>
      </c>
      <c r="C40" s="29"/>
      <c r="D40" s="29">
        <v>4</v>
      </c>
      <c r="E40" s="30">
        <v>1</v>
      </c>
      <c r="F40" s="30"/>
      <c r="G40" s="30"/>
      <c r="H40" s="30">
        <v>12</v>
      </c>
      <c r="I40" s="30">
        <v>21</v>
      </c>
    </row>
    <row r="41" spans="1:9" s="21" customFormat="1" x14ac:dyDescent="0.25">
      <c r="A41" s="28" t="s">
        <v>1438</v>
      </c>
      <c r="B41" s="29"/>
      <c r="C41" s="29"/>
      <c r="D41" s="29">
        <v>5</v>
      </c>
      <c r="E41" s="30"/>
      <c r="F41" s="30"/>
      <c r="G41" s="30"/>
      <c r="H41" s="30">
        <v>7</v>
      </c>
      <c r="I41" s="30">
        <v>12</v>
      </c>
    </row>
    <row r="42" spans="1:9" s="21" customFormat="1" x14ac:dyDescent="0.25">
      <c r="A42" s="28" t="s">
        <v>1485</v>
      </c>
      <c r="B42" s="29"/>
      <c r="C42" s="29">
        <v>1</v>
      </c>
      <c r="D42" s="29">
        <v>14</v>
      </c>
      <c r="E42" s="30">
        <v>1</v>
      </c>
      <c r="F42" s="30"/>
      <c r="G42" s="30">
        <v>2</v>
      </c>
      <c r="H42" s="30">
        <v>3</v>
      </c>
      <c r="I42" s="30">
        <v>21</v>
      </c>
    </row>
    <row r="43" spans="1:9" s="21" customFormat="1" x14ac:dyDescent="0.25">
      <c r="A43" s="28" t="s">
        <v>1571</v>
      </c>
      <c r="B43" s="29">
        <v>1</v>
      </c>
      <c r="C43" s="29"/>
      <c r="D43" s="29">
        <v>11</v>
      </c>
      <c r="E43" s="30"/>
      <c r="F43" s="30"/>
      <c r="G43" s="30"/>
      <c r="H43" s="30">
        <v>3</v>
      </c>
      <c r="I43" s="30">
        <v>15</v>
      </c>
    </row>
    <row r="44" spans="1:9" s="21" customFormat="1" x14ac:dyDescent="0.25">
      <c r="A44" s="28" t="s">
        <v>1630</v>
      </c>
      <c r="B44" s="29">
        <v>7</v>
      </c>
      <c r="C44" s="29"/>
      <c r="D44" s="29"/>
      <c r="E44" s="30"/>
      <c r="F44" s="30"/>
      <c r="G44" s="30"/>
      <c r="H44" s="30"/>
      <c r="I44" s="30">
        <v>7</v>
      </c>
    </row>
    <row r="45" spans="1:9" s="21" customFormat="1" x14ac:dyDescent="0.25">
      <c r="A45" s="28" t="s">
        <v>1637</v>
      </c>
      <c r="B45" s="29">
        <v>2</v>
      </c>
      <c r="C45" s="29"/>
      <c r="D45" s="29"/>
      <c r="E45" s="30"/>
      <c r="F45" s="30"/>
      <c r="G45" s="30"/>
      <c r="H45" s="30">
        <v>2</v>
      </c>
      <c r="I45" s="30">
        <v>4</v>
      </c>
    </row>
    <row r="46" spans="1:9" s="21" customFormat="1" x14ac:dyDescent="0.25">
      <c r="A46" s="28" t="s">
        <v>1645</v>
      </c>
      <c r="B46" s="29"/>
      <c r="C46" s="29"/>
      <c r="D46" s="29">
        <v>5</v>
      </c>
      <c r="E46" s="30"/>
      <c r="F46" s="30"/>
      <c r="G46" s="30"/>
      <c r="H46" s="30">
        <v>6</v>
      </c>
      <c r="I46" s="30">
        <v>11</v>
      </c>
    </row>
    <row r="47" spans="1:9" s="21" customFormat="1" x14ac:dyDescent="0.25">
      <c r="A47" s="28" t="s">
        <v>1694</v>
      </c>
      <c r="B47" s="29"/>
      <c r="C47" s="29"/>
      <c r="D47" s="29">
        <v>11</v>
      </c>
      <c r="E47" s="30"/>
      <c r="F47" s="30">
        <v>1</v>
      </c>
      <c r="G47" s="30"/>
      <c r="H47" s="30">
        <v>4</v>
      </c>
      <c r="I47" s="30">
        <v>16</v>
      </c>
    </row>
    <row r="48" spans="1:9" s="21" customFormat="1" x14ac:dyDescent="0.25">
      <c r="A48" s="28" t="s">
        <v>1741</v>
      </c>
      <c r="B48" s="29">
        <v>1</v>
      </c>
      <c r="C48" s="29"/>
      <c r="D48" s="29">
        <v>5</v>
      </c>
      <c r="E48" s="30"/>
      <c r="F48" s="30">
        <v>1</v>
      </c>
      <c r="G48" s="30"/>
      <c r="H48" s="30">
        <v>7</v>
      </c>
      <c r="I48" s="30">
        <v>14</v>
      </c>
    </row>
    <row r="49" spans="1:9" s="21" customFormat="1" x14ac:dyDescent="0.25">
      <c r="A49" s="28" t="s">
        <v>1772</v>
      </c>
      <c r="B49" s="29">
        <v>1</v>
      </c>
      <c r="C49" s="29"/>
      <c r="D49" s="29">
        <v>5</v>
      </c>
      <c r="E49" s="30"/>
      <c r="F49" s="30"/>
      <c r="G49" s="30"/>
      <c r="H49" s="30">
        <v>10</v>
      </c>
      <c r="I49" s="30">
        <v>16</v>
      </c>
    </row>
    <row r="50" spans="1:9" s="21" customFormat="1" x14ac:dyDescent="0.25">
      <c r="A50" s="28" t="s">
        <v>1823</v>
      </c>
      <c r="B50" s="29"/>
      <c r="C50" s="29"/>
      <c r="D50" s="29">
        <v>4</v>
      </c>
      <c r="E50" s="30"/>
      <c r="F50" s="30"/>
      <c r="G50" s="30">
        <v>1</v>
      </c>
      <c r="H50" s="30">
        <v>16</v>
      </c>
      <c r="I50" s="30">
        <v>21</v>
      </c>
    </row>
    <row r="51" spans="1:9" s="21" customFormat="1" x14ac:dyDescent="0.25">
      <c r="A51" s="28" t="s">
        <v>1896</v>
      </c>
      <c r="B51" s="29"/>
      <c r="C51" s="29"/>
      <c r="D51" s="29">
        <v>2</v>
      </c>
      <c r="E51" s="30">
        <v>1</v>
      </c>
      <c r="F51" s="30">
        <v>1</v>
      </c>
      <c r="G51" s="30">
        <v>2</v>
      </c>
      <c r="H51" s="30">
        <v>9</v>
      </c>
      <c r="I51" s="30">
        <v>15</v>
      </c>
    </row>
    <row r="52" spans="1:9" s="21" customFormat="1" x14ac:dyDescent="0.25">
      <c r="A52" s="28" t="s">
        <v>1939</v>
      </c>
      <c r="B52" s="29">
        <v>2</v>
      </c>
      <c r="C52" s="29"/>
      <c r="D52" s="29">
        <v>6</v>
      </c>
      <c r="E52" s="30"/>
      <c r="F52" s="30"/>
      <c r="G52" s="30">
        <v>2</v>
      </c>
      <c r="H52" s="30">
        <v>6</v>
      </c>
      <c r="I52" s="30">
        <v>16</v>
      </c>
    </row>
    <row r="53" spans="1:9" s="21" customFormat="1" x14ac:dyDescent="0.25">
      <c r="A53" s="28" t="s">
        <v>1986</v>
      </c>
      <c r="B53" s="29"/>
      <c r="C53" s="29"/>
      <c r="D53" s="29">
        <v>4</v>
      </c>
      <c r="E53" s="30"/>
      <c r="F53" s="30"/>
      <c r="G53" s="30">
        <v>1</v>
      </c>
      <c r="H53" s="30">
        <v>6</v>
      </c>
      <c r="I53" s="30">
        <v>11</v>
      </c>
    </row>
    <row r="54" spans="1:9" s="21" customFormat="1" x14ac:dyDescent="0.25">
      <c r="A54" s="28" t="s">
        <v>2020</v>
      </c>
      <c r="B54" s="29"/>
      <c r="C54" s="29"/>
      <c r="D54" s="29">
        <v>1</v>
      </c>
      <c r="E54" s="30"/>
      <c r="F54" s="30"/>
      <c r="G54" s="30">
        <v>1</v>
      </c>
      <c r="H54" s="30">
        <v>4</v>
      </c>
      <c r="I54" s="30">
        <v>6</v>
      </c>
    </row>
    <row r="55" spans="1:9" s="21" customFormat="1" x14ac:dyDescent="0.25">
      <c r="A55" s="28" t="s">
        <v>2042</v>
      </c>
      <c r="B55" s="29"/>
      <c r="C55" s="29"/>
      <c r="D55" s="29">
        <v>8</v>
      </c>
      <c r="E55" s="30"/>
      <c r="F55" s="30">
        <v>1</v>
      </c>
      <c r="G55" s="30"/>
      <c r="H55" s="30">
        <v>6</v>
      </c>
      <c r="I55" s="30">
        <v>15</v>
      </c>
    </row>
    <row r="56" spans="1:9" s="21" customFormat="1" x14ac:dyDescent="0.25">
      <c r="A56" s="28" t="s">
        <v>2094</v>
      </c>
      <c r="B56" s="29"/>
      <c r="C56" s="29"/>
      <c r="D56" s="29">
        <v>8</v>
      </c>
      <c r="E56" s="30"/>
      <c r="F56" s="30"/>
      <c r="G56" s="30"/>
      <c r="H56" s="30">
        <v>3</v>
      </c>
      <c r="I56" s="30">
        <v>11</v>
      </c>
    </row>
    <row r="57" spans="1:9" s="21" customFormat="1" x14ac:dyDescent="0.25">
      <c r="A57" s="28" t="s">
        <v>2139</v>
      </c>
      <c r="B57" s="29"/>
      <c r="C57" s="29"/>
      <c r="D57" s="29"/>
      <c r="E57" s="30"/>
      <c r="F57" s="30"/>
      <c r="G57" s="30">
        <v>2</v>
      </c>
      <c r="H57" s="30">
        <v>1</v>
      </c>
      <c r="I57" s="30">
        <v>3</v>
      </c>
    </row>
    <row r="58" spans="1:9" s="21" customFormat="1" x14ac:dyDescent="0.25">
      <c r="A58" s="28" t="s">
        <v>2148</v>
      </c>
      <c r="B58" s="29"/>
      <c r="C58" s="29"/>
      <c r="D58" s="29"/>
      <c r="E58" s="30"/>
      <c r="F58" s="30"/>
      <c r="G58" s="30">
        <v>1</v>
      </c>
      <c r="H58" s="30">
        <v>1</v>
      </c>
      <c r="I58" s="30">
        <v>2</v>
      </c>
    </row>
    <row r="59" spans="1:9" s="21" customFormat="1" x14ac:dyDescent="0.25">
      <c r="A59" s="28" t="s">
        <v>2157</v>
      </c>
      <c r="B59" s="29"/>
      <c r="C59" s="29"/>
      <c r="D59" s="29">
        <v>6</v>
      </c>
      <c r="E59" s="30"/>
      <c r="F59" s="30"/>
      <c r="G59" s="30"/>
      <c r="H59" s="30">
        <v>5</v>
      </c>
      <c r="I59" s="30">
        <v>11</v>
      </c>
    </row>
    <row r="60" spans="1:9" s="21" customFormat="1" x14ac:dyDescent="0.25">
      <c r="A60" s="28" t="s">
        <v>2193</v>
      </c>
      <c r="B60" s="29"/>
      <c r="C60" s="29"/>
      <c r="D60" s="29"/>
      <c r="E60" s="30"/>
      <c r="F60" s="30"/>
      <c r="G60" s="30"/>
      <c r="H60" s="30">
        <v>5</v>
      </c>
      <c r="I60" s="30">
        <v>5</v>
      </c>
    </row>
    <row r="61" spans="1:9" s="21" customFormat="1" x14ac:dyDescent="0.25">
      <c r="A61" s="28" t="s">
        <v>2211</v>
      </c>
      <c r="B61" s="29">
        <v>4</v>
      </c>
      <c r="C61" s="29"/>
      <c r="D61" s="29"/>
      <c r="E61" s="30"/>
      <c r="F61" s="30"/>
      <c r="G61" s="30"/>
      <c r="H61" s="30">
        <v>1</v>
      </c>
      <c r="I61" s="30">
        <v>5</v>
      </c>
    </row>
    <row r="62" spans="1:9" s="21" customFormat="1" x14ac:dyDescent="0.25">
      <c r="A62" s="28" t="s">
        <v>1268</v>
      </c>
      <c r="B62" s="29">
        <v>22</v>
      </c>
      <c r="C62" s="29">
        <v>1</v>
      </c>
      <c r="D62" s="29">
        <v>106</v>
      </c>
      <c r="E62" s="30">
        <v>3</v>
      </c>
      <c r="F62" s="30">
        <v>4</v>
      </c>
      <c r="G62" s="30">
        <v>12</v>
      </c>
      <c r="H62" s="30">
        <v>125</v>
      </c>
      <c r="I62" s="30">
        <v>273</v>
      </c>
    </row>
    <row r="63" spans="1:9" s="21" customFormat="1" x14ac:dyDescent="0.25">
      <c r="A63" s="33"/>
      <c r="B63" s="34"/>
      <c r="C63" s="35"/>
      <c r="D63" s="34"/>
      <c r="E63" s="34"/>
    </row>
    <row r="66" spans="1:5" x14ac:dyDescent="0.25">
      <c r="A66" s="32" t="s">
        <v>2225</v>
      </c>
    </row>
    <row r="67" spans="1:5" x14ac:dyDescent="0.25">
      <c r="A67" s="24" t="s">
        <v>2223</v>
      </c>
      <c r="B67" s="24" t="s">
        <v>1275</v>
      </c>
    </row>
    <row r="68" spans="1:5" x14ac:dyDescent="0.25">
      <c r="A68" s="25" t="s">
        <v>1267</v>
      </c>
      <c r="B68" s="26" t="s">
        <v>1293</v>
      </c>
      <c r="C68" s="26" t="s">
        <v>1323</v>
      </c>
      <c r="D68" s="27" t="s">
        <v>1301</v>
      </c>
      <c r="E68" s="27" t="s">
        <v>1268</v>
      </c>
    </row>
    <row r="69" spans="1:5" x14ac:dyDescent="0.25">
      <c r="A69" s="28" t="s">
        <v>1294</v>
      </c>
      <c r="B69" s="29"/>
      <c r="C69" s="29">
        <v>7</v>
      </c>
      <c r="D69" s="30">
        <v>8</v>
      </c>
      <c r="E69" s="30">
        <v>15</v>
      </c>
    </row>
    <row r="70" spans="1:5" x14ac:dyDescent="0.25">
      <c r="A70" s="28" t="s">
        <v>1371</v>
      </c>
      <c r="B70" s="29">
        <v>4</v>
      </c>
      <c r="C70" s="29">
        <v>2</v>
      </c>
      <c r="D70" s="30">
        <v>15</v>
      </c>
      <c r="E70" s="30">
        <v>21</v>
      </c>
    </row>
    <row r="71" spans="1:5" x14ac:dyDescent="0.25">
      <c r="A71" s="28" t="s">
        <v>1438</v>
      </c>
      <c r="B71" s="29"/>
      <c r="C71" s="29">
        <v>4</v>
      </c>
      <c r="D71" s="30">
        <v>8</v>
      </c>
      <c r="E71" s="30">
        <v>12</v>
      </c>
    </row>
    <row r="72" spans="1:5" x14ac:dyDescent="0.25">
      <c r="A72" s="28" t="s">
        <v>1485</v>
      </c>
      <c r="B72" s="29"/>
      <c r="C72" s="29">
        <v>13</v>
      </c>
      <c r="D72" s="30">
        <v>8</v>
      </c>
      <c r="E72" s="30">
        <v>21</v>
      </c>
    </row>
    <row r="73" spans="1:5" x14ac:dyDescent="0.25">
      <c r="A73" s="28" t="s">
        <v>1571</v>
      </c>
      <c r="B73" s="29">
        <v>1</v>
      </c>
      <c r="C73" s="29">
        <v>8</v>
      </c>
      <c r="D73" s="30">
        <v>6</v>
      </c>
      <c r="E73" s="30">
        <v>15</v>
      </c>
    </row>
    <row r="74" spans="1:5" x14ac:dyDescent="0.25">
      <c r="A74" s="28" t="s">
        <v>1630</v>
      </c>
      <c r="B74" s="29">
        <v>7</v>
      </c>
      <c r="C74" s="29"/>
      <c r="D74" s="30"/>
      <c r="E74" s="30">
        <v>7</v>
      </c>
    </row>
    <row r="75" spans="1:5" x14ac:dyDescent="0.25">
      <c r="A75" s="28" t="s">
        <v>1637</v>
      </c>
      <c r="B75" s="29">
        <v>2</v>
      </c>
      <c r="C75" s="29"/>
      <c r="D75" s="30">
        <v>2</v>
      </c>
      <c r="E75" s="30">
        <v>4</v>
      </c>
    </row>
    <row r="76" spans="1:5" x14ac:dyDescent="0.25">
      <c r="A76" s="28" t="s">
        <v>1645</v>
      </c>
      <c r="B76" s="29"/>
      <c r="C76" s="29">
        <v>4</v>
      </c>
      <c r="D76" s="30">
        <v>7</v>
      </c>
      <c r="E76" s="30">
        <v>11</v>
      </c>
    </row>
    <row r="77" spans="1:5" x14ac:dyDescent="0.25">
      <c r="A77" s="28" t="s">
        <v>1694</v>
      </c>
      <c r="B77" s="29"/>
      <c r="C77" s="29">
        <v>7</v>
      </c>
      <c r="D77" s="30">
        <v>9</v>
      </c>
      <c r="E77" s="30">
        <v>16</v>
      </c>
    </row>
    <row r="78" spans="1:5" x14ac:dyDescent="0.25">
      <c r="A78" s="28" t="s">
        <v>1741</v>
      </c>
      <c r="B78" s="29">
        <v>1</v>
      </c>
      <c r="C78" s="29">
        <v>3</v>
      </c>
      <c r="D78" s="30">
        <v>10</v>
      </c>
      <c r="E78" s="30">
        <v>14</v>
      </c>
    </row>
    <row r="79" spans="1:5" x14ac:dyDescent="0.25">
      <c r="A79" s="28" t="s">
        <v>1772</v>
      </c>
      <c r="B79" s="29">
        <v>1</v>
      </c>
      <c r="C79" s="29">
        <v>6</v>
      </c>
      <c r="D79" s="30">
        <v>9</v>
      </c>
      <c r="E79" s="30">
        <v>16</v>
      </c>
    </row>
    <row r="80" spans="1:5" x14ac:dyDescent="0.25">
      <c r="A80" s="28" t="s">
        <v>1823</v>
      </c>
      <c r="B80" s="29"/>
      <c r="C80" s="29">
        <v>6</v>
      </c>
      <c r="D80" s="30">
        <v>15</v>
      </c>
      <c r="E80" s="30">
        <v>21</v>
      </c>
    </row>
    <row r="81" spans="1:5" x14ac:dyDescent="0.25">
      <c r="A81" s="28" t="s">
        <v>1896</v>
      </c>
      <c r="B81" s="29"/>
      <c r="C81" s="29">
        <v>5</v>
      </c>
      <c r="D81" s="30">
        <v>10</v>
      </c>
      <c r="E81" s="30">
        <v>15</v>
      </c>
    </row>
    <row r="82" spans="1:5" x14ac:dyDescent="0.25">
      <c r="A82" s="28" t="s">
        <v>1939</v>
      </c>
      <c r="B82" s="29">
        <v>2</v>
      </c>
      <c r="C82" s="29">
        <v>9</v>
      </c>
      <c r="D82" s="30">
        <v>5</v>
      </c>
      <c r="E82" s="30">
        <v>16</v>
      </c>
    </row>
    <row r="83" spans="1:5" x14ac:dyDescent="0.25">
      <c r="A83" s="28" t="s">
        <v>1986</v>
      </c>
      <c r="B83" s="29"/>
      <c r="C83" s="29">
        <v>5</v>
      </c>
      <c r="D83" s="30">
        <v>6</v>
      </c>
      <c r="E83" s="30">
        <v>11</v>
      </c>
    </row>
    <row r="84" spans="1:5" x14ac:dyDescent="0.25">
      <c r="A84" s="28" t="s">
        <v>2020</v>
      </c>
      <c r="B84" s="29"/>
      <c r="C84" s="29">
        <v>3</v>
      </c>
      <c r="D84" s="30">
        <v>3</v>
      </c>
      <c r="E84" s="30">
        <v>6</v>
      </c>
    </row>
    <row r="85" spans="1:5" x14ac:dyDescent="0.25">
      <c r="A85" s="28" t="s">
        <v>2042</v>
      </c>
      <c r="B85" s="29"/>
      <c r="C85" s="29">
        <v>10</v>
      </c>
      <c r="D85" s="30">
        <v>5</v>
      </c>
      <c r="E85" s="30">
        <v>15</v>
      </c>
    </row>
    <row r="86" spans="1:5" x14ac:dyDescent="0.25">
      <c r="A86" s="28" t="s">
        <v>2094</v>
      </c>
      <c r="B86" s="29"/>
      <c r="C86" s="29">
        <v>6</v>
      </c>
      <c r="D86" s="30">
        <v>5</v>
      </c>
      <c r="E86" s="30">
        <v>11</v>
      </c>
    </row>
    <row r="87" spans="1:5" x14ac:dyDescent="0.25">
      <c r="A87" s="28" t="s">
        <v>2139</v>
      </c>
      <c r="B87" s="29"/>
      <c r="C87" s="29">
        <v>2</v>
      </c>
      <c r="D87" s="30">
        <v>1</v>
      </c>
      <c r="E87" s="30">
        <v>3</v>
      </c>
    </row>
    <row r="88" spans="1:5" x14ac:dyDescent="0.25">
      <c r="A88" s="28" t="s">
        <v>2148</v>
      </c>
      <c r="B88" s="29"/>
      <c r="C88" s="29">
        <v>1</v>
      </c>
      <c r="D88" s="30">
        <v>1</v>
      </c>
      <c r="E88" s="30">
        <v>2</v>
      </c>
    </row>
    <row r="89" spans="1:5" x14ac:dyDescent="0.25">
      <c r="A89" s="28" t="s">
        <v>2157</v>
      </c>
      <c r="B89" s="29"/>
      <c r="C89" s="29">
        <v>4</v>
      </c>
      <c r="D89" s="30">
        <v>7</v>
      </c>
      <c r="E89" s="30">
        <v>11</v>
      </c>
    </row>
    <row r="90" spans="1:5" x14ac:dyDescent="0.25">
      <c r="A90" s="28" t="s">
        <v>2193</v>
      </c>
      <c r="B90" s="29"/>
      <c r="C90" s="29">
        <v>2</v>
      </c>
      <c r="D90" s="30">
        <v>3</v>
      </c>
      <c r="E90" s="30">
        <v>5</v>
      </c>
    </row>
    <row r="91" spans="1:5" x14ac:dyDescent="0.25">
      <c r="A91" s="28" t="s">
        <v>2211</v>
      </c>
      <c r="B91" s="29">
        <v>4</v>
      </c>
      <c r="C91" s="29"/>
      <c r="D91" s="30">
        <v>1</v>
      </c>
      <c r="E91" s="30">
        <v>5</v>
      </c>
    </row>
    <row r="92" spans="1:5" x14ac:dyDescent="0.25">
      <c r="A92" s="28" t="s">
        <v>1268</v>
      </c>
      <c r="B92" s="29">
        <v>22</v>
      </c>
      <c r="C92" s="29">
        <v>107</v>
      </c>
      <c r="D92" s="30">
        <v>144</v>
      </c>
      <c r="E92" s="30">
        <v>273</v>
      </c>
    </row>
  </sheetData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0"/>
  <sheetViews>
    <sheetView workbookViewId="0">
      <selection activeCell="A6" sqref="A1:V440"/>
    </sheetView>
  </sheetViews>
  <sheetFormatPr defaultRowHeight="15" x14ac:dyDescent="0.25"/>
  <cols>
    <col min="1" max="1" width="35" bestFit="1" customWidth="1"/>
    <col min="2" max="2" width="12.7109375" bestFit="1" customWidth="1"/>
    <col min="3" max="3" width="7.85546875" bestFit="1" customWidth="1"/>
    <col min="4" max="4" width="13.85546875" bestFit="1" customWidth="1"/>
    <col min="5" max="5" width="10.7109375" bestFit="1" customWidth="1"/>
    <col min="6" max="6" width="10.140625" bestFit="1" customWidth="1"/>
    <col min="7" max="7" width="93" bestFit="1" customWidth="1"/>
    <col min="8" max="8" width="69.28515625" bestFit="1" customWidth="1"/>
    <col min="9" max="9" width="36.42578125" bestFit="1" customWidth="1"/>
    <col min="10" max="10" width="26.140625" bestFit="1" customWidth="1"/>
    <col min="11" max="11" width="9.85546875" bestFit="1" customWidth="1"/>
    <col min="12" max="12" width="10.42578125" bestFit="1" customWidth="1"/>
    <col min="13" max="13" width="34.140625" bestFit="1" customWidth="1"/>
    <col min="14" max="14" width="13.85546875" bestFit="1" customWidth="1"/>
    <col min="15" max="15" width="12.140625" bestFit="1" customWidth="1"/>
    <col min="16" max="16" width="10.7109375" bestFit="1" customWidth="1"/>
    <col min="17" max="18" width="32.28515625" style="9" customWidth="1"/>
    <col min="19" max="19" width="9.28515625" bestFit="1" customWidth="1"/>
    <col min="20" max="20" width="11.7109375" bestFit="1" customWidth="1"/>
    <col min="21" max="21" width="26.28515625" customWidth="1"/>
    <col min="22" max="22" width="15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" t="s">
        <v>1271</v>
      </c>
      <c r="R1" s="8" t="s">
        <v>1274</v>
      </c>
      <c r="S1" s="1" t="s">
        <v>1270</v>
      </c>
      <c r="T1" s="1" t="s">
        <v>16</v>
      </c>
      <c r="U1" s="1" t="s">
        <v>1266</v>
      </c>
      <c r="V1" s="1" t="s">
        <v>17</v>
      </c>
    </row>
    <row r="2" spans="1:22" x14ac:dyDescent="0.25">
      <c r="A2" s="1" t="s">
        <v>18</v>
      </c>
      <c r="B2" s="1" t="s">
        <v>19</v>
      </c>
      <c r="C2" s="1" t="s">
        <v>20</v>
      </c>
      <c r="D2" s="1" t="s">
        <v>21</v>
      </c>
      <c r="E2" s="2">
        <v>44137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0</v>
      </c>
      <c r="L2" s="1"/>
      <c r="M2" s="1" t="s">
        <v>27</v>
      </c>
      <c r="N2" s="1" t="s">
        <v>28</v>
      </c>
      <c r="O2" s="1" t="s">
        <v>29</v>
      </c>
      <c r="P2" s="2">
        <v>44137</v>
      </c>
      <c r="Q2" s="8" t="str">
        <f>IF((P2-E2)&gt;2,"NOT SUPPORTED WITHIN 2DAYS","SUPPORTED WITHIN 2DAYS")</f>
        <v>SUPPORTED WITHIN 2DAYS</v>
      </c>
      <c r="R2" s="8" t="s">
        <v>1272</v>
      </c>
      <c r="S2" s="1">
        <v>0</v>
      </c>
      <c r="T2" s="1" t="s">
        <v>30</v>
      </c>
      <c r="U2" s="1" t="str">
        <f>VLOOKUP(T2,personnel!A$1:B$4,2,FALSE)</f>
        <v>Trinidad, Jan Carlo Aquino</v>
      </c>
      <c r="V2" s="3">
        <v>44137.388831018521</v>
      </c>
    </row>
    <row r="3" spans="1:22" x14ac:dyDescent="0.25">
      <c r="A3" s="1" t="s">
        <v>31</v>
      </c>
      <c r="B3" s="1" t="s">
        <v>32</v>
      </c>
      <c r="C3" s="1" t="s">
        <v>20</v>
      </c>
      <c r="D3" s="1" t="s">
        <v>33</v>
      </c>
      <c r="E3" s="2">
        <v>44137</v>
      </c>
      <c r="F3" s="1" t="s">
        <v>34</v>
      </c>
      <c r="G3" s="1" t="s">
        <v>35</v>
      </c>
      <c r="H3" s="1"/>
      <c r="I3" s="1" t="s">
        <v>36</v>
      </c>
      <c r="J3" s="1" t="s">
        <v>36</v>
      </c>
      <c r="K3" s="1">
        <v>0</v>
      </c>
      <c r="L3" s="1"/>
      <c r="M3" s="1" t="s">
        <v>27</v>
      </c>
      <c r="N3" s="1" t="s">
        <v>28</v>
      </c>
      <c r="O3" s="1" t="s">
        <v>29</v>
      </c>
      <c r="P3" s="2">
        <v>44137</v>
      </c>
      <c r="Q3" s="8" t="str">
        <f t="shared" ref="Q3:Q66" si="0">IF((P3-E3)&gt;2,"NOT SUPPORTED WITHIN 2DAYS","SUPPORTED WITHIN 2DAYS")</f>
        <v>SUPPORTED WITHIN 2DAYS</v>
      </c>
      <c r="R3" s="8" t="s">
        <v>1272</v>
      </c>
      <c r="S3" s="1">
        <v>4</v>
      </c>
      <c r="T3" s="1" t="s">
        <v>30</v>
      </c>
      <c r="U3" s="1" t="str">
        <f>VLOOKUP(T3,personnel!A$1:B$4,2,FALSE)</f>
        <v>Trinidad, Jan Carlo Aquino</v>
      </c>
      <c r="V3" s="3">
        <v>44137.408055555556</v>
      </c>
    </row>
    <row r="4" spans="1:22" x14ac:dyDescent="0.25">
      <c r="A4" s="1" t="s">
        <v>37</v>
      </c>
      <c r="B4" s="1" t="s">
        <v>32</v>
      </c>
      <c r="C4" s="1" t="s">
        <v>20</v>
      </c>
      <c r="D4" s="1" t="s">
        <v>38</v>
      </c>
      <c r="E4" s="2">
        <v>44137</v>
      </c>
      <c r="F4" s="1" t="s">
        <v>39</v>
      </c>
      <c r="G4" s="1" t="s">
        <v>40</v>
      </c>
      <c r="H4" s="1"/>
      <c r="I4" s="1" t="s">
        <v>41</v>
      </c>
      <c r="J4" s="1" t="s">
        <v>42</v>
      </c>
      <c r="K4" s="1">
        <v>0</v>
      </c>
      <c r="L4" s="1"/>
      <c r="M4" s="1" t="s">
        <v>27</v>
      </c>
      <c r="N4" s="1"/>
      <c r="O4" s="1" t="s">
        <v>29</v>
      </c>
      <c r="P4" s="2">
        <v>44139</v>
      </c>
      <c r="Q4" s="8" t="str">
        <f t="shared" si="0"/>
        <v>SUPPORTED WITHIN 2DAYS</v>
      </c>
      <c r="R4" s="8" t="s">
        <v>1272</v>
      </c>
      <c r="S4" s="1">
        <v>4</v>
      </c>
      <c r="T4" s="1" t="s">
        <v>30</v>
      </c>
      <c r="U4" s="1" t="str">
        <f>VLOOKUP(T4,personnel!A$1:B$4,2,FALSE)</f>
        <v>Trinidad, Jan Carlo Aquino</v>
      </c>
      <c r="V4" s="3">
        <v>44137.424421296295</v>
      </c>
    </row>
    <row r="5" spans="1:22" x14ac:dyDescent="0.25">
      <c r="A5" s="1" t="s">
        <v>18</v>
      </c>
      <c r="B5" s="1" t="s">
        <v>32</v>
      </c>
      <c r="C5" s="1" t="s">
        <v>20</v>
      </c>
      <c r="D5" s="1" t="s">
        <v>43</v>
      </c>
      <c r="E5" s="2">
        <v>44137</v>
      </c>
      <c r="F5" s="1" t="s">
        <v>22</v>
      </c>
      <c r="G5" s="1" t="s">
        <v>44</v>
      </c>
      <c r="H5" s="1"/>
      <c r="I5" s="1" t="s">
        <v>41</v>
      </c>
      <c r="J5" s="1" t="s">
        <v>42</v>
      </c>
      <c r="K5" s="1">
        <v>0</v>
      </c>
      <c r="L5" s="1"/>
      <c r="M5" s="1" t="s">
        <v>27</v>
      </c>
      <c r="N5" s="1"/>
      <c r="O5" s="1" t="s">
        <v>29</v>
      </c>
      <c r="P5" s="2">
        <v>44139</v>
      </c>
      <c r="Q5" s="8" t="str">
        <f t="shared" si="0"/>
        <v>SUPPORTED WITHIN 2DAYS</v>
      </c>
      <c r="R5" s="8" t="s">
        <v>1272</v>
      </c>
      <c r="S5" s="1">
        <v>4</v>
      </c>
      <c r="T5" s="1" t="s">
        <v>30</v>
      </c>
      <c r="U5" s="1" t="str">
        <f>VLOOKUP(T5,personnel!A$1:B$4,2,FALSE)</f>
        <v>Trinidad, Jan Carlo Aquino</v>
      </c>
      <c r="V5" s="3">
        <v>44137.612997685188</v>
      </c>
    </row>
    <row r="6" spans="1:22" x14ac:dyDescent="0.25">
      <c r="A6" s="1" t="s">
        <v>45</v>
      </c>
      <c r="B6" s="1" t="s">
        <v>32</v>
      </c>
      <c r="C6" s="1" t="s">
        <v>20</v>
      </c>
      <c r="D6" s="1" t="s">
        <v>46</v>
      </c>
      <c r="E6" s="2">
        <v>44137</v>
      </c>
      <c r="F6" s="1" t="s">
        <v>47</v>
      </c>
      <c r="G6" s="1" t="s">
        <v>48</v>
      </c>
      <c r="H6" s="1"/>
      <c r="I6" s="1" t="s">
        <v>36</v>
      </c>
      <c r="J6" s="1" t="s">
        <v>36</v>
      </c>
      <c r="K6" s="1">
        <v>0</v>
      </c>
      <c r="L6" s="1"/>
      <c r="M6" s="1" t="s">
        <v>27</v>
      </c>
      <c r="N6" s="1"/>
      <c r="O6" s="1" t="s">
        <v>29</v>
      </c>
      <c r="P6" s="2">
        <v>44154</v>
      </c>
      <c r="Q6" s="8" t="str">
        <f t="shared" si="0"/>
        <v>NOT SUPPORTED WITHIN 2DAYS</v>
      </c>
      <c r="R6" s="8" t="s">
        <v>1273</v>
      </c>
      <c r="S6" s="1">
        <v>4</v>
      </c>
      <c r="T6" s="1" t="s">
        <v>30</v>
      </c>
      <c r="U6" s="1" t="str">
        <f>VLOOKUP(T6,personnel!A$1:B$4,2,FALSE)</f>
        <v>Trinidad, Jan Carlo Aquino</v>
      </c>
      <c r="V6" s="3">
        <v>44137.614386574074</v>
      </c>
    </row>
    <row r="7" spans="1:22" x14ac:dyDescent="0.25">
      <c r="A7" s="1" t="s">
        <v>49</v>
      </c>
      <c r="B7" s="1" t="s">
        <v>50</v>
      </c>
      <c r="C7" s="1" t="s">
        <v>20</v>
      </c>
      <c r="D7" s="1" t="s">
        <v>51</v>
      </c>
      <c r="E7" s="2">
        <v>44138</v>
      </c>
      <c r="F7" s="1" t="s">
        <v>52</v>
      </c>
      <c r="G7" s="1" t="s">
        <v>53</v>
      </c>
      <c r="H7" s="1" t="s">
        <v>54</v>
      </c>
      <c r="I7" s="1" t="s">
        <v>41</v>
      </c>
      <c r="J7" s="1" t="s">
        <v>42</v>
      </c>
      <c r="K7" s="1">
        <v>0</v>
      </c>
      <c r="L7" s="1"/>
      <c r="M7" s="1" t="s">
        <v>27</v>
      </c>
      <c r="N7" s="1"/>
      <c r="O7" s="1" t="s">
        <v>29</v>
      </c>
      <c r="P7" s="2">
        <v>44139</v>
      </c>
      <c r="Q7" s="8" t="str">
        <f t="shared" si="0"/>
        <v>SUPPORTED WITHIN 2DAYS</v>
      </c>
      <c r="R7" s="8" t="s">
        <v>1272</v>
      </c>
      <c r="S7" s="1">
        <v>3</v>
      </c>
      <c r="T7" s="1" t="s">
        <v>30</v>
      </c>
      <c r="U7" s="1" t="str">
        <f>VLOOKUP(T7,personnel!A$1:B$4,2,FALSE)</f>
        <v>Trinidad, Jan Carlo Aquino</v>
      </c>
      <c r="V7" s="3">
        <v>44138.4843287037</v>
      </c>
    </row>
    <row r="8" spans="1:22" x14ac:dyDescent="0.25">
      <c r="A8" s="1" t="s">
        <v>18</v>
      </c>
      <c r="B8" s="1" t="s">
        <v>19</v>
      </c>
      <c r="C8" s="1" t="s">
        <v>20</v>
      </c>
      <c r="D8" s="1" t="s">
        <v>55</v>
      </c>
      <c r="E8" s="2">
        <v>44138</v>
      </c>
      <c r="F8" s="1" t="s">
        <v>22</v>
      </c>
      <c r="G8" s="1" t="s">
        <v>56</v>
      </c>
      <c r="H8" s="1"/>
      <c r="I8" s="1" t="s">
        <v>41</v>
      </c>
      <c r="J8" s="1" t="s">
        <v>42</v>
      </c>
      <c r="K8" s="1">
        <v>0</v>
      </c>
      <c r="L8" s="1"/>
      <c r="M8" s="1" t="s">
        <v>27</v>
      </c>
      <c r="N8" s="1"/>
      <c r="O8" s="1" t="s">
        <v>29</v>
      </c>
      <c r="P8" s="2">
        <v>44139</v>
      </c>
      <c r="Q8" s="8" t="str">
        <f t="shared" si="0"/>
        <v>SUPPORTED WITHIN 2DAYS</v>
      </c>
      <c r="R8" s="8" t="s">
        <v>1272</v>
      </c>
      <c r="S8" s="1">
        <v>0</v>
      </c>
      <c r="T8" s="1" t="s">
        <v>30</v>
      </c>
      <c r="U8" s="1" t="str">
        <f>VLOOKUP(T8,personnel!A$1:B$4,2,FALSE)</f>
        <v>Trinidad, Jan Carlo Aquino</v>
      </c>
      <c r="V8" s="3">
        <v>44138.485567129632</v>
      </c>
    </row>
    <row r="9" spans="1:22" x14ac:dyDescent="0.25">
      <c r="A9" s="1" t="s">
        <v>57</v>
      </c>
      <c r="B9" s="1" t="s">
        <v>32</v>
      </c>
      <c r="C9" s="1" t="s">
        <v>20</v>
      </c>
      <c r="D9" s="1" t="s">
        <v>58</v>
      </c>
      <c r="E9" s="2">
        <v>44138</v>
      </c>
      <c r="F9" s="1" t="s">
        <v>59</v>
      </c>
      <c r="G9" s="1" t="s">
        <v>60</v>
      </c>
      <c r="H9" s="1"/>
      <c r="I9" s="1" t="s">
        <v>41</v>
      </c>
      <c r="J9" s="1" t="s">
        <v>42</v>
      </c>
      <c r="K9" s="1">
        <v>0</v>
      </c>
      <c r="L9" s="1"/>
      <c r="M9" s="1" t="s">
        <v>27</v>
      </c>
      <c r="N9" s="1"/>
      <c r="O9" s="1" t="s">
        <v>29</v>
      </c>
      <c r="P9" s="2">
        <v>44139</v>
      </c>
      <c r="Q9" s="8" t="str">
        <f t="shared" si="0"/>
        <v>SUPPORTED WITHIN 2DAYS</v>
      </c>
      <c r="R9" s="8" t="s">
        <v>1272</v>
      </c>
      <c r="S9" s="1">
        <v>4</v>
      </c>
      <c r="T9" s="1" t="s">
        <v>30</v>
      </c>
      <c r="U9" s="1" t="str">
        <f>VLOOKUP(T9,personnel!A$1:B$4,2,FALSE)</f>
        <v>Trinidad, Jan Carlo Aquino</v>
      </c>
      <c r="V9" s="3">
        <v>44138.490266203706</v>
      </c>
    </row>
    <row r="10" spans="1:22" x14ac:dyDescent="0.25">
      <c r="A10" s="1" t="s">
        <v>61</v>
      </c>
      <c r="B10" s="1" t="s">
        <v>32</v>
      </c>
      <c r="C10" s="1" t="s">
        <v>20</v>
      </c>
      <c r="D10" s="1" t="s">
        <v>62</v>
      </c>
      <c r="E10" s="2">
        <v>44139</v>
      </c>
      <c r="F10" s="1" t="s">
        <v>63</v>
      </c>
      <c r="G10" s="1" t="s">
        <v>64</v>
      </c>
      <c r="H10" s="1"/>
      <c r="I10" s="1" t="s">
        <v>41</v>
      </c>
      <c r="J10" s="1" t="s">
        <v>42</v>
      </c>
      <c r="K10" s="1">
        <v>0</v>
      </c>
      <c r="L10" s="1"/>
      <c r="M10" s="1" t="s">
        <v>27</v>
      </c>
      <c r="N10" s="1"/>
      <c r="O10" s="1" t="s">
        <v>29</v>
      </c>
      <c r="P10" s="2">
        <v>44139</v>
      </c>
      <c r="Q10" s="8" t="str">
        <f t="shared" si="0"/>
        <v>SUPPORTED WITHIN 2DAYS</v>
      </c>
      <c r="R10" s="8" t="s">
        <v>1272</v>
      </c>
      <c r="S10" s="1">
        <v>4</v>
      </c>
      <c r="T10" s="1" t="s">
        <v>30</v>
      </c>
      <c r="U10" s="1" t="str">
        <f>VLOOKUP(T10,personnel!A$1:B$4,2,FALSE)</f>
        <v>Trinidad, Jan Carlo Aquino</v>
      </c>
      <c r="V10" s="3">
        <v>44139.415821759256</v>
      </c>
    </row>
    <row r="11" spans="1:22" x14ac:dyDescent="0.25">
      <c r="A11" s="1" t="s">
        <v>61</v>
      </c>
      <c r="B11" s="1" t="s">
        <v>32</v>
      </c>
      <c r="C11" s="1" t="s">
        <v>20</v>
      </c>
      <c r="D11" s="1" t="s">
        <v>65</v>
      </c>
      <c r="E11" s="2">
        <v>44139</v>
      </c>
      <c r="F11" s="1" t="s">
        <v>63</v>
      </c>
      <c r="G11" s="1" t="s">
        <v>66</v>
      </c>
      <c r="H11" s="1"/>
      <c r="I11" s="1" t="s">
        <v>41</v>
      </c>
      <c r="J11" s="1" t="s">
        <v>42</v>
      </c>
      <c r="K11" s="1">
        <v>0</v>
      </c>
      <c r="L11" s="1"/>
      <c r="M11" s="1" t="s">
        <v>27</v>
      </c>
      <c r="N11" s="1"/>
      <c r="O11" s="1" t="s">
        <v>29</v>
      </c>
      <c r="P11" s="2">
        <v>44139</v>
      </c>
      <c r="Q11" s="8" t="str">
        <f t="shared" si="0"/>
        <v>SUPPORTED WITHIN 2DAYS</v>
      </c>
      <c r="R11" s="8" t="s">
        <v>1272</v>
      </c>
      <c r="S11" s="1">
        <v>4</v>
      </c>
      <c r="T11" s="1" t="s">
        <v>30</v>
      </c>
      <c r="U11" s="1" t="str">
        <f>VLOOKUP(T11,personnel!A$1:B$4,2,FALSE)</f>
        <v>Trinidad, Jan Carlo Aquino</v>
      </c>
      <c r="V11" s="3">
        <v>44139.416412037041</v>
      </c>
    </row>
    <row r="12" spans="1:22" x14ac:dyDescent="0.25">
      <c r="A12" s="1" t="s">
        <v>67</v>
      </c>
      <c r="B12" s="1" t="s">
        <v>32</v>
      </c>
      <c r="C12" s="1" t="s">
        <v>20</v>
      </c>
      <c r="D12" s="1" t="s">
        <v>68</v>
      </c>
      <c r="E12" s="2">
        <v>44139</v>
      </c>
      <c r="F12" s="1" t="s">
        <v>69</v>
      </c>
      <c r="G12" s="1" t="s">
        <v>70</v>
      </c>
      <c r="H12" s="1"/>
      <c r="I12" s="1" t="s">
        <v>41</v>
      </c>
      <c r="J12" s="1" t="s">
        <v>42</v>
      </c>
      <c r="K12" s="1">
        <v>0</v>
      </c>
      <c r="L12" s="1"/>
      <c r="M12" s="1" t="s">
        <v>27</v>
      </c>
      <c r="N12" s="1"/>
      <c r="O12" s="1" t="s">
        <v>29</v>
      </c>
      <c r="P12" s="2">
        <v>44139</v>
      </c>
      <c r="Q12" s="8" t="str">
        <f t="shared" si="0"/>
        <v>SUPPORTED WITHIN 2DAYS</v>
      </c>
      <c r="R12" s="8" t="s">
        <v>1272</v>
      </c>
      <c r="S12" s="1">
        <v>4</v>
      </c>
      <c r="T12" s="1" t="s">
        <v>30</v>
      </c>
      <c r="U12" s="1" t="str">
        <f>VLOOKUP(T12,personnel!A$1:B$4,2,FALSE)</f>
        <v>Trinidad, Jan Carlo Aquino</v>
      </c>
      <c r="V12" s="3">
        <v>44139.418680555558</v>
      </c>
    </row>
    <row r="13" spans="1:22" x14ac:dyDescent="0.25">
      <c r="A13" s="1" t="s">
        <v>67</v>
      </c>
      <c r="B13" s="1" t="s">
        <v>32</v>
      </c>
      <c r="C13" s="1" t="s">
        <v>20</v>
      </c>
      <c r="D13" s="1" t="s">
        <v>71</v>
      </c>
      <c r="E13" s="2">
        <v>44139</v>
      </c>
      <c r="F13" s="1" t="s">
        <v>69</v>
      </c>
      <c r="G13" s="1" t="s">
        <v>72</v>
      </c>
      <c r="H13" s="1"/>
      <c r="I13" s="1" t="s">
        <v>41</v>
      </c>
      <c r="J13" s="1" t="s">
        <v>42</v>
      </c>
      <c r="K13" s="1">
        <v>0</v>
      </c>
      <c r="L13" s="1"/>
      <c r="M13" s="1" t="s">
        <v>27</v>
      </c>
      <c r="N13" s="1"/>
      <c r="O13" s="1" t="s">
        <v>29</v>
      </c>
      <c r="P13" s="2">
        <v>44139</v>
      </c>
      <c r="Q13" s="8" t="str">
        <f t="shared" si="0"/>
        <v>SUPPORTED WITHIN 2DAYS</v>
      </c>
      <c r="R13" s="8" t="s">
        <v>1272</v>
      </c>
      <c r="S13" s="1">
        <v>4</v>
      </c>
      <c r="T13" s="1" t="s">
        <v>30</v>
      </c>
      <c r="U13" s="1" t="str">
        <f>VLOOKUP(T13,personnel!A$1:B$4,2,FALSE)</f>
        <v>Trinidad, Jan Carlo Aquino</v>
      </c>
      <c r="V13" s="3">
        <v>44139.418923611112</v>
      </c>
    </row>
    <row r="14" spans="1:22" x14ac:dyDescent="0.25">
      <c r="A14" s="1" t="s">
        <v>67</v>
      </c>
      <c r="B14" s="1" t="s">
        <v>32</v>
      </c>
      <c r="C14" s="1" t="s">
        <v>20</v>
      </c>
      <c r="D14" s="1" t="s">
        <v>73</v>
      </c>
      <c r="E14" s="2">
        <v>44139</v>
      </c>
      <c r="F14" s="1" t="s">
        <v>69</v>
      </c>
      <c r="G14" s="1" t="s">
        <v>74</v>
      </c>
      <c r="H14" s="1"/>
      <c r="I14" s="1" t="s">
        <v>41</v>
      </c>
      <c r="J14" s="1" t="s">
        <v>42</v>
      </c>
      <c r="K14" s="1">
        <v>0</v>
      </c>
      <c r="L14" s="1"/>
      <c r="M14" s="1" t="s">
        <v>27</v>
      </c>
      <c r="N14" s="1"/>
      <c r="O14" s="1" t="s">
        <v>29</v>
      </c>
      <c r="P14" s="2">
        <v>44139</v>
      </c>
      <c r="Q14" s="8" t="str">
        <f t="shared" si="0"/>
        <v>SUPPORTED WITHIN 2DAYS</v>
      </c>
      <c r="R14" s="8" t="s">
        <v>1272</v>
      </c>
      <c r="S14" s="1">
        <v>4</v>
      </c>
      <c r="T14" s="1" t="s">
        <v>30</v>
      </c>
      <c r="U14" s="1" t="str">
        <f>VLOOKUP(T14,personnel!A$1:B$4,2,FALSE)</f>
        <v>Trinidad, Jan Carlo Aquino</v>
      </c>
      <c r="V14" s="3">
        <v>44139.419120370374</v>
      </c>
    </row>
    <row r="15" spans="1:22" x14ac:dyDescent="0.25">
      <c r="A15" s="1" t="s">
        <v>31</v>
      </c>
      <c r="B15" s="1" t="s">
        <v>50</v>
      </c>
      <c r="C15" s="1" t="s">
        <v>20</v>
      </c>
      <c r="D15" s="1" t="s">
        <v>75</v>
      </c>
      <c r="E15" s="2">
        <v>44138</v>
      </c>
      <c r="F15" s="1" t="s">
        <v>34</v>
      </c>
      <c r="G15" s="1" t="s">
        <v>76</v>
      </c>
      <c r="H15" s="1"/>
      <c r="I15" s="1" t="s">
        <v>41</v>
      </c>
      <c r="J15" s="1" t="s">
        <v>42</v>
      </c>
      <c r="K15" s="1">
        <v>0</v>
      </c>
      <c r="L15" s="1"/>
      <c r="M15" s="1" t="s">
        <v>77</v>
      </c>
      <c r="N15" s="1"/>
      <c r="O15" s="1" t="s">
        <v>29</v>
      </c>
      <c r="P15" s="2">
        <v>44139</v>
      </c>
      <c r="Q15" s="8" t="str">
        <f t="shared" si="0"/>
        <v>SUPPORTED WITHIN 2DAYS</v>
      </c>
      <c r="R15" s="8" t="s">
        <v>1272</v>
      </c>
      <c r="S15" s="1">
        <v>3</v>
      </c>
      <c r="T15" s="1" t="s">
        <v>30</v>
      </c>
      <c r="U15" s="1" t="str">
        <f>VLOOKUP(T15,personnel!A$1:B$4,2,FALSE)</f>
        <v>Trinidad, Jan Carlo Aquino</v>
      </c>
      <c r="V15" s="3">
        <v>44139.454027777778</v>
      </c>
    </row>
    <row r="16" spans="1:22" x14ac:dyDescent="0.25">
      <c r="A16" s="1" t="s">
        <v>78</v>
      </c>
      <c r="B16" s="1" t="s">
        <v>32</v>
      </c>
      <c r="C16" s="1" t="s">
        <v>20</v>
      </c>
      <c r="D16" s="1" t="s">
        <v>79</v>
      </c>
      <c r="E16" s="2">
        <v>44139</v>
      </c>
      <c r="F16" s="1" t="s">
        <v>80</v>
      </c>
      <c r="G16" s="1" t="s">
        <v>81</v>
      </c>
      <c r="H16" s="1"/>
      <c r="I16" s="1" t="s">
        <v>41</v>
      </c>
      <c r="J16" s="1" t="s">
        <v>42</v>
      </c>
      <c r="K16" s="1">
        <v>0</v>
      </c>
      <c r="L16" s="1"/>
      <c r="M16" s="1" t="s">
        <v>27</v>
      </c>
      <c r="N16" s="1"/>
      <c r="O16" s="1" t="s">
        <v>29</v>
      </c>
      <c r="P16" s="2">
        <v>44139</v>
      </c>
      <c r="Q16" s="8" t="str">
        <f t="shared" si="0"/>
        <v>SUPPORTED WITHIN 2DAYS</v>
      </c>
      <c r="R16" s="8" t="s">
        <v>1272</v>
      </c>
      <c r="S16" s="1">
        <v>4</v>
      </c>
      <c r="T16" s="1" t="s">
        <v>30</v>
      </c>
      <c r="U16" s="1" t="str">
        <f>VLOOKUP(T16,personnel!A$1:B$4,2,FALSE)</f>
        <v>Trinidad, Jan Carlo Aquino</v>
      </c>
      <c r="V16" s="3">
        <v>44139.56627314815</v>
      </c>
    </row>
    <row r="17" spans="1:22" x14ac:dyDescent="0.25">
      <c r="A17" s="1" t="s">
        <v>49</v>
      </c>
      <c r="B17" s="1" t="s">
        <v>32</v>
      </c>
      <c r="C17" s="1" t="s">
        <v>20</v>
      </c>
      <c r="D17" s="1" t="s">
        <v>82</v>
      </c>
      <c r="E17" s="2">
        <v>44139</v>
      </c>
      <c r="F17" s="1" t="s">
        <v>52</v>
      </c>
      <c r="G17" s="1" t="s">
        <v>83</v>
      </c>
      <c r="H17" s="1"/>
      <c r="I17" s="1" t="s">
        <v>84</v>
      </c>
      <c r="J17" s="1" t="s">
        <v>42</v>
      </c>
      <c r="K17" s="1">
        <v>0</v>
      </c>
      <c r="L17" s="1"/>
      <c r="M17" s="1" t="s">
        <v>85</v>
      </c>
      <c r="N17" s="1"/>
      <c r="O17" s="1" t="s">
        <v>29</v>
      </c>
      <c r="P17" s="2">
        <v>44139</v>
      </c>
      <c r="Q17" s="8" t="str">
        <f t="shared" si="0"/>
        <v>SUPPORTED WITHIN 2DAYS</v>
      </c>
      <c r="R17" s="8" t="s">
        <v>1272</v>
      </c>
      <c r="S17" s="1">
        <v>4</v>
      </c>
      <c r="T17" s="1" t="s">
        <v>30</v>
      </c>
      <c r="U17" s="1" t="str">
        <f>VLOOKUP(T17,personnel!A$1:B$4,2,FALSE)</f>
        <v>Trinidad, Jan Carlo Aquino</v>
      </c>
      <c r="V17" s="3">
        <v>44139.570057870369</v>
      </c>
    </row>
    <row r="18" spans="1:22" x14ac:dyDescent="0.25">
      <c r="A18" s="1" t="s">
        <v>18</v>
      </c>
      <c r="B18" s="1" t="s">
        <v>32</v>
      </c>
      <c r="C18" s="1" t="s">
        <v>20</v>
      </c>
      <c r="D18" s="1" t="s">
        <v>86</v>
      </c>
      <c r="E18" s="2">
        <v>44139</v>
      </c>
      <c r="F18" s="1" t="s">
        <v>22</v>
      </c>
      <c r="G18" s="1" t="s">
        <v>87</v>
      </c>
      <c r="H18" s="1"/>
      <c r="I18" s="1" t="s">
        <v>41</v>
      </c>
      <c r="J18" s="1" t="s">
        <v>42</v>
      </c>
      <c r="K18" s="1">
        <v>0</v>
      </c>
      <c r="L18" s="1"/>
      <c r="M18" s="1" t="s">
        <v>27</v>
      </c>
      <c r="N18" s="1"/>
      <c r="O18" s="1" t="s">
        <v>29</v>
      </c>
      <c r="P18" s="2">
        <v>44139</v>
      </c>
      <c r="Q18" s="8" t="str">
        <f t="shared" si="0"/>
        <v>SUPPORTED WITHIN 2DAYS</v>
      </c>
      <c r="R18" s="8" t="s">
        <v>1272</v>
      </c>
      <c r="S18" s="1">
        <v>4</v>
      </c>
      <c r="T18" s="1" t="s">
        <v>30</v>
      </c>
      <c r="U18" s="1" t="str">
        <f>VLOOKUP(T18,personnel!A$1:B$4,2,FALSE)</f>
        <v>Trinidad, Jan Carlo Aquino</v>
      </c>
      <c r="V18" s="3">
        <v>44139.587141203701</v>
      </c>
    </row>
    <row r="19" spans="1:22" x14ac:dyDescent="0.25">
      <c r="A19" s="1" t="s">
        <v>18</v>
      </c>
      <c r="B19" s="1" t="s">
        <v>19</v>
      </c>
      <c r="C19" s="1" t="s">
        <v>20</v>
      </c>
      <c r="D19" s="1" t="s">
        <v>88</v>
      </c>
      <c r="E19" s="2">
        <v>44139</v>
      </c>
      <c r="F19" s="1" t="s">
        <v>22</v>
      </c>
      <c r="G19" s="1" t="s">
        <v>89</v>
      </c>
      <c r="H19" s="1"/>
      <c r="I19" s="1" t="s">
        <v>41</v>
      </c>
      <c r="J19" s="1" t="s">
        <v>42</v>
      </c>
      <c r="K19" s="1">
        <v>0</v>
      </c>
      <c r="L19" s="1"/>
      <c r="M19" s="1" t="s">
        <v>27</v>
      </c>
      <c r="N19" s="1" t="s">
        <v>90</v>
      </c>
      <c r="O19" s="1" t="s">
        <v>29</v>
      </c>
      <c r="P19" s="2">
        <v>44139</v>
      </c>
      <c r="Q19" s="8" t="str">
        <f t="shared" si="0"/>
        <v>SUPPORTED WITHIN 2DAYS</v>
      </c>
      <c r="R19" s="8" t="s">
        <v>1272</v>
      </c>
      <c r="S19" s="1">
        <v>0</v>
      </c>
      <c r="T19" s="1" t="s">
        <v>30</v>
      </c>
      <c r="U19" s="1" t="str">
        <f>VLOOKUP(T19,personnel!A$1:B$4,2,FALSE)</f>
        <v>Trinidad, Jan Carlo Aquino</v>
      </c>
      <c r="V19" s="3">
        <v>44139.624826388892</v>
      </c>
    </row>
    <row r="20" spans="1:22" x14ac:dyDescent="0.25">
      <c r="A20" s="1" t="s">
        <v>91</v>
      </c>
      <c r="B20" s="1" t="s">
        <v>32</v>
      </c>
      <c r="C20" s="1" t="s">
        <v>20</v>
      </c>
      <c r="D20" s="1" t="s">
        <v>92</v>
      </c>
      <c r="E20" s="2">
        <v>44140</v>
      </c>
      <c r="F20" s="1" t="s">
        <v>93</v>
      </c>
      <c r="G20" s="1" t="s">
        <v>94</v>
      </c>
      <c r="H20" s="1"/>
      <c r="I20" s="1" t="s">
        <v>95</v>
      </c>
      <c r="J20" s="1" t="s">
        <v>26</v>
      </c>
      <c r="K20" s="1">
        <v>0</v>
      </c>
      <c r="L20" s="1"/>
      <c r="M20" s="1" t="s">
        <v>27</v>
      </c>
      <c r="N20" s="1"/>
      <c r="O20" s="1" t="s">
        <v>29</v>
      </c>
      <c r="P20" s="2">
        <v>44144</v>
      </c>
      <c r="Q20" s="8" t="str">
        <f t="shared" si="0"/>
        <v>NOT SUPPORTED WITHIN 2DAYS</v>
      </c>
      <c r="R20" s="8" t="s">
        <v>1273</v>
      </c>
      <c r="S20" s="1">
        <v>4</v>
      </c>
      <c r="T20" s="1" t="s">
        <v>30</v>
      </c>
      <c r="U20" s="1" t="str">
        <f>VLOOKUP(T20,personnel!A$1:B$4,2,FALSE)</f>
        <v>Trinidad, Jan Carlo Aquino</v>
      </c>
      <c r="V20" s="3">
        <v>44140.348796296297</v>
      </c>
    </row>
    <row r="21" spans="1:22" x14ac:dyDescent="0.25">
      <c r="A21" s="1" t="s">
        <v>96</v>
      </c>
      <c r="B21" s="1" t="s">
        <v>19</v>
      </c>
      <c r="C21" s="1" t="s">
        <v>20</v>
      </c>
      <c r="D21" s="1" t="s">
        <v>97</v>
      </c>
      <c r="E21" s="2">
        <v>44140</v>
      </c>
      <c r="F21" s="1" t="s">
        <v>98</v>
      </c>
      <c r="G21" s="1" t="s">
        <v>99</v>
      </c>
      <c r="H21" s="1"/>
      <c r="I21" s="1" t="s">
        <v>95</v>
      </c>
      <c r="J21" s="1" t="s">
        <v>26</v>
      </c>
      <c r="K21" s="1">
        <v>0</v>
      </c>
      <c r="L21" s="1"/>
      <c r="M21" s="1" t="s">
        <v>27</v>
      </c>
      <c r="N21" s="1"/>
      <c r="O21" s="1" t="s">
        <v>29</v>
      </c>
      <c r="P21" s="2">
        <v>44144</v>
      </c>
      <c r="Q21" s="8" t="str">
        <f t="shared" si="0"/>
        <v>NOT SUPPORTED WITHIN 2DAYS</v>
      </c>
      <c r="R21" s="8" t="s">
        <v>1273</v>
      </c>
      <c r="S21" s="1">
        <v>0</v>
      </c>
      <c r="T21" s="1" t="s">
        <v>30</v>
      </c>
      <c r="U21" s="1" t="str">
        <f>VLOOKUP(T21,personnel!A$1:B$4,2,FALSE)</f>
        <v>Trinidad, Jan Carlo Aquino</v>
      </c>
      <c r="V21" s="3">
        <v>44140.379953703705</v>
      </c>
    </row>
    <row r="22" spans="1:22" x14ac:dyDescent="0.25">
      <c r="A22" s="1" t="s">
        <v>18</v>
      </c>
      <c r="B22" s="1" t="s">
        <v>19</v>
      </c>
      <c r="C22" s="1" t="s">
        <v>20</v>
      </c>
      <c r="D22" s="1" t="s">
        <v>100</v>
      </c>
      <c r="E22" s="2">
        <v>44140</v>
      </c>
      <c r="F22" s="1" t="s">
        <v>22</v>
      </c>
      <c r="G22" s="1" t="s">
        <v>101</v>
      </c>
      <c r="H22" s="1"/>
      <c r="I22" s="1" t="s">
        <v>95</v>
      </c>
      <c r="J22" s="1" t="s">
        <v>26</v>
      </c>
      <c r="K22" s="1">
        <v>0</v>
      </c>
      <c r="L22" s="1"/>
      <c r="M22" s="1" t="s">
        <v>27</v>
      </c>
      <c r="N22" s="1" t="s">
        <v>102</v>
      </c>
      <c r="O22" s="1" t="s">
        <v>29</v>
      </c>
      <c r="P22" s="2">
        <v>44144</v>
      </c>
      <c r="Q22" s="8" t="str">
        <f t="shared" si="0"/>
        <v>NOT SUPPORTED WITHIN 2DAYS</v>
      </c>
      <c r="R22" s="8" t="s">
        <v>1273</v>
      </c>
      <c r="S22" s="1">
        <v>0</v>
      </c>
      <c r="T22" s="1" t="s">
        <v>30</v>
      </c>
      <c r="U22" s="1" t="str">
        <f>VLOOKUP(T22,personnel!A$1:B$4,2,FALSE)</f>
        <v>Trinidad, Jan Carlo Aquino</v>
      </c>
      <c r="V22" s="3">
        <v>44140.463518518518</v>
      </c>
    </row>
    <row r="23" spans="1:22" x14ac:dyDescent="0.25">
      <c r="A23" s="1" t="s">
        <v>18</v>
      </c>
      <c r="B23" s="1" t="s">
        <v>19</v>
      </c>
      <c r="C23" s="1" t="s">
        <v>20</v>
      </c>
      <c r="D23" s="1" t="s">
        <v>103</v>
      </c>
      <c r="E23" s="2">
        <v>44140</v>
      </c>
      <c r="F23" s="1" t="s">
        <v>22</v>
      </c>
      <c r="G23" s="1" t="s">
        <v>104</v>
      </c>
      <c r="H23" s="1"/>
      <c r="I23" s="1" t="s">
        <v>95</v>
      </c>
      <c r="J23" s="1" t="s">
        <v>26</v>
      </c>
      <c r="K23" s="1">
        <v>0</v>
      </c>
      <c r="L23" s="1"/>
      <c r="M23" s="1" t="s">
        <v>27</v>
      </c>
      <c r="N23" s="1" t="s">
        <v>105</v>
      </c>
      <c r="O23" s="1" t="s">
        <v>29</v>
      </c>
      <c r="P23" s="2">
        <v>44144</v>
      </c>
      <c r="Q23" s="8" t="str">
        <f t="shared" si="0"/>
        <v>NOT SUPPORTED WITHIN 2DAYS</v>
      </c>
      <c r="R23" s="8" t="s">
        <v>1273</v>
      </c>
      <c r="S23" s="1">
        <v>0</v>
      </c>
      <c r="T23" s="1" t="s">
        <v>30</v>
      </c>
      <c r="U23" s="1" t="str">
        <f>VLOOKUP(T23,personnel!A$1:B$4,2,FALSE)</f>
        <v>Trinidad, Jan Carlo Aquino</v>
      </c>
      <c r="V23" s="3">
        <v>44140.464016203703</v>
      </c>
    </row>
    <row r="24" spans="1:22" x14ac:dyDescent="0.25">
      <c r="A24" s="1" t="s">
        <v>18</v>
      </c>
      <c r="B24" s="1" t="s">
        <v>19</v>
      </c>
      <c r="C24" s="1" t="s">
        <v>20</v>
      </c>
      <c r="D24" s="1" t="s">
        <v>106</v>
      </c>
      <c r="E24" s="2">
        <v>44140</v>
      </c>
      <c r="F24" s="1" t="s">
        <v>22</v>
      </c>
      <c r="G24" s="1" t="s">
        <v>107</v>
      </c>
      <c r="H24" s="1"/>
      <c r="I24" s="1" t="s">
        <v>25</v>
      </c>
      <c r="J24" s="1" t="s">
        <v>26</v>
      </c>
      <c r="K24" s="1">
        <v>0</v>
      </c>
      <c r="L24" s="1"/>
      <c r="M24" s="1" t="s">
        <v>108</v>
      </c>
      <c r="N24" s="1" t="s">
        <v>105</v>
      </c>
      <c r="O24" s="1" t="s">
        <v>29</v>
      </c>
      <c r="P24" s="2">
        <v>44140</v>
      </c>
      <c r="Q24" s="8" t="str">
        <f t="shared" si="0"/>
        <v>SUPPORTED WITHIN 2DAYS</v>
      </c>
      <c r="R24" s="8" t="s">
        <v>1272</v>
      </c>
      <c r="S24" s="1">
        <v>0</v>
      </c>
      <c r="T24" s="1" t="s">
        <v>30</v>
      </c>
      <c r="U24" s="1" t="str">
        <f>VLOOKUP(T24,personnel!A$1:B$4,2,FALSE)</f>
        <v>Trinidad, Jan Carlo Aquino</v>
      </c>
      <c r="V24" s="3">
        <v>44140.466932870368</v>
      </c>
    </row>
    <row r="25" spans="1:22" x14ac:dyDescent="0.25">
      <c r="A25" s="1" t="s">
        <v>91</v>
      </c>
      <c r="B25" s="1" t="s">
        <v>32</v>
      </c>
      <c r="C25" s="1" t="s">
        <v>20</v>
      </c>
      <c r="D25" s="1" t="s">
        <v>109</v>
      </c>
      <c r="E25" s="2">
        <v>44140</v>
      </c>
      <c r="F25" s="1" t="s">
        <v>93</v>
      </c>
      <c r="G25" s="1" t="s">
        <v>110</v>
      </c>
      <c r="H25" s="1"/>
      <c r="I25" s="1" t="s">
        <v>95</v>
      </c>
      <c r="J25" s="1" t="s">
        <v>26</v>
      </c>
      <c r="K25" s="1">
        <v>0</v>
      </c>
      <c r="L25" s="1"/>
      <c r="M25" s="1" t="s">
        <v>27</v>
      </c>
      <c r="N25" s="1"/>
      <c r="O25" s="1" t="s">
        <v>29</v>
      </c>
      <c r="P25" s="2">
        <v>44144</v>
      </c>
      <c r="Q25" s="8" t="str">
        <f t="shared" si="0"/>
        <v>NOT SUPPORTED WITHIN 2DAYS</v>
      </c>
      <c r="R25" s="8" t="s">
        <v>1273</v>
      </c>
      <c r="S25" s="1">
        <v>4</v>
      </c>
      <c r="T25" s="1" t="s">
        <v>30</v>
      </c>
      <c r="U25" s="1" t="str">
        <f>VLOOKUP(T25,personnel!A$1:B$4,2,FALSE)</f>
        <v>Trinidad, Jan Carlo Aquino</v>
      </c>
      <c r="V25" s="3">
        <v>44140.60628472222</v>
      </c>
    </row>
    <row r="26" spans="1:22" x14ac:dyDescent="0.25">
      <c r="A26" s="1" t="s">
        <v>18</v>
      </c>
      <c r="B26" s="1" t="s">
        <v>19</v>
      </c>
      <c r="C26" s="1" t="s">
        <v>20</v>
      </c>
      <c r="D26" s="1" t="s">
        <v>111</v>
      </c>
      <c r="E26" s="2">
        <v>44140</v>
      </c>
      <c r="F26" s="1" t="s">
        <v>22</v>
      </c>
      <c r="G26" s="1" t="s">
        <v>112</v>
      </c>
      <c r="H26" s="1" t="s">
        <v>113</v>
      </c>
      <c r="I26" s="1" t="s">
        <v>25</v>
      </c>
      <c r="J26" s="1" t="s">
        <v>26</v>
      </c>
      <c r="K26" s="1">
        <v>0</v>
      </c>
      <c r="L26" s="1"/>
      <c r="M26" s="1" t="s">
        <v>27</v>
      </c>
      <c r="N26" s="1"/>
      <c r="O26" s="1" t="s">
        <v>29</v>
      </c>
      <c r="P26" s="2">
        <v>44140</v>
      </c>
      <c r="Q26" s="8" t="str">
        <f t="shared" si="0"/>
        <v>SUPPORTED WITHIN 2DAYS</v>
      </c>
      <c r="R26" s="8" t="s">
        <v>1272</v>
      </c>
      <c r="S26" s="1">
        <v>0</v>
      </c>
      <c r="T26" s="1" t="s">
        <v>30</v>
      </c>
      <c r="U26" s="1" t="str">
        <f>VLOOKUP(T26,personnel!A$1:B$4,2,FALSE)</f>
        <v>Trinidad, Jan Carlo Aquino</v>
      </c>
      <c r="V26" s="3">
        <v>44140.679768518516</v>
      </c>
    </row>
    <row r="27" spans="1:22" x14ac:dyDescent="0.25">
      <c r="A27" s="1" t="s">
        <v>114</v>
      </c>
      <c r="B27" s="1" t="s">
        <v>19</v>
      </c>
      <c r="C27" s="1" t="s">
        <v>20</v>
      </c>
      <c r="D27" s="1" t="s">
        <v>115</v>
      </c>
      <c r="E27" s="2">
        <v>44141</v>
      </c>
      <c r="F27" s="1" t="s">
        <v>116</v>
      </c>
      <c r="G27" s="1" t="s">
        <v>117</v>
      </c>
      <c r="H27" s="1"/>
      <c r="I27" s="1" t="s">
        <v>36</v>
      </c>
      <c r="J27" s="1" t="s">
        <v>36</v>
      </c>
      <c r="K27" s="1">
        <v>0</v>
      </c>
      <c r="L27" s="1"/>
      <c r="M27" s="1" t="s">
        <v>27</v>
      </c>
      <c r="N27" s="1"/>
      <c r="O27" s="1" t="s">
        <v>29</v>
      </c>
      <c r="P27" s="2">
        <v>44154</v>
      </c>
      <c r="Q27" s="8" t="str">
        <f t="shared" si="0"/>
        <v>NOT SUPPORTED WITHIN 2DAYS</v>
      </c>
      <c r="R27" s="8" t="s">
        <v>1273</v>
      </c>
      <c r="S27" s="1">
        <v>0</v>
      </c>
      <c r="T27" s="1" t="s">
        <v>30</v>
      </c>
      <c r="U27" s="1" t="str">
        <f>VLOOKUP(T27,personnel!A$1:B$4,2,FALSE)</f>
        <v>Trinidad, Jan Carlo Aquino</v>
      </c>
      <c r="V27" s="3">
        <v>44141.386666666665</v>
      </c>
    </row>
    <row r="28" spans="1:22" x14ac:dyDescent="0.25">
      <c r="A28" s="1" t="s">
        <v>49</v>
      </c>
      <c r="B28" s="1" t="s">
        <v>32</v>
      </c>
      <c r="C28" s="1" t="s">
        <v>20</v>
      </c>
      <c r="D28" s="1" t="s">
        <v>118</v>
      </c>
      <c r="E28" s="2">
        <v>44141</v>
      </c>
      <c r="F28" s="1" t="s">
        <v>52</v>
      </c>
      <c r="G28" s="1" t="s">
        <v>119</v>
      </c>
      <c r="H28" s="1"/>
      <c r="I28" s="1" t="s">
        <v>95</v>
      </c>
      <c r="J28" s="1" t="s">
        <v>26</v>
      </c>
      <c r="K28" s="1">
        <v>0</v>
      </c>
      <c r="L28" s="1"/>
      <c r="M28" s="1" t="s">
        <v>27</v>
      </c>
      <c r="N28" s="1"/>
      <c r="O28" s="1" t="s">
        <v>29</v>
      </c>
      <c r="P28" s="2">
        <v>44144</v>
      </c>
      <c r="Q28" s="8" t="str">
        <f t="shared" si="0"/>
        <v>NOT SUPPORTED WITHIN 2DAYS</v>
      </c>
      <c r="R28" s="8" t="s">
        <v>1273</v>
      </c>
      <c r="S28" s="1">
        <v>4</v>
      </c>
      <c r="T28" s="1" t="s">
        <v>30</v>
      </c>
      <c r="U28" s="1" t="str">
        <f>VLOOKUP(T28,personnel!A$1:B$4,2,FALSE)</f>
        <v>Trinidad, Jan Carlo Aquino</v>
      </c>
      <c r="V28" s="3">
        <v>44141.387071759258</v>
      </c>
    </row>
    <row r="29" spans="1:22" x14ac:dyDescent="0.25">
      <c r="A29" s="1" t="s">
        <v>18</v>
      </c>
      <c r="B29" s="1" t="s">
        <v>32</v>
      </c>
      <c r="C29" s="1" t="s">
        <v>20</v>
      </c>
      <c r="D29" s="1" t="s">
        <v>120</v>
      </c>
      <c r="E29" s="2">
        <v>44141</v>
      </c>
      <c r="F29" s="1" t="s">
        <v>22</v>
      </c>
      <c r="G29" s="1" t="s">
        <v>121</v>
      </c>
      <c r="H29" s="1"/>
      <c r="I29" s="1" t="s">
        <v>95</v>
      </c>
      <c r="J29" s="1" t="s">
        <v>26</v>
      </c>
      <c r="K29" s="1">
        <v>0</v>
      </c>
      <c r="L29" s="1"/>
      <c r="M29" s="1" t="s">
        <v>27</v>
      </c>
      <c r="N29" s="1"/>
      <c r="O29" s="1" t="s">
        <v>29</v>
      </c>
      <c r="P29" s="2">
        <v>44144</v>
      </c>
      <c r="Q29" s="8" t="str">
        <f t="shared" si="0"/>
        <v>NOT SUPPORTED WITHIN 2DAYS</v>
      </c>
      <c r="R29" s="8" t="s">
        <v>1273</v>
      </c>
      <c r="S29" s="1">
        <v>4</v>
      </c>
      <c r="T29" s="1" t="s">
        <v>30</v>
      </c>
      <c r="U29" s="1" t="str">
        <f>VLOOKUP(T29,personnel!A$1:B$4,2,FALSE)</f>
        <v>Trinidad, Jan Carlo Aquino</v>
      </c>
      <c r="V29" s="3">
        <v>44141.480196759258</v>
      </c>
    </row>
    <row r="30" spans="1:22" x14ac:dyDescent="0.25">
      <c r="A30" s="1" t="s">
        <v>122</v>
      </c>
      <c r="B30" s="1" t="s">
        <v>32</v>
      </c>
      <c r="C30" s="1" t="s">
        <v>20</v>
      </c>
      <c r="D30" s="1" t="s">
        <v>123</v>
      </c>
      <c r="E30" s="2">
        <v>44141</v>
      </c>
      <c r="F30" s="1" t="s">
        <v>124</v>
      </c>
      <c r="G30" s="1" t="s">
        <v>125</v>
      </c>
      <c r="H30" s="1"/>
      <c r="I30" s="1" t="s">
        <v>95</v>
      </c>
      <c r="J30" s="1" t="s">
        <v>26</v>
      </c>
      <c r="K30" s="1">
        <v>0</v>
      </c>
      <c r="L30" s="1"/>
      <c r="M30" s="1" t="s">
        <v>27</v>
      </c>
      <c r="N30" s="1"/>
      <c r="O30" s="1" t="s">
        <v>29</v>
      </c>
      <c r="P30" s="2">
        <v>44144</v>
      </c>
      <c r="Q30" s="8" t="str">
        <f t="shared" si="0"/>
        <v>NOT SUPPORTED WITHIN 2DAYS</v>
      </c>
      <c r="R30" s="8" t="s">
        <v>1273</v>
      </c>
      <c r="S30" s="1">
        <v>4</v>
      </c>
      <c r="T30" s="1" t="s">
        <v>30</v>
      </c>
      <c r="U30" s="1" t="str">
        <f>VLOOKUP(T30,personnel!A$1:B$4,2,FALSE)</f>
        <v>Trinidad, Jan Carlo Aquino</v>
      </c>
      <c r="V30" s="3">
        <v>44141.648761574077</v>
      </c>
    </row>
    <row r="31" spans="1:22" x14ac:dyDescent="0.25">
      <c r="A31" s="1" t="s">
        <v>122</v>
      </c>
      <c r="B31" s="1" t="s">
        <v>32</v>
      </c>
      <c r="C31" s="1" t="s">
        <v>20</v>
      </c>
      <c r="D31" s="1" t="s">
        <v>126</v>
      </c>
      <c r="E31" s="2">
        <v>44141</v>
      </c>
      <c r="F31" s="1" t="s">
        <v>124</v>
      </c>
      <c r="G31" s="1" t="s">
        <v>127</v>
      </c>
      <c r="H31" s="1"/>
      <c r="I31" s="1" t="s">
        <v>95</v>
      </c>
      <c r="J31" s="1" t="s">
        <v>26</v>
      </c>
      <c r="K31" s="1">
        <v>0</v>
      </c>
      <c r="L31" s="1"/>
      <c r="M31" s="1" t="s">
        <v>27</v>
      </c>
      <c r="N31" s="1"/>
      <c r="O31" s="1" t="s">
        <v>29</v>
      </c>
      <c r="P31" s="2">
        <v>44144</v>
      </c>
      <c r="Q31" s="8" t="str">
        <f t="shared" si="0"/>
        <v>NOT SUPPORTED WITHIN 2DAYS</v>
      </c>
      <c r="R31" s="8" t="s">
        <v>1273</v>
      </c>
      <c r="S31" s="1">
        <v>4</v>
      </c>
      <c r="T31" s="1" t="s">
        <v>30</v>
      </c>
      <c r="U31" s="1" t="str">
        <f>VLOOKUP(T31,personnel!A$1:B$4,2,FALSE)</f>
        <v>Trinidad, Jan Carlo Aquino</v>
      </c>
      <c r="V31" s="3">
        <v>44141.655995370369</v>
      </c>
    </row>
    <row r="32" spans="1:22" x14ac:dyDescent="0.25">
      <c r="A32" s="1" t="s">
        <v>128</v>
      </c>
      <c r="B32" s="1" t="s">
        <v>50</v>
      </c>
      <c r="C32" s="1" t="s">
        <v>20</v>
      </c>
      <c r="D32" s="1" t="s">
        <v>129</v>
      </c>
      <c r="E32" s="2">
        <v>44141</v>
      </c>
      <c r="F32" s="1" t="s">
        <v>130</v>
      </c>
      <c r="G32" s="1" t="s">
        <v>131</v>
      </c>
      <c r="H32" s="1"/>
      <c r="I32" s="1" t="s">
        <v>95</v>
      </c>
      <c r="J32" s="1" t="s">
        <v>26</v>
      </c>
      <c r="K32" s="1">
        <v>0</v>
      </c>
      <c r="L32" s="1"/>
      <c r="M32" s="1" t="s">
        <v>27</v>
      </c>
      <c r="N32" s="1"/>
      <c r="O32" s="1" t="s">
        <v>29</v>
      </c>
      <c r="P32" s="2">
        <v>44144</v>
      </c>
      <c r="Q32" s="8" t="str">
        <f t="shared" si="0"/>
        <v>NOT SUPPORTED WITHIN 2DAYS</v>
      </c>
      <c r="R32" s="8" t="s">
        <v>1273</v>
      </c>
      <c r="S32" s="1">
        <v>3</v>
      </c>
      <c r="T32" s="1" t="s">
        <v>30</v>
      </c>
      <c r="U32" s="1" t="str">
        <f>VLOOKUP(T32,personnel!A$1:B$4,2,FALSE)</f>
        <v>Trinidad, Jan Carlo Aquino</v>
      </c>
      <c r="V32" s="3">
        <v>44141.661724537036</v>
      </c>
    </row>
    <row r="33" spans="1:22" x14ac:dyDescent="0.25">
      <c r="A33" s="1" t="s">
        <v>128</v>
      </c>
      <c r="B33" s="1" t="s">
        <v>32</v>
      </c>
      <c r="C33" s="1" t="s">
        <v>20</v>
      </c>
      <c r="D33" s="1" t="s">
        <v>132</v>
      </c>
      <c r="E33" s="2">
        <v>44141</v>
      </c>
      <c r="F33" s="1" t="s">
        <v>130</v>
      </c>
      <c r="G33" s="1" t="s">
        <v>133</v>
      </c>
      <c r="H33" s="1"/>
      <c r="I33" s="1" t="s">
        <v>95</v>
      </c>
      <c r="J33" s="1" t="s">
        <v>26</v>
      </c>
      <c r="K33" s="1">
        <v>0</v>
      </c>
      <c r="L33" s="1"/>
      <c r="M33" s="1" t="s">
        <v>27</v>
      </c>
      <c r="N33" s="1"/>
      <c r="O33" s="1" t="s">
        <v>29</v>
      </c>
      <c r="P33" s="2">
        <v>44144</v>
      </c>
      <c r="Q33" s="8" t="str">
        <f t="shared" si="0"/>
        <v>NOT SUPPORTED WITHIN 2DAYS</v>
      </c>
      <c r="R33" s="8" t="s">
        <v>1273</v>
      </c>
      <c r="S33" s="1">
        <v>4</v>
      </c>
      <c r="T33" s="1" t="s">
        <v>30</v>
      </c>
      <c r="U33" s="1" t="str">
        <f>VLOOKUP(T33,personnel!A$1:B$4,2,FALSE)</f>
        <v>Trinidad, Jan Carlo Aquino</v>
      </c>
      <c r="V33" s="3">
        <v>44141.66201388889</v>
      </c>
    </row>
    <row r="34" spans="1:22" x14ac:dyDescent="0.25">
      <c r="A34" s="1" t="s">
        <v>18</v>
      </c>
      <c r="B34" s="1" t="s">
        <v>32</v>
      </c>
      <c r="C34" s="1" t="s">
        <v>20</v>
      </c>
      <c r="D34" s="1" t="s">
        <v>134</v>
      </c>
      <c r="E34" s="2">
        <v>44144</v>
      </c>
      <c r="F34" s="1" t="s">
        <v>22</v>
      </c>
      <c r="G34" s="1" t="s">
        <v>135</v>
      </c>
      <c r="H34" s="1"/>
      <c r="I34" s="1" t="s">
        <v>95</v>
      </c>
      <c r="J34" s="1" t="s">
        <v>26</v>
      </c>
      <c r="K34" s="1">
        <v>0</v>
      </c>
      <c r="L34" s="1"/>
      <c r="M34" s="1" t="s">
        <v>27</v>
      </c>
      <c r="N34" s="1" t="s">
        <v>136</v>
      </c>
      <c r="O34" s="1" t="s">
        <v>29</v>
      </c>
      <c r="P34" s="2">
        <v>44144</v>
      </c>
      <c r="Q34" s="8" t="str">
        <f t="shared" si="0"/>
        <v>SUPPORTED WITHIN 2DAYS</v>
      </c>
      <c r="R34" s="8" t="s">
        <v>1272</v>
      </c>
      <c r="S34" s="1">
        <v>4</v>
      </c>
      <c r="T34" s="1" t="s">
        <v>30</v>
      </c>
      <c r="U34" s="1" t="str">
        <f>VLOOKUP(T34,personnel!A$1:B$4,2,FALSE)</f>
        <v>Trinidad, Jan Carlo Aquino</v>
      </c>
      <c r="V34" s="3">
        <v>44144.362129629626</v>
      </c>
    </row>
    <row r="35" spans="1:22" x14ac:dyDescent="0.25">
      <c r="A35" s="1" t="s">
        <v>18</v>
      </c>
      <c r="B35" s="1" t="s">
        <v>32</v>
      </c>
      <c r="C35" s="1" t="s">
        <v>20</v>
      </c>
      <c r="D35" s="1" t="s">
        <v>137</v>
      </c>
      <c r="E35" s="2">
        <v>44144</v>
      </c>
      <c r="F35" s="1" t="s">
        <v>22</v>
      </c>
      <c r="G35" s="1" t="s">
        <v>138</v>
      </c>
      <c r="H35" s="1"/>
      <c r="I35" s="1" t="s">
        <v>36</v>
      </c>
      <c r="J35" s="1" t="s">
        <v>36</v>
      </c>
      <c r="K35" s="1">
        <v>0</v>
      </c>
      <c r="L35" s="1"/>
      <c r="M35" s="1" t="s">
        <v>27</v>
      </c>
      <c r="N35" s="1" t="s">
        <v>136</v>
      </c>
      <c r="O35" s="1" t="s">
        <v>29</v>
      </c>
      <c r="P35" s="2">
        <v>44154</v>
      </c>
      <c r="Q35" s="8" t="str">
        <f t="shared" si="0"/>
        <v>NOT SUPPORTED WITHIN 2DAYS</v>
      </c>
      <c r="R35" s="8" t="s">
        <v>1273</v>
      </c>
      <c r="S35" s="1">
        <v>4</v>
      </c>
      <c r="T35" s="1" t="s">
        <v>30</v>
      </c>
      <c r="U35" s="1" t="str">
        <f>VLOOKUP(T35,personnel!A$1:B$4,2,FALSE)</f>
        <v>Trinidad, Jan Carlo Aquino</v>
      </c>
      <c r="V35" s="3">
        <v>44144.362997685188</v>
      </c>
    </row>
    <row r="36" spans="1:22" x14ac:dyDescent="0.25">
      <c r="A36" s="1" t="s">
        <v>37</v>
      </c>
      <c r="B36" s="1" t="s">
        <v>19</v>
      </c>
      <c r="C36" s="1" t="s">
        <v>20</v>
      </c>
      <c r="D36" s="1" t="s">
        <v>139</v>
      </c>
      <c r="E36" s="2">
        <v>44142</v>
      </c>
      <c r="F36" s="1" t="s">
        <v>39</v>
      </c>
      <c r="G36" s="1" t="s">
        <v>140</v>
      </c>
      <c r="H36" s="1" t="s">
        <v>141</v>
      </c>
      <c r="I36" s="1" t="s">
        <v>95</v>
      </c>
      <c r="J36" s="1" t="s">
        <v>26</v>
      </c>
      <c r="K36" s="1">
        <v>0</v>
      </c>
      <c r="L36" s="1"/>
      <c r="M36" s="1" t="s">
        <v>27</v>
      </c>
      <c r="N36" s="1" t="s">
        <v>142</v>
      </c>
      <c r="O36" s="1" t="s">
        <v>29</v>
      </c>
      <c r="P36" s="2">
        <v>44144</v>
      </c>
      <c r="Q36" s="8" t="str">
        <f t="shared" si="0"/>
        <v>SUPPORTED WITHIN 2DAYS</v>
      </c>
      <c r="R36" s="8" t="s">
        <v>1272</v>
      </c>
      <c r="S36" s="1">
        <v>0</v>
      </c>
      <c r="T36" s="1" t="s">
        <v>30</v>
      </c>
      <c r="U36" s="1" t="str">
        <f>VLOOKUP(T36,personnel!A$1:B$4,2,FALSE)</f>
        <v>Trinidad, Jan Carlo Aquino</v>
      </c>
      <c r="V36" s="3">
        <v>44144.372256944444</v>
      </c>
    </row>
    <row r="37" spans="1:22" x14ac:dyDescent="0.25">
      <c r="A37" s="1" t="s">
        <v>37</v>
      </c>
      <c r="B37" s="1" t="s">
        <v>50</v>
      </c>
      <c r="C37" s="1" t="s">
        <v>20</v>
      </c>
      <c r="D37" s="1" t="s">
        <v>143</v>
      </c>
      <c r="E37" s="2">
        <v>44142</v>
      </c>
      <c r="F37" s="1" t="s">
        <v>39</v>
      </c>
      <c r="G37" s="1" t="s">
        <v>144</v>
      </c>
      <c r="H37" s="1"/>
      <c r="I37" s="1" t="s">
        <v>95</v>
      </c>
      <c r="J37" s="1" t="s">
        <v>26</v>
      </c>
      <c r="K37" s="1">
        <v>0</v>
      </c>
      <c r="L37" s="1"/>
      <c r="M37" s="1" t="s">
        <v>27</v>
      </c>
      <c r="N37" s="1" t="s">
        <v>145</v>
      </c>
      <c r="O37" s="1" t="s">
        <v>29</v>
      </c>
      <c r="P37" s="2">
        <v>44144</v>
      </c>
      <c r="Q37" s="8" t="str">
        <f t="shared" si="0"/>
        <v>SUPPORTED WITHIN 2DAYS</v>
      </c>
      <c r="R37" s="8" t="s">
        <v>1272</v>
      </c>
      <c r="S37" s="1">
        <v>3</v>
      </c>
      <c r="T37" s="1" t="s">
        <v>30</v>
      </c>
      <c r="U37" s="1" t="str">
        <f>VLOOKUP(T37,personnel!A$1:B$4,2,FALSE)</f>
        <v>Trinidad, Jan Carlo Aquino</v>
      </c>
      <c r="V37" s="3">
        <v>44144.373043981483</v>
      </c>
    </row>
    <row r="38" spans="1:22" x14ac:dyDescent="0.25">
      <c r="A38" s="1" t="s">
        <v>37</v>
      </c>
      <c r="B38" s="1" t="s">
        <v>50</v>
      </c>
      <c r="C38" s="1" t="s">
        <v>20</v>
      </c>
      <c r="D38" s="1" t="s">
        <v>146</v>
      </c>
      <c r="E38" s="2">
        <v>44142</v>
      </c>
      <c r="F38" s="1" t="s">
        <v>39</v>
      </c>
      <c r="G38" s="1" t="s">
        <v>147</v>
      </c>
      <c r="H38" s="1"/>
      <c r="I38" s="1" t="s">
        <v>95</v>
      </c>
      <c r="J38" s="1" t="s">
        <v>26</v>
      </c>
      <c r="K38" s="1">
        <v>0</v>
      </c>
      <c r="L38" s="1"/>
      <c r="M38" s="1" t="s">
        <v>27</v>
      </c>
      <c r="N38" s="1" t="s">
        <v>145</v>
      </c>
      <c r="O38" s="1" t="s">
        <v>29</v>
      </c>
      <c r="P38" s="2">
        <v>44144</v>
      </c>
      <c r="Q38" s="8" t="str">
        <f t="shared" si="0"/>
        <v>SUPPORTED WITHIN 2DAYS</v>
      </c>
      <c r="R38" s="8" t="s">
        <v>1272</v>
      </c>
      <c r="S38" s="1">
        <v>3</v>
      </c>
      <c r="T38" s="1" t="s">
        <v>30</v>
      </c>
      <c r="U38" s="1" t="str">
        <f>VLOOKUP(T38,personnel!A$1:B$4,2,FALSE)</f>
        <v>Trinidad, Jan Carlo Aquino</v>
      </c>
      <c r="V38" s="3">
        <v>44144.37332175926</v>
      </c>
    </row>
    <row r="39" spans="1:22" x14ac:dyDescent="0.25">
      <c r="A39" s="1" t="s">
        <v>37</v>
      </c>
      <c r="B39" s="1" t="s">
        <v>50</v>
      </c>
      <c r="C39" s="1" t="s">
        <v>20</v>
      </c>
      <c r="D39" s="1" t="s">
        <v>148</v>
      </c>
      <c r="E39" s="2">
        <v>44142</v>
      </c>
      <c r="F39" s="1" t="s">
        <v>39</v>
      </c>
      <c r="G39" s="1" t="s">
        <v>149</v>
      </c>
      <c r="H39" s="1"/>
      <c r="I39" s="1" t="s">
        <v>95</v>
      </c>
      <c r="J39" s="1" t="s">
        <v>26</v>
      </c>
      <c r="K39" s="1">
        <v>0</v>
      </c>
      <c r="L39" s="1"/>
      <c r="M39" s="1" t="s">
        <v>27</v>
      </c>
      <c r="N39" s="1" t="s">
        <v>145</v>
      </c>
      <c r="O39" s="1" t="s">
        <v>29</v>
      </c>
      <c r="P39" s="2">
        <v>44144</v>
      </c>
      <c r="Q39" s="8" t="str">
        <f t="shared" si="0"/>
        <v>SUPPORTED WITHIN 2DAYS</v>
      </c>
      <c r="R39" s="8" t="s">
        <v>1272</v>
      </c>
      <c r="S39" s="1">
        <v>3</v>
      </c>
      <c r="T39" s="1" t="s">
        <v>30</v>
      </c>
      <c r="U39" s="1" t="str">
        <f>VLOOKUP(T39,personnel!A$1:B$4,2,FALSE)</f>
        <v>Trinidad, Jan Carlo Aquino</v>
      </c>
      <c r="V39" s="3">
        <v>44144.382361111115</v>
      </c>
    </row>
    <row r="40" spans="1:22" x14ac:dyDescent="0.25">
      <c r="A40" s="1" t="s">
        <v>37</v>
      </c>
      <c r="B40" s="1" t="s">
        <v>50</v>
      </c>
      <c r="C40" s="1" t="s">
        <v>20</v>
      </c>
      <c r="D40" s="1" t="s">
        <v>150</v>
      </c>
      <c r="E40" s="2">
        <v>44142</v>
      </c>
      <c r="F40" s="1" t="s">
        <v>39</v>
      </c>
      <c r="G40" s="1" t="s">
        <v>151</v>
      </c>
      <c r="H40" s="1"/>
      <c r="I40" s="1" t="s">
        <v>95</v>
      </c>
      <c r="J40" s="1" t="s">
        <v>26</v>
      </c>
      <c r="K40" s="1">
        <v>0</v>
      </c>
      <c r="L40" s="1"/>
      <c r="M40" s="1" t="s">
        <v>27</v>
      </c>
      <c r="N40" s="1" t="s">
        <v>145</v>
      </c>
      <c r="O40" s="1" t="s">
        <v>29</v>
      </c>
      <c r="P40" s="2">
        <v>44144</v>
      </c>
      <c r="Q40" s="8" t="str">
        <f t="shared" si="0"/>
        <v>SUPPORTED WITHIN 2DAYS</v>
      </c>
      <c r="R40" s="8" t="s">
        <v>1272</v>
      </c>
      <c r="S40" s="1">
        <v>3</v>
      </c>
      <c r="T40" s="1" t="s">
        <v>30</v>
      </c>
      <c r="U40" s="1" t="str">
        <f>VLOOKUP(T40,personnel!A$1:B$4,2,FALSE)</f>
        <v>Trinidad, Jan Carlo Aquino</v>
      </c>
      <c r="V40" s="3">
        <v>44144.383194444446</v>
      </c>
    </row>
    <row r="41" spans="1:22" x14ac:dyDescent="0.25">
      <c r="A41" s="1" t="s">
        <v>37</v>
      </c>
      <c r="B41" s="1" t="s">
        <v>50</v>
      </c>
      <c r="C41" s="1" t="s">
        <v>20</v>
      </c>
      <c r="D41" s="1" t="s">
        <v>152</v>
      </c>
      <c r="E41" s="2">
        <v>44142</v>
      </c>
      <c r="F41" s="1" t="s">
        <v>39</v>
      </c>
      <c r="G41" s="1" t="s">
        <v>153</v>
      </c>
      <c r="H41" s="1"/>
      <c r="I41" s="1" t="s">
        <v>95</v>
      </c>
      <c r="J41" s="1" t="s">
        <v>26</v>
      </c>
      <c r="K41" s="1">
        <v>0</v>
      </c>
      <c r="L41" s="1"/>
      <c r="M41" s="1" t="s">
        <v>27</v>
      </c>
      <c r="N41" s="1" t="s">
        <v>145</v>
      </c>
      <c r="O41" s="1" t="s">
        <v>29</v>
      </c>
      <c r="P41" s="2">
        <v>44144</v>
      </c>
      <c r="Q41" s="8" t="str">
        <f t="shared" si="0"/>
        <v>SUPPORTED WITHIN 2DAYS</v>
      </c>
      <c r="R41" s="8" t="s">
        <v>1272</v>
      </c>
      <c r="S41" s="1">
        <v>3</v>
      </c>
      <c r="T41" s="1" t="s">
        <v>30</v>
      </c>
      <c r="U41" s="1" t="str">
        <f>VLOOKUP(T41,personnel!A$1:B$4,2,FALSE)</f>
        <v>Trinidad, Jan Carlo Aquino</v>
      </c>
      <c r="V41" s="3">
        <v>44144.383553240739</v>
      </c>
    </row>
    <row r="42" spans="1:22" x14ac:dyDescent="0.25">
      <c r="A42" s="1" t="s">
        <v>37</v>
      </c>
      <c r="B42" s="1" t="s">
        <v>50</v>
      </c>
      <c r="C42" s="1" t="s">
        <v>20</v>
      </c>
      <c r="D42" s="1" t="s">
        <v>154</v>
      </c>
      <c r="E42" s="2">
        <v>44142</v>
      </c>
      <c r="F42" s="1" t="s">
        <v>39</v>
      </c>
      <c r="G42" s="1" t="s">
        <v>155</v>
      </c>
      <c r="H42" s="1"/>
      <c r="I42" s="1" t="s">
        <v>95</v>
      </c>
      <c r="J42" s="1" t="s">
        <v>26</v>
      </c>
      <c r="K42" s="1">
        <v>0</v>
      </c>
      <c r="L42" s="1"/>
      <c r="M42" s="1" t="s">
        <v>27</v>
      </c>
      <c r="N42" s="1" t="s">
        <v>145</v>
      </c>
      <c r="O42" s="1" t="s">
        <v>29</v>
      </c>
      <c r="P42" s="2">
        <v>44144</v>
      </c>
      <c r="Q42" s="8" t="str">
        <f t="shared" si="0"/>
        <v>SUPPORTED WITHIN 2DAYS</v>
      </c>
      <c r="R42" s="8" t="s">
        <v>1272</v>
      </c>
      <c r="S42" s="1">
        <v>3</v>
      </c>
      <c r="T42" s="1" t="s">
        <v>30</v>
      </c>
      <c r="U42" s="1" t="str">
        <f>VLOOKUP(T42,personnel!A$1:B$4,2,FALSE)</f>
        <v>Trinidad, Jan Carlo Aquino</v>
      </c>
      <c r="V42" s="3">
        <v>44144.383969907409</v>
      </c>
    </row>
    <row r="43" spans="1:22" x14ac:dyDescent="0.25">
      <c r="A43" s="1" t="s">
        <v>37</v>
      </c>
      <c r="B43" s="1" t="s">
        <v>50</v>
      </c>
      <c r="C43" s="1" t="s">
        <v>20</v>
      </c>
      <c r="D43" s="1" t="s">
        <v>156</v>
      </c>
      <c r="E43" s="2">
        <v>44142</v>
      </c>
      <c r="F43" s="1" t="s">
        <v>39</v>
      </c>
      <c r="G43" s="1" t="s">
        <v>157</v>
      </c>
      <c r="H43" s="1"/>
      <c r="I43" s="1" t="s">
        <v>95</v>
      </c>
      <c r="J43" s="1" t="s">
        <v>26</v>
      </c>
      <c r="K43" s="1">
        <v>0</v>
      </c>
      <c r="L43" s="1"/>
      <c r="M43" s="1" t="s">
        <v>27</v>
      </c>
      <c r="N43" s="1" t="s">
        <v>145</v>
      </c>
      <c r="O43" s="1" t="s">
        <v>29</v>
      </c>
      <c r="P43" s="2">
        <v>44144</v>
      </c>
      <c r="Q43" s="8" t="str">
        <f t="shared" si="0"/>
        <v>SUPPORTED WITHIN 2DAYS</v>
      </c>
      <c r="R43" s="8" t="s">
        <v>1272</v>
      </c>
      <c r="S43" s="1">
        <v>3</v>
      </c>
      <c r="T43" s="1" t="s">
        <v>30</v>
      </c>
      <c r="U43" s="1" t="str">
        <f>VLOOKUP(T43,personnel!A$1:B$4,2,FALSE)</f>
        <v>Trinidad, Jan Carlo Aquino</v>
      </c>
      <c r="V43" s="3">
        <v>44144.384212962963</v>
      </c>
    </row>
    <row r="44" spans="1:22" x14ac:dyDescent="0.25">
      <c r="A44" s="1" t="s">
        <v>37</v>
      </c>
      <c r="B44" s="1" t="s">
        <v>32</v>
      </c>
      <c r="C44" s="1" t="s">
        <v>20</v>
      </c>
      <c r="D44" s="1" t="s">
        <v>158</v>
      </c>
      <c r="E44" s="2">
        <v>44145</v>
      </c>
      <c r="F44" s="1" t="s">
        <v>39</v>
      </c>
      <c r="G44" s="1" t="s">
        <v>159</v>
      </c>
      <c r="H44" s="1"/>
      <c r="I44" s="1" t="s">
        <v>36</v>
      </c>
      <c r="J44" s="1" t="s">
        <v>36</v>
      </c>
      <c r="K44" s="1">
        <v>0</v>
      </c>
      <c r="L44" s="1"/>
      <c r="M44" s="1" t="s">
        <v>160</v>
      </c>
      <c r="N44" s="1"/>
      <c r="O44" s="1" t="s">
        <v>29</v>
      </c>
      <c r="P44" s="2">
        <v>44154</v>
      </c>
      <c r="Q44" s="8" t="str">
        <f t="shared" si="0"/>
        <v>NOT SUPPORTED WITHIN 2DAYS</v>
      </c>
      <c r="R44" s="8" t="s">
        <v>1273</v>
      </c>
      <c r="S44" s="1">
        <v>4</v>
      </c>
      <c r="T44" s="1" t="s">
        <v>30</v>
      </c>
      <c r="U44" s="1" t="str">
        <f>VLOOKUP(T44,personnel!A$1:B$4,2,FALSE)</f>
        <v>Trinidad, Jan Carlo Aquino</v>
      </c>
      <c r="V44" s="3">
        <v>44145.477129629631</v>
      </c>
    </row>
    <row r="45" spans="1:22" x14ac:dyDescent="0.25">
      <c r="A45" s="1" t="s">
        <v>161</v>
      </c>
      <c r="B45" s="1" t="s">
        <v>32</v>
      </c>
      <c r="C45" s="1" t="s">
        <v>20</v>
      </c>
      <c r="D45" s="1" t="s">
        <v>162</v>
      </c>
      <c r="E45" s="2">
        <v>44145</v>
      </c>
      <c r="F45" s="1" t="s">
        <v>163</v>
      </c>
      <c r="G45" s="1" t="s">
        <v>164</v>
      </c>
      <c r="H45" s="1"/>
      <c r="I45" s="1" t="s">
        <v>36</v>
      </c>
      <c r="J45" s="1" t="s">
        <v>36</v>
      </c>
      <c r="K45" s="1">
        <v>0</v>
      </c>
      <c r="L45" s="1"/>
      <c r="M45" s="1" t="s">
        <v>160</v>
      </c>
      <c r="N45" s="1"/>
      <c r="O45" s="1" t="s">
        <v>29</v>
      </c>
      <c r="P45" s="2">
        <v>44154</v>
      </c>
      <c r="Q45" s="8" t="str">
        <f t="shared" si="0"/>
        <v>NOT SUPPORTED WITHIN 2DAYS</v>
      </c>
      <c r="R45" s="8" t="s">
        <v>1273</v>
      </c>
      <c r="S45" s="1">
        <v>4</v>
      </c>
      <c r="T45" s="1" t="s">
        <v>30</v>
      </c>
      <c r="U45" s="1" t="str">
        <f>VLOOKUP(T45,personnel!A$1:B$4,2,FALSE)</f>
        <v>Trinidad, Jan Carlo Aquino</v>
      </c>
      <c r="V45" s="3">
        <v>44145.619027777779</v>
      </c>
    </row>
    <row r="46" spans="1:22" x14ac:dyDescent="0.25">
      <c r="A46" s="1" t="s">
        <v>165</v>
      </c>
      <c r="B46" s="1" t="s">
        <v>19</v>
      </c>
      <c r="C46" s="1" t="s">
        <v>166</v>
      </c>
      <c r="D46" s="1" t="s">
        <v>167</v>
      </c>
      <c r="E46" s="2">
        <v>44148</v>
      </c>
      <c r="F46" s="1" t="s">
        <v>168</v>
      </c>
      <c r="G46" s="1" t="s">
        <v>169</v>
      </c>
      <c r="H46" s="1"/>
      <c r="I46" s="1" t="s">
        <v>170</v>
      </c>
      <c r="J46" s="1" t="s">
        <v>171</v>
      </c>
      <c r="K46" s="1">
        <v>0</v>
      </c>
      <c r="L46" s="1"/>
      <c r="M46" s="1"/>
      <c r="N46" s="1"/>
      <c r="O46" s="1"/>
      <c r="P46" s="2">
        <v>44148</v>
      </c>
      <c r="Q46" s="8" t="str">
        <f t="shared" si="0"/>
        <v>SUPPORTED WITHIN 2DAYS</v>
      </c>
      <c r="R46" s="8" t="s">
        <v>1272</v>
      </c>
      <c r="S46" s="1">
        <v>0</v>
      </c>
      <c r="T46" s="1" t="s">
        <v>30</v>
      </c>
      <c r="U46" s="1" t="str">
        <f>VLOOKUP(T46,personnel!A$1:B$4,2,FALSE)</f>
        <v>Trinidad, Jan Carlo Aquino</v>
      </c>
      <c r="V46" s="3">
        <v>44148.378125000003</v>
      </c>
    </row>
    <row r="47" spans="1:22" x14ac:dyDescent="0.25">
      <c r="A47" s="1" t="s">
        <v>172</v>
      </c>
      <c r="B47" s="1" t="s">
        <v>32</v>
      </c>
      <c r="C47" s="1" t="s">
        <v>20</v>
      </c>
      <c r="D47" s="1" t="s">
        <v>173</v>
      </c>
      <c r="E47" s="2">
        <v>44148</v>
      </c>
      <c r="F47" s="1" t="s">
        <v>174</v>
      </c>
      <c r="G47" s="1" t="s">
        <v>175</v>
      </c>
      <c r="H47" s="1"/>
      <c r="I47" s="1" t="s">
        <v>36</v>
      </c>
      <c r="J47" s="1" t="s">
        <v>36</v>
      </c>
      <c r="K47" s="1">
        <v>0</v>
      </c>
      <c r="L47" s="1"/>
      <c r="M47" s="1" t="s">
        <v>160</v>
      </c>
      <c r="N47" s="1"/>
      <c r="O47" s="1" t="s">
        <v>29</v>
      </c>
      <c r="P47" s="2">
        <v>44154</v>
      </c>
      <c r="Q47" s="8" t="str">
        <f t="shared" si="0"/>
        <v>NOT SUPPORTED WITHIN 2DAYS</v>
      </c>
      <c r="R47" s="8" t="s">
        <v>1273</v>
      </c>
      <c r="S47" s="1">
        <v>4</v>
      </c>
      <c r="T47" s="1" t="s">
        <v>30</v>
      </c>
      <c r="U47" s="1" t="str">
        <f>VLOOKUP(T47,personnel!A$1:B$4,2,FALSE)</f>
        <v>Trinidad, Jan Carlo Aquino</v>
      </c>
      <c r="V47" s="3">
        <v>44148.386192129627</v>
      </c>
    </row>
    <row r="48" spans="1:22" x14ac:dyDescent="0.25">
      <c r="A48" s="1" t="s">
        <v>172</v>
      </c>
      <c r="B48" s="1" t="s">
        <v>32</v>
      </c>
      <c r="C48" s="1" t="s">
        <v>20</v>
      </c>
      <c r="D48" s="1" t="s">
        <v>176</v>
      </c>
      <c r="E48" s="2">
        <v>44148</v>
      </c>
      <c r="F48" s="1" t="s">
        <v>174</v>
      </c>
      <c r="G48" s="1" t="s">
        <v>177</v>
      </c>
      <c r="H48" s="1"/>
      <c r="I48" s="1" t="s">
        <v>36</v>
      </c>
      <c r="J48" s="1" t="s">
        <v>36</v>
      </c>
      <c r="K48" s="1">
        <v>0</v>
      </c>
      <c r="L48" s="1"/>
      <c r="M48" s="1" t="s">
        <v>160</v>
      </c>
      <c r="N48" s="1"/>
      <c r="O48" s="1" t="s">
        <v>29</v>
      </c>
      <c r="P48" s="2">
        <v>44154</v>
      </c>
      <c r="Q48" s="8" t="str">
        <f t="shared" si="0"/>
        <v>NOT SUPPORTED WITHIN 2DAYS</v>
      </c>
      <c r="R48" s="8" t="s">
        <v>1273</v>
      </c>
      <c r="S48" s="1">
        <v>4</v>
      </c>
      <c r="T48" s="1" t="s">
        <v>30</v>
      </c>
      <c r="U48" s="1" t="str">
        <f>VLOOKUP(T48,personnel!A$1:B$4,2,FALSE)</f>
        <v>Trinidad, Jan Carlo Aquino</v>
      </c>
      <c r="V48" s="3">
        <v>44148.398275462961</v>
      </c>
    </row>
    <row r="49" spans="1:22" x14ac:dyDescent="0.25">
      <c r="A49" s="1" t="s">
        <v>18</v>
      </c>
      <c r="B49" s="1" t="s">
        <v>32</v>
      </c>
      <c r="C49" s="1" t="s">
        <v>20</v>
      </c>
      <c r="D49" s="1" t="s">
        <v>178</v>
      </c>
      <c r="E49" s="2">
        <v>44148</v>
      </c>
      <c r="F49" s="1" t="s">
        <v>22</v>
      </c>
      <c r="G49" s="1" t="s">
        <v>179</v>
      </c>
      <c r="H49" s="1"/>
      <c r="I49" s="1" t="s">
        <v>36</v>
      </c>
      <c r="J49" s="1" t="s">
        <v>36</v>
      </c>
      <c r="K49" s="1">
        <v>0</v>
      </c>
      <c r="L49" s="1"/>
      <c r="M49" s="1" t="s">
        <v>160</v>
      </c>
      <c r="N49" s="1"/>
      <c r="O49" s="1" t="s">
        <v>29</v>
      </c>
      <c r="P49" s="2">
        <v>44154</v>
      </c>
      <c r="Q49" s="8" t="str">
        <f t="shared" si="0"/>
        <v>NOT SUPPORTED WITHIN 2DAYS</v>
      </c>
      <c r="R49" s="8" t="s">
        <v>1273</v>
      </c>
      <c r="S49" s="1">
        <v>4</v>
      </c>
      <c r="T49" s="1" t="s">
        <v>30</v>
      </c>
      <c r="U49" s="1" t="str">
        <f>VLOOKUP(T49,personnel!A$1:B$4,2,FALSE)</f>
        <v>Trinidad, Jan Carlo Aquino</v>
      </c>
      <c r="V49" s="3">
        <v>44148.398726851854</v>
      </c>
    </row>
    <row r="50" spans="1:22" x14ac:dyDescent="0.25">
      <c r="A50" s="1" t="s">
        <v>180</v>
      </c>
      <c r="B50" s="1" t="s">
        <v>50</v>
      </c>
      <c r="C50" s="1" t="s">
        <v>20</v>
      </c>
      <c r="D50" s="1" t="s">
        <v>181</v>
      </c>
      <c r="E50" s="2">
        <v>44148</v>
      </c>
      <c r="F50" s="1" t="s">
        <v>182</v>
      </c>
      <c r="G50" s="1" t="s">
        <v>183</v>
      </c>
      <c r="H50" s="1"/>
      <c r="I50" s="1" t="s">
        <v>36</v>
      </c>
      <c r="J50" s="1" t="s">
        <v>36</v>
      </c>
      <c r="K50" s="1">
        <v>0</v>
      </c>
      <c r="L50" s="1"/>
      <c r="M50" s="1" t="s">
        <v>184</v>
      </c>
      <c r="N50" s="1" t="s">
        <v>185</v>
      </c>
      <c r="O50" s="1" t="s">
        <v>29</v>
      </c>
      <c r="P50" s="2">
        <v>44148</v>
      </c>
      <c r="Q50" s="8" t="str">
        <f t="shared" si="0"/>
        <v>SUPPORTED WITHIN 2DAYS</v>
      </c>
      <c r="R50" s="8" t="s">
        <v>1272</v>
      </c>
      <c r="S50" s="1">
        <v>3</v>
      </c>
      <c r="T50" s="1" t="s">
        <v>30</v>
      </c>
      <c r="U50" s="1" t="str">
        <f>VLOOKUP(T50,personnel!A$1:B$4,2,FALSE)</f>
        <v>Trinidad, Jan Carlo Aquino</v>
      </c>
      <c r="V50" s="3">
        <v>44148.476388888892</v>
      </c>
    </row>
    <row r="51" spans="1:22" x14ac:dyDescent="0.25">
      <c r="A51" s="1" t="s">
        <v>37</v>
      </c>
      <c r="B51" s="1" t="s">
        <v>32</v>
      </c>
      <c r="C51" s="1" t="s">
        <v>20</v>
      </c>
      <c r="D51" s="1" t="s">
        <v>186</v>
      </c>
      <c r="E51" s="2">
        <v>44148</v>
      </c>
      <c r="F51" s="1" t="s">
        <v>39</v>
      </c>
      <c r="G51" s="1" t="s">
        <v>187</v>
      </c>
      <c r="H51" s="1"/>
      <c r="I51" s="1" t="s">
        <v>36</v>
      </c>
      <c r="J51" s="1" t="s">
        <v>36</v>
      </c>
      <c r="K51" s="1">
        <v>0</v>
      </c>
      <c r="L51" s="1"/>
      <c r="M51" s="1" t="s">
        <v>160</v>
      </c>
      <c r="N51" s="1"/>
      <c r="O51" s="1" t="s">
        <v>29</v>
      </c>
      <c r="P51" s="2">
        <v>44154</v>
      </c>
      <c r="Q51" s="8" t="str">
        <f t="shared" si="0"/>
        <v>NOT SUPPORTED WITHIN 2DAYS</v>
      </c>
      <c r="R51" s="8" t="s">
        <v>1273</v>
      </c>
      <c r="S51" s="1">
        <v>4</v>
      </c>
      <c r="T51" s="1" t="s">
        <v>30</v>
      </c>
      <c r="U51" s="1" t="str">
        <f>VLOOKUP(T51,personnel!A$1:B$4,2,FALSE)</f>
        <v>Trinidad, Jan Carlo Aquino</v>
      </c>
      <c r="V51" s="3">
        <v>44148.560162037036</v>
      </c>
    </row>
    <row r="52" spans="1:22" x14ac:dyDescent="0.25">
      <c r="A52" s="1" t="s">
        <v>188</v>
      </c>
      <c r="B52" s="1" t="s">
        <v>32</v>
      </c>
      <c r="C52" s="1" t="s">
        <v>20</v>
      </c>
      <c r="D52" s="1" t="s">
        <v>189</v>
      </c>
      <c r="E52" s="2">
        <v>44148</v>
      </c>
      <c r="F52" s="1" t="s">
        <v>190</v>
      </c>
      <c r="G52" s="1" t="s">
        <v>191</v>
      </c>
      <c r="H52" s="1"/>
      <c r="I52" s="1" t="s">
        <v>36</v>
      </c>
      <c r="J52" s="1" t="s">
        <v>36</v>
      </c>
      <c r="K52" s="1">
        <v>0</v>
      </c>
      <c r="L52" s="1"/>
      <c r="M52" s="1" t="s">
        <v>160</v>
      </c>
      <c r="N52" s="1"/>
      <c r="O52" s="1" t="s">
        <v>29</v>
      </c>
      <c r="P52" s="2">
        <v>44154</v>
      </c>
      <c r="Q52" s="8" t="str">
        <f t="shared" si="0"/>
        <v>NOT SUPPORTED WITHIN 2DAYS</v>
      </c>
      <c r="R52" s="8" t="s">
        <v>1273</v>
      </c>
      <c r="S52" s="1">
        <v>4</v>
      </c>
      <c r="T52" s="1" t="s">
        <v>30</v>
      </c>
      <c r="U52" s="1" t="str">
        <f>VLOOKUP(T52,personnel!A$1:B$4,2,FALSE)</f>
        <v>Trinidad, Jan Carlo Aquino</v>
      </c>
      <c r="V52" s="3">
        <v>44148.637858796297</v>
      </c>
    </row>
    <row r="53" spans="1:22" x14ac:dyDescent="0.25">
      <c r="A53" s="1" t="s">
        <v>37</v>
      </c>
      <c r="B53" s="1" t="s">
        <v>32</v>
      </c>
      <c r="C53" s="1" t="s">
        <v>20</v>
      </c>
      <c r="D53" s="1" t="s">
        <v>192</v>
      </c>
      <c r="E53" s="2">
        <v>44148</v>
      </c>
      <c r="F53" s="1" t="s">
        <v>39</v>
      </c>
      <c r="G53" s="1" t="s">
        <v>193</v>
      </c>
      <c r="H53" s="1"/>
      <c r="I53" s="1" t="s">
        <v>36</v>
      </c>
      <c r="J53" s="1" t="s">
        <v>36</v>
      </c>
      <c r="K53" s="1">
        <v>0</v>
      </c>
      <c r="L53" s="1"/>
      <c r="M53" s="1" t="s">
        <v>27</v>
      </c>
      <c r="N53" s="1"/>
      <c r="O53" s="1" t="s">
        <v>29</v>
      </c>
      <c r="P53" s="2">
        <v>44148</v>
      </c>
      <c r="Q53" s="8" t="str">
        <f t="shared" si="0"/>
        <v>SUPPORTED WITHIN 2DAYS</v>
      </c>
      <c r="R53" s="8" t="s">
        <v>1272</v>
      </c>
      <c r="S53" s="1">
        <v>4</v>
      </c>
      <c r="T53" s="1" t="s">
        <v>30</v>
      </c>
      <c r="U53" s="1" t="str">
        <f>VLOOKUP(T53,personnel!A$1:B$4,2,FALSE)</f>
        <v>Trinidad, Jan Carlo Aquino</v>
      </c>
      <c r="V53" s="3">
        <v>44148.679236111115</v>
      </c>
    </row>
    <row r="54" spans="1:22" x14ac:dyDescent="0.25">
      <c r="A54" s="1" t="s">
        <v>194</v>
      </c>
      <c r="B54" s="1" t="s">
        <v>50</v>
      </c>
      <c r="C54" s="1" t="s">
        <v>20</v>
      </c>
      <c r="D54" s="1" t="s">
        <v>195</v>
      </c>
      <c r="E54" s="2">
        <v>44148</v>
      </c>
      <c r="F54" s="1" t="s">
        <v>196</v>
      </c>
      <c r="G54" s="1" t="s">
        <v>197</v>
      </c>
      <c r="H54" s="1"/>
      <c r="I54" s="1" t="s">
        <v>36</v>
      </c>
      <c r="J54" s="1" t="s">
        <v>36</v>
      </c>
      <c r="K54" s="1">
        <v>0</v>
      </c>
      <c r="L54" s="1"/>
      <c r="M54" s="1" t="s">
        <v>108</v>
      </c>
      <c r="N54" s="1"/>
      <c r="O54" s="1" t="s">
        <v>29</v>
      </c>
      <c r="P54" s="2">
        <v>44148</v>
      </c>
      <c r="Q54" s="8" t="str">
        <f t="shared" si="0"/>
        <v>SUPPORTED WITHIN 2DAYS</v>
      </c>
      <c r="R54" s="8" t="s">
        <v>1272</v>
      </c>
      <c r="S54" s="1">
        <v>3</v>
      </c>
      <c r="T54" s="1" t="s">
        <v>30</v>
      </c>
      <c r="U54" s="1" t="str">
        <f>VLOOKUP(T54,personnel!A$1:B$4,2,FALSE)</f>
        <v>Trinidad, Jan Carlo Aquino</v>
      </c>
      <c r="V54" s="3">
        <v>44148.692453703705</v>
      </c>
    </row>
    <row r="55" spans="1:22" x14ac:dyDescent="0.25">
      <c r="A55" s="1" t="s">
        <v>198</v>
      </c>
      <c r="B55" s="1" t="s">
        <v>32</v>
      </c>
      <c r="C55" s="1" t="s">
        <v>20</v>
      </c>
      <c r="D55" s="1" t="s">
        <v>199</v>
      </c>
      <c r="E55" s="2">
        <v>44148</v>
      </c>
      <c r="F55" s="1" t="s">
        <v>200</v>
      </c>
      <c r="G55" s="1" t="s">
        <v>201</v>
      </c>
      <c r="H55" s="1"/>
      <c r="I55" s="1" t="s">
        <v>36</v>
      </c>
      <c r="J55" s="1" t="s">
        <v>36</v>
      </c>
      <c r="K55" s="1">
        <v>0</v>
      </c>
      <c r="L55" s="1"/>
      <c r="M55" s="1" t="s">
        <v>160</v>
      </c>
      <c r="N55" s="1"/>
      <c r="O55" s="1" t="s">
        <v>29</v>
      </c>
      <c r="P55" s="2">
        <v>44154</v>
      </c>
      <c r="Q55" s="8" t="str">
        <f t="shared" si="0"/>
        <v>NOT SUPPORTED WITHIN 2DAYS</v>
      </c>
      <c r="R55" s="8" t="s">
        <v>1273</v>
      </c>
      <c r="S55" s="1">
        <v>4</v>
      </c>
      <c r="T55" s="1" t="s">
        <v>30</v>
      </c>
      <c r="U55" s="1" t="str">
        <f>VLOOKUP(T55,personnel!A$1:B$4,2,FALSE)</f>
        <v>Trinidad, Jan Carlo Aquino</v>
      </c>
      <c r="V55" s="3">
        <v>44148.700844907406</v>
      </c>
    </row>
    <row r="56" spans="1:22" x14ac:dyDescent="0.25">
      <c r="A56" s="1" t="s">
        <v>37</v>
      </c>
      <c r="B56" s="1" t="s">
        <v>50</v>
      </c>
      <c r="C56" s="1" t="s">
        <v>20</v>
      </c>
      <c r="D56" s="1" t="s">
        <v>202</v>
      </c>
      <c r="E56" s="2">
        <v>44149</v>
      </c>
      <c r="F56" s="1" t="s">
        <v>39</v>
      </c>
      <c r="G56" s="1" t="s">
        <v>203</v>
      </c>
      <c r="H56" s="1"/>
      <c r="I56" s="1" t="s">
        <v>36</v>
      </c>
      <c r="J56" s="1" t="s">
        <v>36</v>
      </c>
      <c r="K56" s="1">
        <v>0</v>
      </c>
      <c r="L56" s="1"/>
      <c r="M56" s="1" t="s">
        <v>160</v>
      </c>
      <c r="N56" s="1"/>
      <c r="O56" s="1" t="s">
        <v>29</v>
      </c>
      <c r="P56" s="2">
        <v>44154</v>
      </c>
      <c r="Q56" s="8" t="str">
        <f t="shared" si="0"/>
        <v>NOT SUPPORTED WITHIN 2DAYS</v>
      </c>
      <c r="R56" s="8" t="s">
        <v>1273</v>
      </c>
      <c r="S56" s="1">
        <v>3</v>
      </c>
      <c r="T56" s="1" t="s">
        <v>30</v>
      </c>
      <c r="U56" s="1" t="str">
        <f>VLOOKUP(T56,personnel!A$1:B$4,2,FALSE)</f>
        <v>Trinidad, Jan Carlo Aquino</v>
      </c>
      <c r="V56" s="3">
        <v>44149.361006944448</v>
      </c>
    </row>
    <row r="57" spans="1:22" x14ac:dyDescent="0.25">
      <c r="A57" s="1" t="s">
        <v>18</v>
      </c>
      <c r="B57" s="1" t="s">
        <v>32</v>
      </c>
      <c r="C57" s="1" t="s">
        <v>20</v>
      </c>
      <c r="D57" s="1" t="s">
        <v>204</v>
      </c>
      <c r="E57" s="2">
        <v>44149</v>
      </c>
      <c r="F57" s="1" t="s">
        <v>22</v>
      </c>
      <c r="G57" s="1" t="s">
        <v>205</v>
      </c>
      <c r="H57" s="1"/>
      <c r="I57" s="1" t="s">
        <v>36</v>
      </c>
      <c r="J57" s="1" t="s">
        <v>36</v>
      </c>
      <c r="K57" s="1">
        <v>0</v>
      </c>
      <c r="L57" s="1"/>
      <c r="M57" s="1" t="s">
        <v>160</v>
      </c>
      <c r="N57" s="1"/>
      <c r="O57" s="1" t="s">
        <v>29</v>
      </c>
      <c r="P57" s="2">
        <v>44154</v>
      </c>
      <c r="Q57" s="8" t="str">
        <f t="shared" si="0"/>
        <v>NOT SUPPORTED WITHIN 2DAYS</v>
      </c>
      <c r="R57" s="8" t="s">
        <v>1273</v>
      </c>
      <c r="S57" s="1">
        <v>4</v>
      </c>
      <c r="T57" s="1" t="s">
        <v>30</v>
      </c>
      <c r="U57" s="1" t="str">
        <f>VLOOKUP(T57,personnel!A$1:B$4,2,FALSE)</f>
        <v>Trinidad, Jan Carlo Aquino</v>
      </c>
      <c r="V57" s="3">
        <v>44149.39271990741</v>
      </c>
    </row>
    <row r="58" spans="1:22" x14ac:dyDescent="0.25">
      <c r="A58" s="1" t="s">
        <v>18</v>
      </c>
      <c r="B58" s="1" t="s">
        <v>32</v>
      </c>
      <c r="C58" s="1" t="s">
        <v>20</v>
      </c>
      <c r="D58" s="1" t="s">
        <v>206</v>
      </c>
      <c r="E58" s="2">
        <v>44149</v>
      </c>
      <c r="F58" s="1" t="s">
        <v>22</v>
      </c>
      <c r="G58" s="1" t="s">
        <v>207</v>
      </c>
      <c r="H58" s="1"/>
      <c r="I58" s="1" t="s">
        <v>36</v>
      </c>
      <c r="J58" s="1" t="s">
        <v>36</v>
      </c>
      <c r="K58" s="1">
        <v>0</v>
      </c>
      <c r="L58" s="1"/>
      <c r="M58" s="1" t="s">
        <v>160</v>
      </c>
      <c r="N58" s="1"/>
      <c r="O58" s="1" t="s">
        <v>29</v>
      </c>
      <c r="P58" s="2">
        <v>44154</v>
      </c>
      <c r="Q58" s="8" t="str">
        <f t="shared" si="0"/>
        <v>NOT SUPPORTED WITHIN 2DAYS</v>
      </c>
      <c r="R58" s="8" t="s">
        <v>1273</v>
      </c>
      <c r="S58" s="1">
        <v>4</v>
      </c>
      <c r="T58" s="1" t="s">
        <v>30</v>
      </c>
      <c r="U58" s="1" t="str">
        <f>VLOOKUP(T58,personnel!A$1:B$4,2,FALSE)</f>
        <v>Trinidad, Jan Carlo Aquino</v>
      </c>
      <c r="V58" s="3">
        <v>44149.392858796295</v>
      </c>
    </row>
    <row r="59" spans="1:22" x14ac:dyDescent="0.25">
      <c r="A59" s="1" t="s">
        <v>78</v>
      </c>
      <c r="B59" s="1" t="s">
        <v>32</v>
      </c>
      <c r="C59" s="1" t="s">
        <v>20</v>
      </c>
      <c r="D59" s="1" t="s">
        <v>208</v>
      </c>
      <c r="E59" s="2">
        <v>44149</v>
      </c>
      <c r="F59" s="1" t="s">
        <v>80</v>
      </c>
      <c r="G59" s="1" t="s">
        <v>209</v>
      </c>
      <c r="H59" s="1"/>
      <c r="I59" s="1" t="s">
        <v>36</v>
      </c>
      <c r="J59" s="1" t="s">
        <v>36</v>
      </c>
      <c r="K59" s="1">
        <v>0</v>
      </c>
      <c r="L59" s="1"/>
      <c r="M59" s="1" t="s">
        <v>160</v>
      </c>
      <c r="N59" s="1"/>
      <c r="O59" s="1" t="s">
        <v>29</v>
      </c>
      <c r="P59" s="2">
        <v>44154</v>
      </c>
      <c r="Q59" s="8" t="str">
        <f t="shared" si="0"/>
        <v>NOT SUPPORTED WITHIN 2DAYS</v>
      </c>
      <c r="R59" s="8" t="s">
        <v>1273</v>
      </c>
      <c r="S59" s="1">
        <v>4</v>
      </c>
      <c r="T59" s="1" t="s">
        <v>30</v>
      </c>
      <c r="U59" s="1" t="str">
        <f>VLOOKUP(T59,personnel!A$1:B$4,2,FALSE)</f>
        <v>Trinidad, Jan Carlo Aquino</v>
      </c>
      <c r="V59" s="3">
        <v>44149.452314814815</v>
      </c>
    </row>
    <row r="60" spans="1:22" x14ac:dyDescent="0.25">
      <c r="A60" s="1" t="s">
        <v>180</v>
      </c>
      <c r="B60" s="1" t="s">
        <v>32</v>
      </c>
      <c r="C60" s="1" t="s">
        <v>20</v>
      </c>
      <c r="D60" s="1" t="s">
        <v>210</v>
      </c>
      <c r="E60" s="2">
        <v>44149</v>
      </c>
      <c r="F60" s="1" t="s">
        <v>182</v>
      </c>
      <c r="G60" s="1" t="s">
        <v>211</v>
      </c>
      <c r="H60" s="1"/>
      <c r="I60" s="1" t="s">
        <v>36</v>
      </c>
      <c r="J60" s="1" t="s">
        <v>36</v>
      </c>
      <c r="K60" s="1">
        <v>0</v>
      </c>
      <c r="L60" s="1"/>
      <c r="M60" s="1" t="s">
        <v>160</v>
      </c>
      <c r="N60" s="1"/>
      <c r="O60" s="1" t="s">
        <v>29</v>
      </c>
      <c r="P60" s="2">
        <v>44154</v>
      </c>
      <c r="Q60" s="8" t="str">
        <f t="shared" si="0"/>
        <v>NOT SUPPORTED WITHIN 2DAYS</v>
      </c>
      <c r="R60" s="8" t="s">
        <v>1273</v>
      </c>
      <c r="S60" s="1">
        <v>4</v>
      </c>
      <c r="T60" s="1" t="s">
        <v>30</v>
      </c>
      <c r="U60" s="1" t="str">
        <f>VLOOKUP(T60,personnel!A$1:B$4,2,FALSE)</f>
        <v>Trinidad, Jan Carlo Aquino</v>
      </c>
      <c r="V60" s="3">
        <v>44149.551099537035</v>
      </c>
    </row>
    <row r="61" spans="1:22" x14ac:dyDescent="0.25">
      <c r="A61" s="1" t="s">
        <v>212</v>
      </c>
      <c r="B61" s="1" t="s">
        <v>32</v>
      </c>
      <c r="C61" s="1" t="s">
        <v>20</v>
      </c>
      <c r="D61" s="1" t="s">
        <v>213</v>
      </c>
      <c r="E61" s="2">
        <v>44149</v>
      </c>
      <c r="F61" s="1" t="s">
        <v>214</v>
      </c>
      <c r="G61" s="1" t="s">
        <v>215</v>
      </c>
      <c r="H61" s="1"/>
      <c r="I61" s="1" t="s">
        <v>36</v>
      </c>
      <c r="J61" s="1" t="s">
        <v>36</v>
      </c>
      <c r="K61" s="1">
        <v>0</v>
      </c>
      <c r="L61" s="1"/>
      <c r="M61" s="1" t="s">
        <v>160</v>
      </c>
      <c r="N61" s="1" t="s">
        <v>216</v>
      </c>
      <c r="O61" s="1" t="s">
        <v>29</v>
      </c>
      <c r="P61" s="2">
        <v>44154</v>
      </c>
      <c r="Q61" s="8" t="str">
        <f t="shared" si="0"/>
        <v>NOT SUPPORTED WITHIN 2DAYS</v>
      </c>
      <c r="R61" s="8" t="s">
        <v>1273</v>
      </c>
      <c r="S61" s="1">
        <v>4</v>
      </c>
      <c r="T61" s="1" t="s">
        <v>30</v>
      </c>
      <c r="U61" s="1" t="str">
        <f>VLOOKUP(T61,personnel!A$1:B$4,2,FALSE)</f>
        <v>Trinidad, Jan Carlo Aquino</v>
      </c>
      <c r="V61" s="3">
        <v>44149.586562500001</v>
      </c>
    </row>
    <row r="62" spans="1:22" x14ac:dyDescent="0.25">
      <c r="A62" s="1" t="s">
        <v>18</v>
      </c>
      <c r="B62" s="1" t="s">
        <v>19</v>
      </c>
      <c r="C62" s="1" t="s">
        <v>20</v>
      </c>
      <c r="D62" s="1" t="s">
        <v>217</v>
      </c>
      <c r="E62" s="2">
        <v>44151</v>
      </c>
      <c r="F62" s="1" t="s">
        <v>22</v>
      </c>
      <c r="G62" s="1" t="s">
        <v>218</v>
      </c>
      <c r="H62" s="1"/>
      <c r="I62" s="1" t="s">
        <v>36</v>
      </c>
      <c r="J62" s="1" t="s">
        <v>36</v>
      </c>
      <c r="K62" s="1">
        <v>0</v>
      </c>
      <c r="L62" s="1"/>
      <c r="M62" s="1" t="s">
        <v>160</v>
      </c>
      <c r="N62" s="1" t="s">
        <v>28</v>
      </c>
      <c r="O62" s="1" t="s">
        <v>29</v>
      </c>
      <c r="P62" s="2">
        <v>44154</v>
      </c>
      <c r="Q62" s="8" t="str">
        <f t="shared" si="0"/>
        <v>NOT SUPPORTED WITHIN 2DAYS</v>
      </c>
      <c r="R62" s="8" t="s">
        <v>1273</v>
      </c>
      <c r="S62" s="1">
        <v>0</v>
      </c>
      <c r="T62" s="1" t="s">
        <v>30</v>
      </c>
      <c r="U62" s="1" t="str">
        <f>VLOOKUP(T62,personnel!A$1:B$4,2,FALSE)</f>
        <v>Trinidad, Jan Carlo Aquino</v>
      </c>
      <c r="V62" s="3">
        <v>44151.369409722225</v>
      </c>
    </row>
    <row r="63" spans="1:22" x14ac:dyDescent="0.25">
      <c r="A63" s="1" t="s">
        <v>61</v>
      </c>
      <c r="B63" s="1" t="s">
        <v>32</v>
      </c>
      <c r="C63" s="1" t="s">
        <v>20</v>
      </c>
      <c r="D63" s="1" t="s">
        <v>219</v>
      </c>
      <c r="E63" s="2">
        <v>44151</v>
      </c>
      <c r="F63" s="1" t="s">
        <v>63</v>
      </c>
      <c r="G63" s="1" t="s">
        <v>220</v>
      </c>
      <c r="H63" s="1"/>
      <c r="I63" s="1" t="s">
        <v>36</v>
      </c>
      <c r="J63" s="1" t="s">
        <v>36</v>
      </c>
      <c r="K63" s="1">
        <v>0</v>
      </c>
      <c r="L63" s="1"/>
      <c r="M63" s="1" t="s">
        <v>160</v>
      </c>
      <c r="N63" s="1"/>
      <c r="O63" s="1" t="s">
        <v>29</v>
      </c>
      <c r="P63" s="2">
        <v>44154</v>
      </c>
      <c r="Q63" s="8" t="str">
        <f t="shared" si="0"/>
        <v>NOT SUPPORTED WITHIN 2DAYS</v>
      </c>
      <c r="R63" s="8" t="s">
        <v>1273</v>
      </c>
      <c r="S63" s="1">
        <v>4</v>
      </c>
      <c r="T63" s="1" t="s">
        <v>30</v>
      </c>
      <c r="U63" s="1" t="str">
        <f>VLOOKUP(T63,personnel!A$1:B$4,2,FALSE)</f>
        <v>Trinidad, Jan Carlo Aquino</v>
      </c>
      <c r="V63" s="3">
        <v>44151.391006944446</v>
      </c>
    </row>
    <row r="64" spans="1:22" x14ac:dyDescent="0.25">
      <c r="A64" s="1" t="s">
        <v>18</v>
      </c>
      <c r="B64" s="1" t="s">
        <v>19</v>
      </c>
      <c r="C64" s="1" t="s">
        <v>20</v>
      </c>
      <c r="D64" s="1" t="s">
        <v>221</v>
      </c>
      <c r="E64" s="2">
        <v>44151</v>
      </c>
      <c r="F64" s="1" t="s">
        <v>22</v>
      </c>
      <c r="G64" s="1" t="s">
        <v>222</v>
      </c>
      <c r="H64" s="1" t="s">
        <v>223</v>
      </c>
      <c r="I64" s="1" t="s">
        <v>25</v>
      </c>
      <c r="J64" s="1" t="s">
        <v>26</v>
      </c>
      <c r="K64" s="1">
        <v>0</v>
      </c>
      <c r="L64" s="1"/>
      <c r="M64" s="1" t="s">
        <v>27</v>
      </c>
      <c r="N64" s="1"/>
      <c r="O64" s="1" t="s">
        <v>29</v>
      </c>
      <c r="P64" s="2">
        <v>44151</v>
      </c>
      <c r="Q64" s="8" t="str">
        <f t="shared" si="0"/>
        <v>SUPPORTED WITHIN 2DAYS</v>
      </c>
      <c r="R64" s="8" t="s">
        <v>1272</v>
      </c>
      <c r="S64" s="1">
        <v>0</v>
      </c>
      <c r="T64" s="1" t="s">
        <v>30</v>
      </c>
      <c r="U64" s="1" t="str">
        <f>VLOOKUP(T64,personnel!A$1:B$4,2,FALSE)</f>
        <v>Trinidad, Jan Carlo Aquino</v>
      </c>
      <c r="V64" s="3">
        <v>44151.472418981481</v>
      </c>
    </row>
    <row r="65" spans="1:22" x14ac:dyDescent="0.25">
      <c r="A65" s="1" t="s">
        <v>172</v>
      </c>
      <c r="B65" s="1" t="s">
        <v>32</v>
      </c>
      <c r="C65" s="1" t="s">
        <v>20</v>
      </c>
      <c r="D65" s="1" t="s">
        <v>224</v>
      </c>
      <c r="E65" s="2">
        <v>44151</v>
      </c>
      <c r="F65" s="1" t="s">
        <v>174</v>
      </c>
      <c r="G65" s="1" t="s">
        <v>225</v>
      </c>
      <c r="H65" s="1"/>
      <c r="I65" s="1" t="s">
        <v>36</v>
      </c>
      <c r="J65" s="1" t="s">
        <v>36</v>
      </c>
      <c r="K65" s="1">
        <v>0</v>
      </c>
      <c r="L65" s="1"/>
      <c r="M65" s="1" t="s">
        <v>160</v>
      </c>
      <c r="N65" s="1"/>
      <c r="O65" s="1" t="s">
        <v>29</v>
      </c>
      <c r="P65" s="2">
        <v>44154</v>
      </c>
      <c r="Q65" s="8" t="str">
        <f t="shared" si="0"/>
        <v>NOT SUPPORTED WITHIN 2DAYS</v>
      </c>
      <c r="R65" s="8" t="s">
        <v>1273</v>
      </c>
      <c r="S65" s="1">
        <v>4</v>
      </c>
      <c r="T65" s="1" t="s">
        <v>30</v>
      </c>
      <c r="U65" s="1" t="str">
        <f>VLOOKUP(T65,personnel!A$1:B$4,2,FALSE)</f>
        <v>Trinidad, Jan Carlo Aquino</v>
      </c>
      <c r="V65" s="3">
        <v>44151.477777777778</v>
      </c>
    </row>
    <row r="66" spans="1:22" x14ac:dyDescent="0.25">
      <c r="A66" s="1" t="s">
        <v>172</v>
      </c>
      <c r="B66" s="1" t="s">
        <v>32</v>
      </c>
      <c r="C66" s="1" t="s">
        <v>20</v>
      </c>
      <c r="D66" s="1" t="s">
        <v>226</v>
      </c>
      <c r="E66" s="2">
        <v>44151</v>
      </c>
      <c r="F66" s="1" t="s">
        <v>174</v>
      </c>
      <c r="G66" s="1" t="s">
        <v>227</v>
      </c>
      <c r="H66" s="1"/>
      <c r="I66" s="1" t="s">
        <v>36</v>
      </c>
      <c r="J66" s="1" t="s">
        <v>36</v>
      </c>
      <c r="K66" s="1">
        <v>0</v>
      </c>
      <c r="L66" s="1"/>
      <c r="M66" s="1" t="s">
        <v>160</v>
      </c>
      <c r="N66" s="1"/>
      <c r="O66" s="1" t="s">
        <v>29</v>
      </c>
      <c r="P66" s="2">
        <v>44154</v>
      </c>
      <c r="Q66" s="8" t="str">
        <f t="shared" si="0"/>
        <v>NOT SUPPORTED WITHIN 2DAYS</v>
      </c>
      <c r="R66" s="8" t="s">
        <v>1273</v>
      </c>
      <c r="S66" s="1">
        <v>4</v>
      </c>
      <c r="T66" s="1" t="s">
        <v>30</v>
      </c>
      <c r="U66" s="1" t="str">
        <f>VLOOKUP(T66,personnel!A$1:B$4,2,FALSE)</f>
        <v>Trinidad, Jan Carlo Aquino</v>
      </c>
      <c r="V66" s="3">
        <v>44151.478067129632</v>
      </c>
    </row>
    <row r="67" spans="1:22" x14ac:dyDescent="0.25">
      <c r="A67" s="1" t="s">
        <v>78</v>
      </c>
      <c r="B67" s="1" t="s">
        <v>32</v>
      </c>
      <c r="C67" s="1" t="s">
        <v>20</v>
      </c>
      <c r="D67" s="1" t="s">
        <v>228</v>
      </c>
      <c r="E67" s="2">
        <v>44151</v>
      </c>
      <c r="F67" s="1" t="s">
        <v>80</v>
      </c>
      <c r="G67" s="1" t="s">
        <v>229</v>
      </c>
      <c r="H67" s="1"/>
      <c r="I67" s="1" t="s">
        <v>36</v>
      </c>
      <c r="J67" s="1" t="s">
        <v>36</v>
      </c>
      <c r="K67" s="1">
        <v>0</v>
      </c>
      <c r="L67" s="1"/>
      <c r="M67" s="1" t="s">
        <v>160</v>
      </c>
      <c r="N67" s="1"/>
      <c r="O67" s="1" t="s">
        <v>29</v>
      </c>
      <c r="P67" s="2">
        <v>44154</v>
      </c>
      <c r="Q67" s="8" t="str">
        <f t="shared" ref="Q67:Q130" si="1">IF((P67-E67)&gt;2,"NOT SUPPORTED WITHIN 2DAYS","SUPPORTED WITHIN 2DAYS")</f>
        <v>NOT SUPPORTED WITHIN 2DAYS</v>
      </c>
      <c r="R67" s="8" t="s">
        <v>1273</v>
      </c>
      <c r="S67" s="1">
        <v>4</v>
      </c>
      <c r="T67" s="1" t="s">
        <v>30</v>
      </c>
      <c r="U67" s="1" t="str">
        <f>VLOOKUP(T67,personnel!A$1:B$4,2,FALSE)</f>
        <v>Trinidad, Jan Carlo Aquino</v>
      </c>
      <c r="V67" s="3">
        <v>44151.614247685182</v>
      </c>
    </row>
    <row r="68" spans="1:22" x14ac:dyDescent="0.25">
      <c r="A68" s="1" t="s">
        <v>37</v>
      </c>
      <c r="B68" s="1" t="s">
        <v>32</v>
      </c>
      <c r="C68" s="1" t="s">
        <v>20</v>
      </c>
      <c r="D68" s="1" t="s">
        <v>230</v>
      </c>
      <c r="E68" s="2">
        <v>44151</v>
      </c>
      <c r="F68" s="1" t="s">
        <v>39</v>
      </c>
      <c r="G68" s="1" t="s">
        <v>231</v>
      </c>
      <c r="H68" s="1"/>
      <c r="I68" s="1" t="s">
        <v>36</v>
      </c>
      <c r="J68" s="1" t="s">
        <v>36</v>
      </c>
      <c r="K68" s="1">
        <v>0</v>
      </c>
      <c r="L68" s="1"/>
      <c r="M68" s="1" t="s">
        <v>160</v>
      </c>
      <c r="N68" s="1"/>
      <c r="O68" s="1" t="s">
        <v>29</v>
      </c>
      <c r="P68" s="2">
        <v>44154</v>
      </c>
      <c r="Q68" s="8" t="str">
        <f t="shared" si="1"/>
        <v>NOT SUPPORTED WITHIN 2DAYS</v>
      </c>
      <c r="R68" s="8" t="s">
        <v>1273</v>
      </c>
      <c r="S68" s="1">
        <v>4</v>
      </c>
      <c r="T68" s="1" t="s">
        <v>30</v>
      </c>
      <c r="U68" s="1" t="str">
        <f>VLOOKUP(T68,personnel!A$1:B$4,2,FALSE)</f>
        <v>Trinidad, Jan Carlo Aquino</v>
      </c>
      <c r="V68" s="3">
        <v>44151.614583333336</v>
      </c>
    </row>
    <row r="69" spans="1:22" x14ac:dyDescent="0.25">
      <c r="A69" s="1" t="s">
        <v>37</v>
      </c>
      <c r="B69" s="1" t="s">
        <v>32</v>
      </c>
      <c r="C69" s="1" t="s">
        <v>20</v>
      </c>
      <c r="D69" s="1" t="s">
        <v>232</v>
      </c>
      <c r="E69" s="2">
        <v>44151</v>
      </c>
      <c r="F69" s="1" t="s">
        <v>39</v>
      </c>
      <c r="G69" s="1" t="s">
        <v>233</v>
      </c>
      <c r="H69" s="1"/>
      <c r="I69" s="1" t="s">
        <v>36</v>
      </c>
      <c r="J69" s="1" t="s">
        <v>36</v>
      </c>
      <c r="K69" s="1">
        <v>0</v>
      </c>
      <c r="L69" s="1"/>
      <c r="M69" s="1" t="s">
        <v>160</v>
      </c>
      <c r="N69" s="1"/>
      <c r="O69" s="1" t="s">
        <v>29</v>
      </c>
      <c r="P69" s="2">
        <v>44154</v>
      </c>
      <c r="Q69" s="8" t="str">
        <f t="shared" si="1"/>
        <v>NOT SUPPORTED WITHIN 2DAYS</v>
      </c>
      <c r="R69" s="8" t="s">
        <v>1273</v>
      </c>
      <c r="S69" s="1">
        <v>4</v>
      </c>
      <c r="T69" s="1" t="s">
        <v>30</v>
      </c>
      <c r="U69" s="1" t="str">
        <f>VLOOKUP(T69,personnel!A$1:B$4,2,FALSE)</f>
        <v>Trinidad, Jan Carlo Aquino</v>
      </c>
      <c r="V69" s="3">
        <v>44151.667719907404</v>
      </c>
    </row>
    <row r="70" spans="1:22" x14ac:dyDescent="0.25">
      <c r="A70" s="1" t="s">
        <v>37</v>
      </c>
      <c r="B70" s="1" t="s">
        <v>32</v>
      </c>
      <c r="C70" s="1" t="s">
        <v>20</v>
      </c>
      <c r="D70" s="1" t="s">
        <v>234</v>
      </c>
      <c r="E70" s="2">
        <v>44151</v>
      </c>
      <c r="F70" s="1" t="s">
        <v>39</v>
      </c>
      <c r="G70" s="1" t="s">
        <v>235</v>
      </c>
      <c r="H70" s="1"/>
      <c r="I70" s="1" t="s">
        <v>36</v>
      </c>
      <c r="J70" s="1" t="s">
        <v>36</v>
      </c>
      <c r="K70" s="1">
        <v>0</v>
      </c>
      <c r="L70" s="1"/>
      <c r="M70" s="1" t="s">
        <v>160</v>
      </c>
      <c r="N70" s="1"/>
      <c r="O70" s="1" t="s">
        <v>29</v>
      </c>
      <c r="P70" s="2">
        <v>44154</v>
      </c>
      <c r="Q70" s="8" t="str">
        <f t="shared" si="1"/>
        <v>NOT SUPPORTED WITHIN 2DAYS</v>
      </c>
      <c r="R70" s="8" t="s">
        <v>1273</v>
      </c>
      <c r="S70" s="1">
        <v>4</v>
      </c>
      <c r="T70" s="1" t="s">
        <v>30</v>
      </c>
      <c r="U70" s="1" t="str">
        <f>VLOOKUP(T70,personnel!A$1:B$4,2,FALSE)</f>
        <v>Trinidad, Jan Carlo Aquino</v>
      </c>
      <c r="V70" s="3">
        <v>44151.667881944442</v>
      </c>
    </row>
    <row r="71" spans="1:22" x14ac:dyDescent="0.25">
      <c r="A71" s="1" t="s">
        <v>37</v>
      </c>
      <c r="B71" s="1" t="s">
        <v>32</v>
      </c>
      <c r="C71" s="1" t="s">
        <v>20</v>
      </c>
      <c r="D71" s="1" t="s">
        <v>236</v>
      </c>
      <c r="E71" s="2">
        <v>44151</v>
      </c>
      <c r="F71" s="1" t="s">
        <v>39</v>
      </c>
      <c r="G71" s="1" t="s">
        <v>237</v>
      </c>
      <c r="H71" s="1"/>
      <c r="I71" s="1" t="s">
        <v>36</v>
      </c>
      <c r="J71" s="1" t="s">
        <v>36</v>
      </c>
      <c r="K71" s="1">
        <v>0</v>
      </c>
      <c r="L71" s="1"/>
      <c r="M71" s="1" t="s">
        <v>160</v>
      </c>
      <c r="N71" s="1"/>
      <c r="O71" s="1" t="s">
        <v>29</v>
      </c>
      <c r="P71" s="2">
        <v>44154</v>
      </c>
      <c r="Q71" s="8" t="str">
        <f t="shared" si="1"/>
        <v>NOT SUPPORTED WITHIN 2DAYS</v>
      </c>
      <c r="R71" s="8" t="s">
        <v>1273</v>
      </c>
      <c r="S71" s="1">
        <v>4</v>
      </c>
      <c r="T71" s="1" t="s">
        <v>30</v>
      </c>
      <c r="U71" s="1" t="str">
        <f>VLOOKUP(T71,personnel!A$1:B$4,2,FALSE)</f>
        <v>Trinidad, Jan Carlo Aquino</v>
      </c>
      <c r="V71" s="3">
        <v>44151.668032407404</v>
      </c>
    </row>
    <row r="72" spans="1:22" x14ac:dyDescent="0.25">
      <c r="A72" s="1" t="s">
        <v>37</v>
      </c>
      <c r="B72" s="1" t="s">
        <v>32</v>
      </c>
      <c r="C72" s="1" t="s">
        <v>20</v>
      </c>
      <c r="D72" s="1" t="s">
        <v>238</v>
      </c>
      <c r="E72" s="2">
        <v>44151</v>
      </c>
      <c r="F72" s="1" t="s">
        <v>39</v>
      </c>
      <c r="G72" s="1" t="s">
        <v>239</v>
      </c>
      <c r="H72" s="1"/>
      <c r="I72" s="1" t="s">
        <v>36</v>
      </c>
      <c r="J72" s="1" t="s">
        <v>36</v>
      </c>
      <c r="K72" s="1">
        <v>0</v>
      </c>
      <c r="L72" s="1"/>
      <c r="M72" s="1" t="s">
        <v>160</v>
      </c>
      <c r="N72" s="1"/>
      <c r="O72" s="1" t="s">
        <v>29</v>
      </c>
      <c r="P72" s="2">
        <v>44154</v>
      </c>
      <c r="Q72" s="8" t="str">
        <f t="shared" si="1"/>
        <v>NOT SUPPORTED WITHIN 2DAYS</v>
      </c>
      <c r="R72" s="8" t="s">
        <v>1273</v>
      </c>
      <c r="S72" s="1">
        <v>4</v>
      </c>
      <c r="T72" s="1" t="s">
        <v>30</v>
      </c>
      <c r="U72" s="1" t="str">
        <f>VLOOKUP(T72,personnel!A$1:B$4,2,FALSE)</f>
        <v>Trinidad, Jan Carlo Aquino</v>
      </c>
      <c r="V72" s="3">
        <v>44151.668194444443</v>
      </c>
    </row>
    <row r="73" spans="1:22" x14ac:dyDescent="0.25">
      <c r="A73" s="1" t="s">
        <v>240</v>
      </c>
      <c r="B73" s="1" t="s">
        <v>19</v>
      </c>
      <c r="C73" s="1" t="s">
        <v>20</v>
      </c>
      <c r="D73" s="1" t="s">
        <v>241</v>
      </c>
      <c r="E73" s="2">
        <v>44152</v>
      </c>
      <c r="F73" s="1" t="s">
        <v>242</v>
      </c>
      <c r="G73" s="1" t="s">
        <v>243</v>
      </c>
      <c r="H73" s="1" t="s">
        <v>244</v>
      </c>
      <c r="I73" s="1" t="s">
        <v>95</v>
      </c>
      <c r="J73" s="1" t="s">
        <v>26</v>
      </c>
      <c r="K73" s="1">
        <v>0</v>
      </c>
      <c r="L73" s="1"/>
      <c r="M73" s="1" t="s">
        <v>244</v>
      </c>
      <c r="N73" s="1"/>
      <c r="O73" s="1" t="s">
        <v>245</v>
      </c>
      <c r="P73" s="2">
        <v>44166</v>
      </c>
      <c r="Q73" s="8" t="str">
        <f t="shared" si="1"/>
        <v>NOT SUPPORTED WITHIN 2DAYS</v>
      </c>
      <c r="R73" s="8" t="s">
        <v>1273</v>
      </c>
      <c r="S73" s="1">
        <v>0</v>
      </c>
      <c r="T73" s="1" t="s">
        <v>246</v>
      </c>
      <c r="U73" s="1" t="str">
        <f>VLOOKUP(T73,personnel!A$1:B$4,2,FALSE)</f>
        <v>Macarling, Federico Jr Romano</v>
      </c>
      <c r="V73" s="3">
        <v>44152.37427083333</v>
      </c>
    </row>
    <row r="74" spans="1:22" x14ac:dyDescent="0.25">
      <c r="A74" s="1" t="s">
        <v>247</v>
      </c>
      <c r="B74" s="1" t="s">
        <v>32</v>
      </c>
      <c r="C74" s="1" t="s">
        <v>20</v>
      </c>
      <c r="D74" s="1" t="s">
        <v>248</v>
      </c>
      <c r="E74" s="2">
        <v>44153</v>
      </c>
      <c r="F74" s="1" t="s">
        <v>249</v>
      </c>
      <c r="G74" s="1" t="s">
        <v>133</v>
      </c>
      <c r="H74" s="1"/>
      <c r="I74" s="1" t="s">
        <v>36</v>
      </c>
      <c r="J74" s="1" t="s">
        <v>36</v>
      </c>
      <c r="K74" s="1">
        <v>0</v>
      </c>
      <c r="L74" s="1"/>
      <c r="M74" s="1" t="s">
        <v>160</v>
      </c>
      <c r="N74" s="1"/>
      <c r="O74" s="1" t="s">
        <v>29</v>
      </c>
      <c r="P74" s="2">
        <v>44154</v>
      </c>
      <c r="Q74" s="8" t="str">
        <f t="shared" si="1"/>
        <v>SUPPORTED WITHIN 2DAYS</v>
      </c>
      <c r="R74" s="8" t="s">
        <v>1272</v>
      </c>
      <c r="S74" s="1">
        <v>4</v>
      </c>
      <c r="T74" s="1" t="s">
        <v>30</v>
      </c>
      <c r="U74" s="1" t="str">
        <f>VLOOKUP(T74,personnel!A$1:B$4,2,FALSE)</f>
        <v>Trinidad, Jan Carlo Aquino</v>
      </c>
      <c r="V74" s="3">
        <v>44153.465208333335</v>
      </c>
    </row>
    <row r="75" spans="1:22" x14ac:dyDescent="0.25">
      <c r="A75" s="1" t="s">
        <v>250</v>
      </c>
      <c r="B75" s="1" t="s">
        <v>32</v>
      </c>
      <c r="C75" s="1" t="s">
        <v>20</v>
      </c>
      <c r="D75" s="1" t="s">
        <v>251</v>
      </c>
      <c r="E75" s="2">
        <v>44153</v>
      </c>
      <c r="F75" s="1" t="s">
        <v>252</v>
      </c>
      <c r="G75" s="1" t="s">
        <v>253</v>
      </c>
      <c r="H75" s="1"/>
      <c r="I75" s="1" t="s">
        <v>36</v>
      </c>
      <c r="J75" s="1" t="s">
        <v>36</v>
      </c>
      <c r="K75" s="1">
        <v>0</v>
      </c>
      <c r="L75" s="1"/>
      <c r="M75" s="1" t="s">
        <v>160</v>
      </c>
      <c r="N75" s="1"/>
      <c r="O75" s="1" t="s">
        <v>29</v>
      </c>
      <c r="P75" s="2">
        <v>44154</v>
      </c>
      <c r="Q75" s="8" t="str">
        <f t="shared" si="1"/>
        <v>SUPPORTED WITHIN 2DAYS</v>
      </c>
      <c r="R75" s="8" t="s">
        <v>1272</v>
      </c>
      <c r="S75" s="1">
        <v>4</v>
      </c>
      <c r="T75" s="1" t="s">
        <v>30</v>
      </c>
      <c r="U75" s="1" t="str">
        <f>VLOOKUP(T75,personnel!A$1:B$4,2,FALSE)</f>
        <v>Trinidad, Jan Carlo Aquino</v>
      </c>
      <c r="V75" s="3">
        <v>44153.561041666668</v>
      </c>
    </row>
    <row r="76" spans="1:22" x14ac:dyDescent="0.25">
      <c r="A76" s="1" t="s">
        <v>37</v>
      </c>
      <c r="B76" s="1" t="s">
        <v>32</v>
      </c>
      <c r="C76" s="1" t="s">
        <v>20</v>
      </c>
      <c r="D76" s="1" t="s">
        <v>254</v>
      </c>
      <c r="E76" s="2">
        <v>44153</v>
      </c>
      <c r="F76" s="1" t="s">
        <v>39</v>
      </c>
      <c r="G76" s="1" t="s">
        <v>255</v>
      </c>
      <c r="H76" s="1"/>
      <c r="I76" s="1" t="s">
        <v>36</v>
      </c>
      <c r="J76" s="1" t="s">
        <v>36</v>
      </c>
      <c r="K76" s="1">
        <v>0</v>
      </c>
      <c r="L76" s="1"/>
      <c r="M76" s="1" t="s">
        <v>160</v>
      </c>
      <c r="N76" s="1"/>
      <c r="O76" s="1" t="s">
        <v>29</v>
      </c>
      <c r="P76" s="2">
        <v>44154</v>
      </c>
      <c r="Q76" s="8" t="str">
        <f t="shared" si="1"/>
        <v>SUPPORTED WITHIN 2DAYS</v>
      </c>
      <c r="R76" s="8" t="s">
        <v>1272</v>
      </c>
      <c r="S76" s="1">
        <v>4</v>
      </c>
      <c r="T76" s="1" t="s">
        <v>30</v>
      </c>
      <c r="U76" s="1" t="str">
        <f>VLOOKUP(T76,personnel!A$1:B$4,2,FALSE)</f>
        <v>Trinidad, Jan Carlo Aquino</v>
      </c>
      <c r="V76" s="3">
        <v>44153.561400462961</v>
      </c>
    </row>
    <row r="77" spans="1:22" x14ac:dyDescent="0.25">
      <c r="A77" s="1" t="s">
        <v>37</v>
      </c>
      <c r="B77" s="1" t="s">
        <v>32</v>
      </c>
      <c r="C77" s="1" t="s">
        <v>20</v>
      </c>
      <c r="D77" s="1" t="s">
        <v>256</v>
      </c>
      <c r="E77" s="2">
        <v>44153</v>
      </c>
      <c r="F77" s="1" t="s">
        <v>39</v>
      </c>
      <c r="G77" s="1" t="s">
        <v>257</v>
      </c>
      <c r="H77" s="1"/>
      <c r="I77" s="1" t="s">
        <v>36</v>
      </c>
      <c r="J77" s="1" t="s">
        <v>36</v>
      </c>
      <c r="K77" s="1">
        <v>0</v>
      </c>
      <c r="L77" s="1"/>
      <c r="M77" s="1" t="s">
        <v>160</v>
      </c>
      <c r="N77" s="1"/>
      <c r="O77" s="1" t="s">
        <v>29</v>
      </c>
      <c r="P77" s="2">
        <v>44154</v>
      </c>
      <c r="Q77" s="8" t="str">
        <f t="shared" si="1"/>
        <v>SUPPORTED WITHIN 2DAYS</v>
      </c>
      <c r="R77" s="8" t="s">
        <v>1272</v>
      </c>
      <c r="S77" s="1">
        <v>4</v>
      </c>
      <c r="T77" s="1" t="s">
        <v>30</v>
      </c>
      <c r="U77" s="1" t="str">
        <f>VLOOKUP(T77,personnel!A$1:B$4,2,FALSE)</f>
        <v>Trinidad, Jan Carlo Aquino</v>
      </c>
      <c r="V77" s="3">
        <v>44153.603854166664</v>
      </c>
    </row>
    <row r="78" spans="1:22" x14ac:dyDescent="0.25">
      <c r="A78" s="1" t="s">
        <v>78</v>
      </c>
      <c r="B78" s="1" t="s">
        <v>32</v>
      </c>
      <c r="C78" s="1" t="s">
        <v>20</v>
      </c>
      <c r="D78" s="1" t="s">
        <v>258</v>
      </c>
      <c r="E78" s="2">
        <v>44153</v>
      </c>
      <c r="F78" s="1" t="s">
        <v>80</v>
      </c>
      <c r="G78" s="1" t="s">
        <v>259</v>
      </c>
      <c r="H78" s="1"/>
      <c r="I78" s="1" t="s">
        <v>36</v>
      </c>
      <c r="J78" s="1" t="s">
        <v>36</v>
      </c>
      <c r="K78" s="1">
        <v>0</v>
      </c>
      <c r="L78" s="1"/>
      <c r="M78" s="1" t="s">
        <v>160</v>
      </c>
      <c r="N78" s="1" t="s">
        <v>260</v>
      </c>
      <c r="O78" s="1" t="s">
        <v>29</v>
      </c>
      <c r="P78" s="2">
        <v>44154</v>
      </c>
      <c r="Q78" s="8" t="str">
        <f t="shared" si="1"/>
        <v>SUPPORTED WITHIN 2DAYS</v>
      </c>
      <c r="R78" s="8" t="s">
        <v>1272</v>
      </c>
      <c r="S78" s="1">
        <v>4</v>
      </c>
      <c r="T78" s="1" t="s">
        <v>30</v>
      </c>
      <c r="U78" s="1" t="str">
        <f>VLOOKUP(T78,personnel!A$1:B$4,2,FALSE)</f>
        <v>Trinidad, Jan Carlo Aquino</v>
      </c>
      <c r="V78" s="3">
        <v>44153.604421296295</v>
      </c>
    </row>
    <row r="79" spans="1:22" x14ac:dyDescent="0.25">
      <c r="A79" s="1" t="s">
        <v>37</v>
      </c>
      <c r="B79" s="1" t="s">
        <v>32</v>
      </c>
      <c r="C79" s="1" t="s">
        <v>20</v>
      </c>
      <c r="D79" s="1" t="s">
        <v>261</v>
      </c>
      <c r="E79" s="2">
        <v>44153</v>
      </c>
      <c r="F79" s="1" t="s">
        <v>39</v>
      </c>
      <c r="G79" s="1" t="s">
        <v>262</v>
      </c>
      <c r="H79" s="1"/>
      <c r="I79" s="1" t="s">
        <v>36</v>
      </c>
      <c r="J79" s="1" t="s">
        <v>36</v>
      </c>
      <c r="K79" s="1">
        <v>0</v>
      </c>
      <c r="L79" s="1"/>
      <c r="M79" s="1" t="s">
        <v>160</v>
      </c>
      <c r="N79" s="1" t="s">
        <v>260</v>
      </c>
      <c r="O79" s="1" t="s">
        <v>29</v>
      </c>
      <c r="P79" s="2">
        <v>44154</v>
      </c>
      <c r="Q79" s="8" t="str">
        <f t="shared" si="1"/>
        <v>SUPPORTED WITHIN 2DAYS</v>
      </c>
      <c r="R79" s="8" t="s">
        <v>1272</v>
      </c>
      <c r="S79" s="1">
        <v>4</v>
      </c>
      <c r="T79" s="1" t="s">
        <v>30</v>
      </c>
      <c r="U79" s="1" t="str">
        <f>VLOOKUP(T79,personnel!A$1:B$4,2,FALSE)</f>
        <v>Trinidad, Jan Carlo Aquino</v>
      </c>
      <c r="V79" s="3">
        <v>44153.647418981483</v>
      </c>
    </row>
    <row r="80" spans="1:22" x14ac:dyDescent="0.25">
      <c r="A80" s="1" t="s">
        <v>37</v>
      </c>
      <c r="B80" s="1" t="s">
        <v>32</v>
      </c>
      <c r="C80" s="1" t="s">
        <v>20</v>
      </c>
      <c r="D80" s="1" t="s">
        <v>263</v>
      </c>
      <c r="E80" s="2">
        <v>44153</v>
      </c>
      <c r="F80" s="1" t="s">
        <v>39</v>
      </c>
      <c r="G80" s="1" t="s">
        <v>264</v>
      </c>
      <c r="H80" s="1"/>
      <c r="I80" s="1" t="s">
        <v>36</v>
      </c>
      <c r="J80" s="1" t="s">
        <v>36</v>
      </c>
      <c r="K80" s="1">
        <v>0</v>
      </c>
      <c r="L80" s="1"/>
      <c r="M80" s="1" t="s">
        <v>160</v>
      </c>
      <c r="N80" s="1" t="s">
        <v>260</v>
      </c>
      <c r="O80" s="1" t="s">
        <v>29</v>
      </c>
      <c r="P80" s="2">
        <v>44154</v>
      </c>
      <c r="Q80" s="8" t="str">
        <f t="shared" si="1"/>
        <v>SUPPORTED WITHIN 2DAYS</v>
      </c>
      <c r="R80" s="8" t="s">
        <v>1272</v>
      </c>
      <c r="S80" s="1">
        <v>4</v>
      </c>
      <c r="T80" s="1" t="s">
        <v>30</v>
      </c>
      <c r="U80" s="1" t="str">
        <f>VLOOKUP(T80,personnel!A$1:B$4,2,FALSE)</f>
        <v>Trinidad, Jan Carlo Aquino</v>
      </c>
      <c r="V80" s="3">
        <v>44153.665914351855</v>
      </c>
    </row>
    <row r="81" spans="1:22" x14ac:dyDescent="0.25">
      <c r="A81" s="1" t="s">
        <v>265</v>
      </c>
      <c r="B81" s="1" t="s">
        <v>32</v>
      </c>
      <c r="C81" s="1" t="s">
        <v>20</v>
      </c>
      <c r="D81" s="1" t="s">
        <v>266</v>
      </c>
      <c r="E81" s="2">
        <v>44153</v>
      </c>
      <c r="F81" s="1" t="s">
        <v>267</v>
      </c>
      <c r="G81" s="1" t="s">
        <v>268</v>
      </c>
      <c r="H81" s="1"/>
      <c r="I81" s="1" t="s">
        <v>36</v>
      </c>
      <c r="J81" s="1" t="s">
        <v>36</v>
      </c>
      <c r="K81" s="1">
        <v>0</v>
      </c>
      <c r="L81" s="1"/>
      <c r="M81" s="1" t="s">
        <v>160</v>
      </c>
      <c r="N81" s="1" t="s">
        <v>260</v>
      </c>
      <c r="O81" s="1" t="s">
        <v>29</v>
      </c>
      <c r="P81" s="2">
        <v>44154</v>
      </c>
      <c r="Q81" s="8" t="str">
        <f t="shared" si="1"/>
        <v>SUPPORTED WITHIN 2DAYS</v>
      </c>
      <c r="R81" s="8" t="s">
        <v>1272</v>
      </c>
      <c r="S81" s="1">
        <v>4</v>
      </c>
      <c r="T81" s="1" t="s">
        <v>30</v>
      </c>
      <c r="U81" s="1" t="str">
        <f>VLOOKUP(T81,personnel!A$1:B$4,2,FALSE)</f>
        <v>Trinidad, Jan Carlo Aquino</v>
      </c>
      <c r="V81" s="3">
        <v>44153.670208333337</v>
      </c>
    </row>
    <row r="82" spans="1:22" x14ac:dyDescent="0.25">
      <c r="A82" s="1" t="s">
        <v>61</v>
      </c>
      <c r="B82" s="1" t="s">
        <v>19</v>
      </c>
      <c r="C82" s="1" t="s">
        <v>166</v>
      </c>
      <c r="D82" s="1" t="s">
        <v>269</v>
      </c>
      <c r="E82" s="2">
        <v>44149</v>
      </c>
      <c r="F82" s="1" t="s">
        <v>63</v>
      </c>
      <c r="G82" s="1" t="s">
        <v>270</v>
      </c>
      <c r="H82" s="1" t="s">
        <v>271</v>
      </c>
      <c r="I82" s="1" t="s">
        <v>95</v>
      </c>
      <c r="J82" s="1" t="s">
        <v>272</v>
      </c>
      <c r="K82" s="1">
        <v>0</v>
      </c>
      <c r="L82" s="1"/>
      <c r="M82" s="1" t="s">
        <v>273</v>
      </c>
      <c r="N82" s="1"/>
      <c r="O82" s="1" t="s">
        <v>274</v>
      </c>
      <c r="P82" s="2">
        <v>44154</v>
      </c>
      <c r="Q82" s="8" t="str">
        <f t="shared" si="1"/>
        <v>NOT SUPPORTED WITHIN 2DAYS</v>
      </c>
      <c r="R82" s="8" t="s">
        <v>1273</v>
      </c>
      <c r="S82" s="1">
        <v>0</v>
      </c>
      <c r="T82" s="1" t="s">
        <v>275</v>
      </c>
      <c r="U82" s="1" t="str">
        <f>VLOOKUP(T82,personnel!A$1:B$4,2,FALSE)</f>
        <v>Cuison, Bernard Ramos</v>
      </c>
      <c r="V82" s="3">
        <v>44154.371469907404</v>
      </c>
    </row>
    <row r="83" spans="1:22" x14ac:dyDescent="0.25">
      <c r="A83" s="1" t="s">
        <v>61</v>
      </c>
      <c r="B83" s="1" t="s">
        <v>19</v>
      </c>
      <c r="C83" s="1" t="s">
        <v>166</v>
      </c>
      <c r="D83" s="1" t="s">
        <v>276</v>
      </c>
      <c r="E83" s="2">
        <v>44136</v>
      </c>
      <c r="F83" s="1" t="s">
        <v>63</v>
      </c>
      <c r="G83" s="1" t="s">
        <v>277</v>
      </c>
      <c r="H83" s="1"/>
      <c r="I83" s="1" t="s">
        <v>95</v>
      </c>
      <c r="J83" s="1" t="s">
        <v>272</v>
      </c>
      <c r="K83" s="1">
        <v>0</v>
      </c>
      <c r="L83" s="1"/>
      <c r="M83" s="1"/>
      <c r="N83" s="1"/>
      <c r="O83" s="1"/>
      <c r="P83" s="2">
        <v>44154</v>
      </c>
      <c r="Q83" s="8" t="str">
        <f t="shared" si="1"/>
        <v>NOT SUPPORTED WITHIN 2DAYS</v>
      </c>
      <c r="R83" s="8" t="s">
        <v>1273</v>
      </c>
      <c r="S83" s="1">
        <v>0</v>
      </c>
      <c r="T83" s="1" t="s">
        <v>275</v>
      </c>
      <c r="U83" s="1" t="str">
        <f>VLOOKUP(T83,personnel!A$1:B$4,2,FALSE)</f>
        <v>Cuison, Bernard Ramos</v>
      </c>
      <c r="V83" s="3">
        <v>44154.373576388891</v>
      </c>
    </row>
    <row r="84" spans="1:22" x14ac:dyDescent="0.25">
      <c r="A84" s="1" t="s">
        <v>61</v>
      </c>
      <c r="B84" s="1" t="s">
        <v>19</v>
      </c>
      <c r="C84" s="1" t="s">
        <v>166</v>
      </c>
      <c r="D84" s="1" t="s">
        <v>278</v>
      </c>
      <c r="E84" s="2">
        <v>44149</v>
      </c>
      <c r="F84" s="1" t="s">
        <v>63</v>
      </c>
      <c r="G84" s="1" t="s">
        <v>277</v>
      </c>
      <c r="H84" s="1"/>
      <c r="I84" s="1" t="s">
        <v>95</v>
      </c>
      <c r="J84" s="1" t="s">
        <v>272</v>
      </c>
      <c r="K84" s="1">
        <v>0</v>
      </c>
      <c r="L84" s="1"/>
      <c r="M84" s="1"/>
      <c r="N84" s="1"/>
      <c r="O84" s="1"/>
      <c r="P84" s="2">
        <v>44154</v>
      </c>
      <c r="Q84" s="8" t="str">
        <f t="shared" si="1"/>
        <v>NOT SUPPORTED WITHIN 2DAYS</v>
      </c>
      <c r="R84" s="8" t="s">
        <v>1273</v>
      </c>
      <c r="S84" s="1">
        <v>0</v>
      </c>
      <c r="T84" s="1" t="s">
        <v>275</v>
      </c>
      <c r="U84" s="1" t="str">
        <f>VLOOKUP(T84,personnel!A$1:B$4,2,FALSE)</f>
        <v>Cuison, Bernard Ramos</v>
      </c>
      <c r="V84" s="3">
        <v>44154.37537037037</v>
      </c>
    </row>
    <row r="85" spans="1:22" x14ac:dyDescent="0.25">
      <c r="A85" s="1" t="s">
        <v>279</v>
      </c>
      <c r="B85" s="1" t="s">
        <v>19</v>
      </c>
      <c r="C85" s="1" t="s">
        <v>166</v>
      </c>
      <c r="D85" s="1" t="s">
        <v>280</v>
      </c>
      <c r="E85" s="2">
        <v>44153</v>
      </c>
      <c r="F85" s="1" t="s">
        <v>281</v>
      </c>
      <c r="G85" s="1" t="s">
        <v>282</v>
      </c>
      <c r="H85" s="1"/>
      <c r="I85" s="1" t="s">
        <v>170</v>
      </c>
      <c r="J85" s="1" t="s">
        <v>272</v>
      </c>
      <c r="K85" s="1">
        <v>0</v>
      </c>
      <c r="L85" s="1"/>
      <c r="M85" s="1"/>
      <c r="N85" s="1"/>
      <c r="O85" s="1"/>
      <c r="P85" s="2">
        <v>44154</v>
      </c>
      <c r="Q85" s="8" t="str">
        <f t="shared" si="1"/>
        <v>SUPPORTED WITHIN 2DAYS</v>
      </c>
      <c r="R85" s="8" t="s">
        <v>1272</v>
      </c>
      <c r="S85" s="1">
        <v>0</v>
      </c>
      <c r="T85" s="1" t="s">
        <v>275</v>
      </c>
      <c r="U85" s="1" t="str">
        <f>VLOOKUP(T85,personnel!A$1:B$4,2,FALSE)</f>
        <v>Cuison, Bernard Ramos</v>
      </c>
      <c r="V85" s="3">
        <v>44154.381550925929</v>
      </c>
    </row>
    <row r="86" spans="1:22" x14ac:dyDescent="0.25">
      <c r="A86" s="1" t="s">
        <v>283</v>
      </c>
      <c r="B86" s="1" t="s">
        <v>19</v>
      </c>
      <c r="C86" s="1" t="s">
        <v>20</v>
      </c>
      <c r="D86" s="1" t="s">
        <v>284</v>
      </c>
      <c r="E86" s="2">
        <v>44154</v>
      </c>
      <c r="F86" s="1" t="s">
        <v>285</v>
      </c>
      <c r="G86" s="1" t="s">
        <v>286</v>
      </c>
      <c r="H86" s="1"/>
      <c r="I86" s="1" t="s">
        <v>41</v>
      </c>
      <c r="J86" s="1" t="s">
        <v>287</v>
      </c>
      <c r="K86" s="1">
        <v>0</v>
      </c>
      <c r="L86" s="1"/>
      <c r="M86" s="1" t="s">
        <v>288</v>
      </c>
      <c r="N86" s="1"/>
      <c r="O86" s="1" t="s">
        <v>29</v>
      </c>
      <c r="P86" s="2">
        <v>44158</v>
      </c>
      <c r="Q86" s="8" t="str">
        <f t="shared" si="1"/>
        <v>NOT SUPPORTED WITHIN 2DAYS</v>
      </c>
      <c r="R86" s="8" t="s">
        <v>1273</v>
      </c>
      <c r="S86" s="1">
        <v>0</v>
      </c>
      <c r="T86" s="1" t="s">
        <v>30</v>
      </c>
      <c r="U86" s="1" t="str">
        <f>VLOOKUP(T86,personnel!A$1:B$4,2,FALSE)</f>
        <v>Trinidad, Jan Carlo Aquino</v>
      </c>
      <c r="V86" s="3">
        <v>44154.389363425929</v>
      </c>
    </row>
    <row r="87" spans="1:22" x14ac:dyDescent="0.25">
      <c r="A87" s="1" t="s">
        <v>289</v>
      </c>
      <c r="B87" s="1" t="s">
        <v>19</v>
      </c>
      <c r="C87" s="1" t="s">
        <v>20</v>
      </c>
      <c r="D87" s="1" t="s">
        <v>290</v>
      </c>
      <c r="E87" s="2">
        <v>44154</v>
      </c>
      <c r="F87" s="1" t="s">
        <v>291</v>
      </c>
      <c r="G87" s="1" t="s">
        <v>292</v>
      </c>
      <c r="H87" s="1" t="s">
        <v>293</v>
      </c>
      <c r="I87" s="1" t="s">
        <v>41</v>
      </c>
      <c r="J87" s="1" t="s">
        <v>171</v>
      </c>
      <c r="K87" s="1">
        <v>0</v>
      </c>
      <c r="L87" s="1"/>
      <c r="M87" s="1" t="s">
        <v>77</v>
      </c>
      <c r="N87" s="1"/>
      <c r="O87" s="1" t="s">
        <v>29</v>
      </c>
      <c r="P87" s="2">
        <v>44155</v>
      </c>
      <c r="Q87" s="8" t="str">
        <f t="shared" si="1"/>
        <v>SUPPORTED WITHIN 2DAYS</v>
      </c>
      <c r="R87" s="8" t="s">
        <v>1272</v>
      </c>
      <c r="S87" s="1">
        <v>0</v>
      </c>
      <c r="T87" s="1" t="s">
        <v>30</v>
      </c>
      <c r="U87" s="1" t="str">
        <f>VLOOKUP(T87,personnel!A$1:B$4,2,FALSE)</f>
        <v>Trinidad, Jan Carlo Aquino</v>
      </c>
      <c r="V87" s="3">
        <v>44154.389861111114</v>
      </c>
    </row>
    <row r="88" spans="1:22" x14ac:dyDescent="0.25">
      <c r="A88" s="1" t="s">
        <v>279</v>
      </c>
      <c r="B88" s="1" t="s">
        <v>19</v>
      </c>
      <c r="C88" s="1" t="s">
        <v>166</v>
      </c>
      <c r="D88" s="1" t="s">
        <v>294</v>
      </c>
      <c r="E88" s="2">
        <v>44153</v>
      </c>
      <c r="F88" s="1" t="s">
        <v>281</v>
      </c>
      <c r="G88" s="1" t="s">
        <v>295</v>
      </c>
      <c r="H88" s="1" t="s">
        <v>296</v>
      </c>
      <c r="I88" s="1" t="s">
        <v>170</v>
      </c>
      <c r="J88" s="1" t="s">
        <v>272</v>
      </c>
      <c r="K88" s="1">
        <v>0</v>
      </c>
      <c r="L88" s="1"/>
      <c r="M88" s="1" t="s">
        <v>273</v>
      </c>
      <c r="N88" s="1"/>
      <c r="O88" s="1" t="s">
        <v>274</v>
      </c>
      <c r="P88" s="2">
        <v>44154</v>
      </c>
      <c r="Q88" s="8" t="str">
        <f t="shared" si="1"/>
        <v>SUPPORTED WITHIN 2DAYS</v>
      </c>
      <c r="R88" s="8" t="s">
        <v>1272</v>
      </c>
      <c r="S88" s="1">
        <v>0</v>
      </c>
      <c r="T88" s="1" t="s">
        <v>275</v>
      </c>
      <c r="U88" s="1" t="str">
        <f>VLOOKUP(T88,personnel!A$1:B$4,2,FALSE)</f>
        <v>Cuison, Bernard Ramos</v>
      </c>
      <c r="V88" s="3">
        <v>44154.391770833332</v>
      </c>
    </row>
    <row r="89" spans="1:22" x14ac:dyDescent="0.25">
      <c r="A89" s="1" t="s">
        <v>37</v>
      </c>
      <c r="B89" s="1" t="s">
        <v>32</v>
      </c>
      <c r="C89" s="1" t="s">
        <v>20</v>
      </c>
      <c r="D89" s="1" t="s">
        <v>297</v>
      </c>
      <c r="E89" s="2">
        <v>44154</v>
      </c>
      <c r="F89" s="1" t="s">
        <v>39</v>
      </c>
      <c r="G89" s="1" t="s">
        <v>298</v>
      </c>
      <c r="H89" s="1"/>
      <c r="I89" s="1" t="s">
        <v>36</v>
      </c>
      <c r="J89" s="1" t="s">
        <v>36</v>
      </c>
      <c r="K89" s="1">
        <v>0</v>
      </c>
      <c r="L89" s="1"/>
      <c r="M89" s="1" t="s">
        <v>160</v>
      </c>
      <c r="N89" s="1"/>
      <c r="O89" s="1" t="s">
        <v>29</v>
      </c>
      <c r="P89" s="2">
        <v>44154</v>
      </c>
      <c r="Q89" s="8" t="str">
        <f t="shared" si="1"/>
        <v>SUPPORTED WITHIN 2DAYS</v>
      </c>
      <c r="R89" s="8" t="s">
        <v>1272</v>
      </c>
      <c r="S89" s="1">
        <v>4</v>
      </c>
      <c r="T89" s="1" t="s">
        <v>30</v>
      </c>
      <c r="U89" s="1" t="str">
        <f>VLOOKUP(T89,personnel!A$1:B$4,2,FALSE)</f>
        <v>Trinidad, Jan Carlo Aquino</v>
      </c>
      <c r="V89" s="3">
        <v>44154.392453703702</v>
      </c>
    </row>
    <row r="90" spans="1:22" x14ac:dyDescent="0.25">
      <c r="A90" s="1" t="s">
        <v>172</v>
      </c>
      <c r="B90" s="1" t="s">
        <v>19</v>
      </c>
      <c r="C90" s="1" t="s">
        <v>166</v>
      </c>
      <c r="D90" s="1" t="s">
        <v>299</v>
      </c>
      <c r="E90" s="2">
        <v>44152</v>
      </c>
      <c r="F90" s="1" t="s">
        <v>174</v>
      </c>
      <c r="G90" s="1" t="s">
        <v>300</v>
      </c>
      <c r="H90" s="1" t="s">
        <v>277</v>
      </c>
      <c r="I90" s="1" t="s">
        <v>95</v>
      </c>
      <c r="J90" s="1" t="s">
        <v>272</v>
      </c>
      <c r="K90" s="1">
        <v>0</v>
      </c>
      <c r="L90" s="1"/>
      <c r="M90" s="1" t="s">
        <v>301</v>
      </c>
      <c r="N90" s="1"/>
      <c r="O90" s="1" t="s">
        <v>274</v>
      </c>
      <c r="P90" s="2">
        <v>44154</v>
      </c>
      <c r="Q90" s="8" t="str">
        <f t="shared" si="1"/>
        <v>SUPPORTED WITHIN 2DAYS</v>
      </c>
      <c r="R90" s="8" t="s">
        <v>1272</v>
      </c>
      <c r="S90" s="1">
        <v>0</v>
      </c>
      <c r="T90" s="1" t="s">
        <v>275</v>
      </c>
      <c r="U90" s="1" t="str">
        <f>VLOOKUP(T90,personnel!A$1:B$4,2,FALSE)</f>
        <v>Cuison, Bernard Ramos</v>
      </c>
      <c r="V90" s="3">
        <v>44154.394930555558</v>
      </c>
    </row>
    <row r="91" spans="1:22" x14ac:dyDescent="0.25">
      <c r="A91" s="1" t="s">
        <v>78</v>
      </c>
      <c r="B91" s="1" t="s">
        <v>32</v>
      </c>
      <c r="C91" s="1" t="s">
        <v>20</v>
      </c>
      <c r="D91" s="1" t="s">
        <v>302</v>
      </c>
      <c r="E91" s="2">
        <v>44154</v>
      </c>
      <c r="F91" s="1" t="s">
        <v>80</v>
      </c>
      <c r="G91" s="1" t="s">
        <v>303</v>
      </c>
      <c r="H91" s="1"/>
      <c r="I91" s="1" t="s">
        <v>36</v>
      </c>
      <c r="J91" s="1" t="s">
        <v>36</v>
      </c>
      <c r="K91" s="1">
        <v>0</v>
      </c>
      <c r="L91" s="1"/>
      <c r="M91" s="1" t="s">
        <v>160</v>
      </c>
      <c r="N91" s="1"/>
      <c r="O91" s="1" t="s">
        <v>29</v>
      </c>
      <c r="P91" s="2">
        <v>44154</v>
      </c>
      <c r="Q91" s="8" t="str">
        <f t="shared" si="1"/>
        <v>SUPPORTED WITHIN 2DAYS</v>
      </c>
      <c r="R91" s="8" t="s">
        <v>1272</v>
      </c>
      <c r="S91" s="1">
        <v>4</v>
      </c>
      <c r="T91" s="1" t="s">
        <v>30</v>
      </c>
      <c r="U91" s="1" t="str">
        <f>VLOOKUP(T91,personnel!A$1:B$4,2,FALSE)</f>
        <v>Trinidad, Jan Carlo Aquino</v>
      </c>
      <c r="V91" s="3">
        <v>44154.409363425926</v>
      </c>
    </row>
    <row r="92" spans="1:22" x14ac:dyDescent="0.25">
      <c r="A92" s="1" t="s">
        <v>18</v>
      </c>
      <c r="B92" s="1" t="s">
        <v>32</v>
      </c>
      <c r="C92" s="1" t="s">
        <v>20</v>
      </c>
      <c r="D92" s="1" t="s">
        <v>304</v>
      </c>
      <c r="E92" s="2">
        <v>44154</v>
      </c>
      <c r="F92" s="1" t="s">
        <v>22</v>
      </c>
      <c r="G92" s="1" t="s">
        <v>305</v>
      </c>
      <c r="H92" s="1"/>
      <c r="I92" s="1" t="s">
        <v>41</v>
      </c>
      <c r="J92" s="1" t="s">
        <v>287</v>
      </c>
      <c r="K92" s="1">
        <v>0</v>
      </c>
      <c r="L92" s="1"/>
      <c r="M92" s="1" t="s">
        <v>306</v>
      </c>
      <c r="N92" s="1"/>
      <c r="O92" s="1" t="s">
        <v>29</v>
      </c>
      <c r="P92" s="2">
        <v>44158</v>
      </c>
      <c r="Q92" s="8" t="str">
        <f t="shared" si="1"/>
        <v>NOT SUPPORTED WITHIN 2DAYS</v>
      </c>
      <c r="R92" s="8" t="s">
        <v>1273</v>
      </c>
      <c r="S92" s="1">
        <v>4</v>
      </c>
      <c r="T92" s="1" t="s">
        <v>30</v>
      </c>
      <c r="U92" s="1" t="str">
        <f>VLOOKUP(T92,personnel!A$1:B$4,2,FALSE)</f>
        <v>Trinidad, Jan Carlo Aquino</v>
      </c>
      <c r="V92" s="3">
        <v>44154.491400462961</v>
      </c>
    </row>
    <row r="93" spans="1:22" x14ac:dyDescent="0.25">
      <c r="A93" s="1" t="s">
        <v>307</v>
      </c>
      <c r="B93" s="1" t="s">
        <v>32</v>
      </c>
      <c r="C93" s="1" t="s">
        <v>20</v>
      </c>
      <c r="D93" s="1" t="s">
        <v>308</v>
      </c>
      <c r="E93" s="2">
        <v>44154</v>
      </c>
      <c r="F93" s="1" t="s">
        <v>309</v>
      </c>
      <c r="G93" s="1" t="s">
        <v>310</v>
      </c>
      <c r="H93" s="1"/>
      <c r="I93" s="1" t="s">
        <v>41</v>
      </c>
      <c r="J93" s="1" t="s">
        <v>287</v>
      </c>
      <c r="K93" s="1">
        <v>0</v>
      </c>
      <c r="L93" s="1"/>
      <c r="M93" s="1" t="s">
        <v>306</v>
      </c>
      <c r="N93" s="1"/>
      <c r="O93" s="1" t="s">
        <v>29</v>
      </c>
      <c r="P93" s="2">
        <v>44158</v>
      </c>
      <c r="Q93" s="8" t="str">
        <f t="shared" si="1"/>
        <v>NOT SUPPORTED WITHIN 2DAYS</v>
      </c>
      <c r="R93" s="8" t="s">
        <v>1273</v>
      </c>
      <c r="S93" s="1">
        <v>4</v>
      </c>
      <c r="T93" s="1" t="s">
        <v>30</v>
      </c>
      <c r="U93" s="1" t="str">
        <f>VLOOKUP(T93,personnel!A$1:B$4,2,FALSE)</f>
        <v>Trinidad, Jan Carlo Aquino</v>
      </c>
      <c r="V93" s="3">
        <v>44154.586875000001</v>
      </c>
    </row>
    <row r="94" spans="1:22" x14ac:dyDescent="0.25">
      <c r="A94" s="1" t="s">
        <v>78</v>
      </c>
      <c r="B94" s="1" t="s">
        <v>32</v>
      </c>
      <c r="C94" s="1" t="s">
        <v>20</v>
      </c>
      <c r="D94" s="1" t="s">
        <v>311</v>
      </c>
      <c r="E94" s="2">
        <v>44154</v>
      </c>
      <c r="F94" s="1" t="s">
        <v>80</v>
      </c>
      <c r="G94" s="1" t="s">
        <v>312</v>
      </c>
      <c r="H94" s="1"/>
      <c r="I94" s="1" t="s">
        <v>41</v>
      </c>
      <c r="J94" s="1" t="s">
        <v>287</v>
      </c>
      <c r="K94" s="1">
        <v>0</v>
      </c>
      <c r="L94" s="1"/>
      <c r="M94" s="1" t="s">
        <v>306</v>
      </c>
      <c r="N94" s="1" t="s">
        <v>313</v>
      </c>
      <c r="O94" s="1" t="s">
        <v>29</v>
      </c>
      <c r="P94" s="2">
        <v>44158</v>
      </c>
      <c r="Q94" s="8" t="str">
        <f t="shared" si="1"/>
        <v>NOT SUPPORTED WITHIN 2DAYS</v>
      </c>
      <c r="R94" s="8" t="s">
        <v>1273</v>
      </c>
      <c r="S94" s="1">
        <v>4</v>
      </c>
      <c r="T94" s="1" t="s">
        <v>30</v>
      </c>
      <c r="U94" s="1" t="str">
        <f>VLOOKUP(T94,personnel!A$1:B$4,2,FALSE)</f>
        <v>Trinidad, Jan Carlo Aquino</v>
      </c>
      <c r="V94" s="3">
        <v>44154.677511574075</v>
      </c>
    </row>
    <row r="95" spans="1:22" x14ac:dyDescent="0.25">
      <c r="A95" s="1" t="s">
        <v>314</v>
      </c>
      <c r="B95" s="1" t="s">
        <v>32</v>
      </c>
      <c r="C95" s="1" t="s">
        <v>20</v>
      </c>
      <c r="D95" s="1" t="s">
        <v>315</v>
      </c>
      <c r="E95" s="2">
        <v>44154</v>
      </c>
      <c r="F95" s="1" t="s">
        <v>316</v>
      </c>
      <c r="G95" s="1" t="s">
        <v>317</v>
      </c>
      <c r="H95" s="1"/>
      <c r="I95" s="1" t="s">
        <v>41</v>
      </c>
      <c r="J95" s="1" t="s">
        <v>287</v>
      </c>
      <c r="K95" s="1">
        <v>0</v>
      </c>
      <c r="L95" s="1"/>
      <c r="M95" s="1" t="s">
        <v>318</v>
      </c>
      <c r="N95" s="1" t="s">
        <v>313</v>
      </c>
      <c r="O95" s="1" t="s">
        <v>29</v>
      </c>
      <c r="P95" s="2">
        <v>44158</v>
      </c>
      <c r="Q95" s="8" t="str">
        <f t="shared" si="1"/>
        <v>NOT SUPPORTED WITHIN 2DAYS</v>
      </c>
      <c r="R95" s="8" t="s">
        <v>1273</v>
      </c>
      <c r="S95" s="1">
        <v>4</v>
      </c>
      <c r="T95" s="1" t="s">
        <v>30</v>
      </c>
      <c r="U95" s="1" t="str">
        <f>VLOOKUP(T95,personnel!A$1:B$4,2,FALSE)</f>
        <v>Trinidad, Jan Carlo Aquino</v>
      </c>
      <c r="V95" s="3">
        <v>44154.677905092591</v>
      </c>
    </row>
    <row r="96" spans="1:22" x14ac:dyDescent="0.25">
      <c r="A96" s="1" t="s">
        <v>319</v>
      </c>
      <c r="B96" s="1" t="s">
        <v>32</v>
      </c>
      <c r="C96" s="1" t="s">
        <v>20</v>
      </c>
      <c r="D96" s="1" t="s">
        <v>320</v>
      </c>
      <c r="E96" s="2">
        <v>44155</v>
      </c>
      <c r="F96" s="1" t="s">
        <v>321</v>
      </c>
      <c r="G96" s="1" t="s">
        <v>322</v>
      </c>
      <c r="H96" s="1"/>
      <c r="I96" s="1" t="s">
        <v>41</v>
      </c>
      <c r="J96" s="1" t="s">
        <v>287</v>
      </c>
      <c r="K96" s="1">
        <v>0</v>
      </c>
      <c r="L96" s="1"/>
      <c r="M96" s="1" t="s">
        <v>306</v>
      </c>
      <c r="N96" s="1"/>
      <c r="O96" s="1" t="s">
        <v>29</v>
      </c>
      <c r="P96" s="2">
        <v>44158</v>
      </c>
      <c r="Q96" s="8" t="str">
        <f t="shared" si="1"/>
        <v>NOT SUPPORTED WITHIN 2DAYS</v>
      </c>
      <c r="R96" s="8" t="s">
        <v>1273</v>
      </c>
      <c r="S96" s="1">
        <v>4</v>
      </c>
      <c r="T96" s="1" t="s">
        <v>30</v>
      </c>
      <c r="U96" s="1" t="str">
        <f>VLOOKUP(T96,personnel!A$1:B$4,2,FALSE)</f>
        <v>Trinidad, Jan Carlo Aquino</v>
      </c>
      <c r="V96" s="3">
        <v>44155.374050925922</v>
      </c>
    </row>
    <row r="97" spans="1:22" x14ac:dyDescent="0.25">
      <c r="A97" s="1" t="s">
        <v>37</v>
      </c>
      <c r="B97" s="1" t="s">
        <v>19</v>
      </c>
      <c r="C97" s="1" t="s">
        <v>166</v>
      </c>
      <c r="D97" s="1" t="s">
        <v>323</v>
      </c>
      <c r="E97" s="2">
        <v>44154</v>
      </c>
      <c r="F97" s="1" t="s">
        <v>39</v>
      </c>
      <c r="G97" s="1" t="s">
        <v>324</v>
      </c>
      <c r="H97" s="1" t="s">
        <v>325</v>
      </c>
      <c r="I97" s="1" t="s">
        <v>25</v>
      </c>
      <c r="J97" s="1" t="s">
        <v>42</v>
      </c>
      <c r="K97" s="1">
        <v>0</v>
      </c>
      <c r="L97" s="1"/>
      <c r="M97" s="1" t="s">
        <v>326</v>
      </c>
      <c r="N97" s="1"/>
      <c r="O97" s="1" t="s">
        <v>274</v>
      </c>
      <c r="P97" s="2">
        <v>44155</v>
      </c>
      <c r="Q97" s="8" t="str">
        <f t="shared" si="1"/>
        <v>SUPPORTED WITHIN 2DAYS</v>
      </c>
      <c r="R97" s="8" t="s">
        <v>1272</v>
      </c>
      <c r="S97" s="1">
        <v>0</v>
      </c>
      <c r="T97" s="1" t="s">
        <v>275</v>
      </c>
      <c r="U97" s="1" t="str">
        <f>VLOOKUP(T97,personnel!A$1:B$4,2,FALSE)</f>
        <v>Cuison, Bernard Ramos</v>
      </c>
      <c r="V97" s="3">
        <v>44155.388402777775</v>
      </c>
    </row>
    <row r="98" spans="1:22" x14ac:dyDescent="0.25">
      <c r="A98" s="1" t="s">
        <v>78</v>
      </c>
      <c r="B98" s="1" t="s">
        <v>32</v>
      </c>
      <c r="C98" s="1" t="s">
        <v>20</v>
      </c>
      <c r="D98" s="1" t="s">
        <v>327</v>
      </c>
      <c r="E98" s="2">
        <v>44155</v>
      </c>
      <c r="F98" s="1" t="s">
        <v>80</v>
      </c>
      <c r="G98" s="1" t="s">
        <v>328</v>
      </c>
      <c r="H98" s="1"/>
      <c r="I98" s="1" t="s">
        <v>41</v>
      </c>
      <c r="J98" s="1" t="s">
        <v>287</v>
      </c>
      <c r="K98" s="1">
        <v>0</v>
      </c>
      <c r="L98" s="1"/>
      <c r="M98" s="1" t="s">
        <v>306</v>
      </c>
      <c r="N98" s="1"/>
      <c r="O98" s="1" t="s">
        <v>29</v>
      </c>
      <c r="P98" s="2">
        <v>44158</v>
      </c>
      <c r="Q98" s="8" t="str">
        <f t="shared" si="1"/>
        <v>NOT SUPPORTED WITHIN 2DAYS</v>
      </c>
      <c r="R98" s="8" t="s">
        <v>1273</v>
      </c>
      <c r="S98" s="1">
        <v>4</v>
      </c>
      <c r="T98" s="1" t="s">
        <v>30</v>
      </c>
      <c r="U98" s="1" t="str">
        <f>VLOOKUP(T98,personnel!A$1:B$4,2,FALSE)</f>
        <v>Trinidad, Jan Carlo Aquino</v>
      </c>
      <c r="V98" s="3">
        <v>44155.407592592594</v>
      </c>
    </row>
    <row r="99" spans="1:22" x14ac:dyDescent="0.25">
      <c r="A99" s="1" t="s">
        <v>329</v>
      </c>
      <c r="B99" s="1" t="s">
        <v>32</v>
      </c>
      <c r="C99" s="1" t="s">
        <v>20</v>
      </c>
      <c r="D99" s="1" t="s">
        <v>330</v>
      </c>
      <c r="E99" s="2">
        <v>44155</v>
      </c>
      <c r="F99" s="1" t="s">
        <v>331</v>
      </c>
      <c r="G99" s="1" t="s">
        <v>332</v>
      </c>
      <c r="H99" s="1" t="s">
        <v>333</v>
      </c>
      <c r="I99" s="1" t="s">
        <v>41</v>
      </c>
      <c r="J99" s="1" t="s">
        <v>171</v>
      </c>
      <c r="K99" s="1">
        <v>0</v>
      </c>
      <c r="L99" s="1"/>
      <c r="M99" s="1" t="s">
        <v>27</v>
      </c>
      <c r="N99" s="1"/>
      <c r="O99" s="1" t="s">
        <v>29</v>
      </c>
      <c r="P99" s="2">
        <v>44155</v>
      </c>
      <c r="Q99" s="8" t="str">
        <f t="shared" si="1"/>
        <v>SUPPORTED WITHIN 2DAYS</v>
      </c>
      <c r="R99" s="8" t="s">
        <v>1272</v>
      </c>
      <c r="S99" s="1">
        <v>4</v>
      </c>
      <c r="T99" s="1" t="s">
        <v>30</v>
      </c>
      <c r="U99" s="1" t="str">
        <f>VLOOKUP(T99,personnel!A$1:B$4,2,FALSE)</f>
        <v>Trinidad, Jan Carlo Aquino</v>
      </c>
      <c r="V99" s="3">
        <v>44155.46597222222</v>
      </c>
    </row>
    <row r="100" spans="1:22" x14ac:dyDescent="0.25">
      <c r="A100" s="1" t="s">
        <v>78</v>
      </c>
      <c r="B100" s="1" t="s">
        <v>32</v>
      </c>
      <c r="C100" s="1" t="s">
        <v>20</v>
      </c>
      <c r="D100" s="1" t="s">
        <v>334</v>
      </c>
      <c r="E100" s="2">
        <v>44155</v>
      </c>
      <c r="F100" s="1" t="s">
        <v>80</v>
      </c>
      <c r="G100" s="1" t="s">
        <v>335</v>
      </c>
      <c r="H100" s="1"/>
      <c r="I100" s="1" t="s">
        <v>41</v>
      </c>
      <c r="J100" s="1" t="s">
        <v>287</v>
      </c>
      <c r="K100" s="1">
        <v>0</v>
      </c>
      <c r="L100" s="1"/>
      <c r="M100" s="1" t="s">
        <v>306</v>
      </c>
      <c r="N100" s="1"/>
      <c r="O100" s="1" t="s">
        <v>29</v>
      </c>
      <c r="P100" s="2">
        <v>44158</v>
      </c>
      <c r="Q100" s="8" t="str">
        <f t="shared" si="1"/>
        <v>NOT SUPPORTED WITHIN 2DAYS</v>
      </c>
      <c r="R100" s="8" t="s">
        <v>1273</v>
      </c>
      <c r="S100" s="1">
        <v>4</v>
      </c>
      <c r="T100" s="1" t="s">
        <v>30</v>
      </c>
      <c r="U100" s="1" t="str">
        <f>VLOOKUP(T100,personnel!A$1:B$4,2,FALSE)</f>
        <v>Trinidad, Jan Carlo Aquino</v>
      </c>
      <c r="V100" s="3">
        <v>44155.55636574074</v>
      </c>
    </row>
    <row r="101" spans="1:22" x14ac:dyDescent="0.25">
      <c r="A101" s="1" t="s">
        <v>336</v>
      </c>
      <c r="B101" s="1" t="s">
        <v>32</v>
      </c>
      <c r="C101" s="1" t="s">
        <v>20</v>
      </c>
      <c r="D101" s="1" t="s">
        <v>337</v>
      </c>
      <c r="E101" s="2">
        <v>44155</v>
      </c>
      <c r="F101" s="1" t="s">
        <v>338</v>
      </c>
      <c r="G101" s="1" t="s">
        <v>339</v>
      </c>
      <c r="H101" s="1"/>
      <c r="I101" s="1" t="s">
        <v>41</v>
      </c>
      <c r="J101" s="1" t="s">
        <v>287</v>
      </c>
      <c r="K101" s="1">
        <v>0</v>
      </c>
      <c r="L101" s="1"/>
      <c r="M101" s="1" t="s">
        <v>306</v>
      </c>
      <c r="N101" s="1"/>
      <c r="O101" s="1" t="s">
        <v>29</v>
      </c>
      <c r="P101" s="2">
        <v>44158</v>
      </c>
      <c r="Q101" s="8" t="str">
        <f t="shared" si="1"/>
        <v>NOT SUPPORTED WITHIN 2DAYS</v>
      </c>
      <c r="R101" s="8" t="s">
        <v>1273</v>
      </c>
      <c r="S101" s="1">
        <v>4</v>
      </c>
      <c r="T101" s="1" t="s">
        <v>30</v>
      </c>
      <c r="U101" s="1" t="str">
        <f>VLOOKUP(T101,personnel!A$1:B$4,2,FALSE)</f>
        <v>Trinidad, Jan Carlo Aquino</v>
      </c>
      <c r="V101" s="3">
        <v>44155.556956018518</v>
      </c>
    </row>
    <row r="102" spans="1:22" x14ac:dyDescent="0.25">
      <c r="A102" s="1" t="s">
        <v>314</v>
      </c>
      <c r="B102" s="1" t="s">
        <v>32</v>
      </c>
      <c r="C102" s="1" t="s">
        <v>20</v>
      </c>
      <c r="D102" s="1" t="s">
        <v>340</v>
      </c>
      <c r="E102" s="2">
        <v>44155</v>
      </c>
      <c r="F102" s="1" t="s">
        <v>316</v>
      </c>
      <c r="G102" s="1" t="s">
        <v>341</v>
      </c>
      <c r="H102" s="1"/>
      <c r="I102" s="1" t="s">
        <v>41</v>
      </c>
      <c r="J102" s="1" t="s">
        <v>287</v>
      </c>
      <c r="K102" s="1">
        <v>0</v>
      </c>
      <c r="L102" s="1"/>
      <c r="M102" s="1" t="s">
        <v>306</v>
      </c>
      <c r="N102" s="1"/>
      <c r="O102" s="1" t="s">
        <v>29</v>
      </c>
      <c r="P102" s="2">
        <v>44158</v>
      </c>
      <c r="Q102" s="8" t="str">
        <f t="shared" si="1"/>
        <v>NOT SUPPORTED WITHIN 2DAYS</v>
      </c>
      <c r="R102" s="8" t="s">
        <v>1273</v>
      </c>
      <c r="S102" s="1">
        <v>4</v>
      </c>
      <c r="T102" s="1" t="s">
        <v>30</v>
      </c>
      <c r="U102" s="1" t="str">
        <f>VLOOKUP(T102,personnel!A$1:B$4,2,FALSE)</f>
        <v>Trinidad, Jan Carlo Aquino</v>
      </c>
      <c r="V102" s="3">
        <v>44155.55740740741</v>
      </c>
    </row>
    <row r="103" spans="1:22" x14ac:dyDescent="0.25">
      <c r="A103" s="1" t="s">
        <v>37</v>
      </c>
      <c r="B103" s="1" t="s">
        <v>32</v>
      </c>
      <c r="C103" s="1" t="s">
        <v>20</v>
      </c>
      <c r="D103" s="1" t="s">
        <v>342</v>
      </c>
      <c r="E103" s="2">
        <v>44155</v>
      </c>
      <c r="F103" s="1" t="s">
        <v>39</v>
      </c>
      <c r="G103" s="1" t="s">
        <v>343</v>
      </c>
      <c r="H103" s="1"/>
      <c r="I103" s="1" t="s">
        <v>41</v>
      </c>
      <c r="J103" s="1" t="s">
        <v>287</v>
      </c>
      <c r="K103" s="1">
        <v>0</v>
      </c>
      <c r="L103" s="1"/>
      <c r="M103" s="1" t="s">
        <v>306</v>
      </c>
      <c r="N103" s="1"/>
      <c r="O103" s="1" t="s">
        <v>29</v>
      </c>
      <c r="P103" s="2">
        <v>44158</v>
      </c>
      <c r="Q103" s="8" t="str">
        <f t="shared" si="1"/>
        <v>NOT SUPPORTED WITHIN 2DAYS</v>
      </c>
      <c r="R103" s="8" t="s">
        <v>1273</v>
      </c>
      <c r="S103" s="1">
        <v>4</v>
      </c>
      <c r="T103" s="1" t="s">
        <v>30</v>
      </c>
      <c r="U103" s="1" t="str">
        <f>VLOOKUP(T103,personnel!A$1:B$4,2,FALSE)</f>
        <v>Trinidad, Jan Carlo Aquino</v>
      </c>
      <c r="V103" s="3">
        <v>44155.558287037034</v>
      </c>
    </row>
    <row r="104" spans="1:22" x14ac:dyDescent="0.25">
      <c r="A104" s="1" t="s">
        <v>18</v>
      </c>
      <c r="B104" s="1" t="s">
        <v>32</v>
      </c>
      <c r="C104" s="1" t="s">
        <v>20</v>
      </c>
      <c r="D104" s="1" t="s">
        <v>344</v>
      </c>
      <c r="E104" s="2">
        <v>44155</v>
      </c>
      <c r="F104" s="1" t="s">
        <v>22</v>
      </c>
      <c r="G104" s="1" t="s">
        <v>345</v>
      </c>
      <c r="H104" s="1"/>
      <c r="I104" s="1" t="s">
        <v>41</v>
      </c>
      <c r="J104" s="1" t="s">
        <v>287</v>
      </c>
      <c r="K104" s="1">
        <v>0</v>
      </c>
      <c r="L104" s="1"/>
      <c r="M104" s="1" t="s">
        <v>306</v>
      </c>
      <c r="N104" s="1"/>
      <c r="O104" s="1" t="s">
        <v>29</v>
      </c>
      <c r="P104" s="2">
        <v>44158</v>
      </c>
      <c r="Q104" s="8" t="str">
        <f t="shared" si="1"/>
        <v>NOT SUPPORTED WITHIN 2DAYS</v>
      </c>
      <c r="R104" s="8" t="s">
        <v>1273</v>
      </c>
      <c r="S104" s="1">
        <v>4</v>
      </c>
      <c r="T104" s="1" t="s">
        <v>30</v>
      </c>
      <c r="U104" s="1" t="str">
        <f>VLOOKUP(T104,personnel!A$1:B$4,2,FALSE)</f>
        <v>Trinidad, Jan Carlo Aquino</v>
      </c>
      <c r="V104" s="3">
        <v>44155.596284722225</v>
      </c>
    </row>
    <row r="105" spans="1:22" x14ac:dyDescent="0.25">
      <c r="A105" s="1" t="s">
        <v>172</v>
      </c>
      <c r="B105" s="1" t="s">
        <v>32</v>
      </c>
      <c r="C105" s="1" t="s">
        <v>20</v>
      </c>
      <c r="D105" s="1" t="s">
        <v>346</v>
      </c>
      <c r="E105" s="2">
        <v>44155</v>
      </c>
      <c r="F105" s="1" t="s">
        <v>174</v>
      </c>
      <c r="G105" s="1" t="s">
        <v>347</v>
      </c>
      <c r="H105" s="1"/>
      <c r="I105" s="1" t="s">
        <v>41</v>
      </c>
      <c r="J105" s="1" t="s">
        <v>287</v>
      </c>
      <c r="K105" s="1">
        <v>0</v>
      </c>
      <c r="L105" s="1"/>
      <c r="M105" s="1" t="s">
        <v>306</v>
      </c>
      <c r="N105" s="1"/>
      <c r="O105" s="1" t="s">
        <v>29</v>
      </c>
      <c r="P105" s="2">
        <v>44158</v>
      </c>
      <c r="Q105" s="8" t="str">
        <f t="shared" si="1"/>
        <v>NOT SUPPORTED WITHIN 2DAYS</v>
      </c>
      <c r="R105" s="8" t="s">
        <v>1273</v>
      </c>
      <c r="S105" s="1">
        <v>4</v>
      </c>
      <c r="T105" s="1" t="s">
        <v>30</v>
      </c>
      <c r="U105" s="1" t="str">
        <f>VLOOKUP(T105,personnel!A$1:B$4,2,FALSE)</f>
        <v>Trinidad, Jan Carlo Aquino</v>
      </c>
      <c r="V105" s="3">
        <v>44155.602453703701</v>
      </c>
    </row>
    <row r="106" spans="1:22" x14ac:dyDescent="0.25">
      <c r="A106" s="1" t="s">
        <v>172</v>
      </c>
      <c r="B106" s="1" t="s">
        <v>32</v>
      </c>
      <c r="C106" s="1" t="s">
        <v>20</v>
      </c>
      <c r="D106" s="1" t="s">
        <v>348</v>
      </c>
      <c r="E106" s="2">
        <v>44155</v>
      </c>
      <c r="F106" s="1" t="s">
        <v>174</v>
      </c>
      <c r="G106" s="1" t="s">
        <v>349</v>
      </c>
      <c r="H106" s="1"/>
      <c r="I106" s="1" t="s">
        <v>41</v>
      </c>
      <c r="J106" s="1" t="s">
        <v>287</v>
      </c>
      <c r="K106" s="1">
        <v>0</v>
      </c>
      <c r="L106" s="1"/>
      <c r="M106" s="1" t="s">
        <v>306</v>
      </c>
      <c r="N106" s="1"/>
      <c r="O106" s="1" t="s">
        <v>29</v>
      </c>
      <c r="P106" s="2">
        <v>44158</v>
      </c>
      <c r="Q106" s="8" t="str">
        <f t="shared" si="1"/>
        <v>NOT SUPPORTED WITHIN 2DAYS</v>
      </c>
      <c r="R106" s="8" t="s">
        <v>1273</v>
      </c>
      <c r="S106" s="1">
        <v>4</v>
      </c>
      <c r="T106" s="1" t="s">
        <v>30</v>
      </c>
      <c r="U106" s="1" t="str">
        <f>VLOOKUP(T106,personnel!A$1:B$4,2,FALSE)</f>
        <v>Trinidad, Jan Carlo Aquino</v>
      </c>
      <c r="V106" s="3">
        <v>44155.602719907409</v>
      </c>
    </row>
    <row r="107" spans="1:22" x14ac:dyDescent="0.25">
      <c r="A107" s="1" t="s">
        <v>18</v>
      </c>
      <c r="B107" s="1" t="s">
        <v>32</v>
      </c>
      <c r="C107" s="1" t="s">
        <v>20</v>
      </c>
      <c r="D107" s="1" t="s">
        <v>350</v>
      </c>
      <c r="E107" s="2">
        <v>44155</v>
      </c>
      <c r="F107" s="1" t="s">
        <v>22</v>
      </c>
      <c r="G107" s="1" t="s">
        <v>351</v>
      </c>
      <c r="H107" s="1"/>
      <c r="I107" s="1" t="s">
        <v>41</v>
      </c>
      <c r="J107" s="1" t="s">
        <v>287</v>
      </c>
      <c r="K107" s="1">
        <v>0</v>
      </c>
      <c r="L107" s="1"/>
      <c r="M107" s="1" t="s">
        <v>306</v>
      </c>
      <c r="N107" s="1"/>
      <c r="O107" s="1" t="s">
        <v>29</v>
      </c>
      <c r="P107" s="2">
        <v>44158</v>
      </c>
      <c r="Q107" s="8" t="str">
        <f t="shared" si="1"/>
        <v>NOT SUPPORTED WITHIN 2DAYS</v>
      </c>
      <c r="R107" s="8" t="s">
        <v>1273</v>
      </c>
      <c r="S107" s="1">
        <v>4</v>
      </c>
      <c r="T107" s="1" t="s">
        <v>30</v>
      </c>
      <c r="U107" s="1" t="str">
        <f>VLOOKUP(T107,personnel!A$1:B$4,2,FALSE)</f>
        <v>Trinidad, Jan Carlo Aquino</v>
      </c>
      <c r="V107" s="3">
        <v>44155.613020833334</v>
      </c>
    </row>
    <row r="108" spans="1:22" x14ac:dyDescent="0.25">
      <c r="A108" s="1" t="s">
        <v>289</v>
      </c>
      <c r="B108" s="1" t="s">
        <v>32</v>
      </c>
      <c r="C108" s="1" t="s">
        <v>20</v>
      </c>
      <c r="D108" s="1" t="s">
        <v>352</v>
      </c>
      <c r="E108" s="2">
        <v>44155</v>
      </c>
      <c r="F108" s="1" t="s">
        <v>291</v>
      </c>
      <c r="G108" s="1" t="s">
        <v>353</v>
      </c>
      <c r="H108" s="1"/>
      <c r="I108" s="1" t="s">
        <v>41</v>
      </c>
      <c r="J108" s="1" t="s">
        <v>287</v>
      </c>
      <c r="K108" s="1">
        <v>0</v>
      </c>
      <c r="L108" s="1"/>
      <c r="M108" s="1" t="s">
        <v>306</v>
      </c>
      <c r="N108" s="1"/>
      <c r="O108" s="1" t="s">
        <v>29</v>
      </c>
      <c r="P108" s="2">
        <v>44158</v>
      </c>
      <c r="Q108" s="8" t="str">
        <f t="shared" si="1"/>
        <v>NOT SUPPORTED WITHIN 2DAYS</v>
      </c>
      <c r="R108" s="8" t="s">
        <v>1273</v>
      </c>
      <c r="S108" s="1">
        <v>4</v>
      </c>
      <c r="T108" s="1" t="s">
        <v>30</v>
      </c>
      <c r="U108" s="1" t="str">
        <f>VLOOKUP(T108,personnel!A$1:B$4,2,FALSE)</f>
        <v>Trinidad, Jan Carlo Aquino</v>
      </c>
      <c r="V108" s="3">
        <v>44155.62263888889</v>
      </c>
    </row>
    <row r="109" spans="1:22" x14ac:dyDescent="0.25">
      <c r="A109" s="1" t="s">
        <v>18</v>
      </c>
      <c r="B109" s="1" t="s">
        <v>19</v>
      </c>
      <c r="C109" s="1" t="s">
        <v>20</v>
      </c>
      <c r="D109" s="1" t="s">
        <v>354</v>
      </c>
      <c r="E109" s="2">
        <v>44155</v>
      </c>
      <c r="F109" s="1" t="s">
        <v>22</v>
      </c>
      <c r="G109" s="1" t="s">
        <v>355</v>
      </c>
      <c r="H109" s="1" t="s">
        <v>356</v>
      </c>
      <c r="I109" s="1" t="s">
        <v>25</v>
      </c>
      <c r="J109" s="1" t="s">
        <v>26</v>
      </c>
      <c r="K109" s="1">
        <v>0</v>
      </c>
      <c r="L109" s="1"/>
      <c r="M109" s="1" t="s">
        <v>27</v>
      </c>
      <c r="N109" s="1" t="s">
        <v>357</v>
      </c>
      <c r="O109" s="1" t="s">
        <v>29</v>
      </c>
      <c r="P109" s="2">
        <v>44155</v>
      </c>
      <c r="Q109" s="8" t="str">
        <f t="shared" si="1"/>
        <v>SUPPORTED WITHIN 2DAYS</v>
      </c>
      <c r="R109" s="8" t="s">
        <v>1272</v>
      </c>
      <c r="S109" s="1">
        <v>0</v>
      </c>
      <c r="T109" s="1" t="s">
        <v>30</v>
      </c>
      <c r="U109" s="1" t="str">
        <f>VLOOKUP(T109,personnel!A$1:B$4,2,FALSE)</f>
        <v>Trinidad, Jan Carlo Aquino</v>
      </c>
      <c r="V109" s="3">
        <v>44155.660798611112</v>
      </c>
    </row>
    <row r="110" spans="1:22" x14ac:dyDescent="0.25">
      <c r="A110" s="1" t="s">
        <v>358</v>
      </c>
      <c r="B110" s="1" t="s">
        <v>19</v>
      </c>
      <c r="C110" s="1" t="s">
        <v>20</v>
      </c>
      <c r="D110" s="1" t="s">
        <v>359</v>
      </c>
      <c r="E110" s="2">
        <v>44156</v>
      </c>
      <c r="F110" s="1" t="s">
        <v>360</v>
      </c>
      <c r="G110" s="1" t="s">
        <v>361</v>
      </c>
      <c r="H110" s="1" t="s">
        <v>244</v>
      </c>
      <c r="I110" s="1" t="s">
        <v>95</v>
      </c>
      <c r="J110" s="1" t="s">
        <v>26</v>
      </c>
      <c r="K110" s="1">
        <v>0</v>
      </c>
      <c r="L110" s="1"/>
      <c r="M110" s="1" t="s">
        <v>244</v>
      </c>
      <c r="N110" s="1"/>
      <c r="O110" s="1" t="s">
        <v>245</v>
      </c>
      <c r="P110" s="2">
        <v>44166</v>
      </c>
      <c r="Q110" s="8" t="str">
        <f t="shared" si="1"/>
        <v>NOT SUPPORTED WITHIN 2DAYS</v>
      </c>
      <c r="R110" s="8" t="s">
        <v>1273</v>
      </c>
      <c r="S110" s="1">
        <v>0</v>
      </c>
      <c r="T110" s="1" t="s">
        <v>246</v>
      </c>
      <c r="U110" s="1" t="str">
        <f>VLOOKUP(T110,personnel!A$1:B$4,2,FALSE)</f>
        <v>Macarling, Federico Jr Romano</v>
      </c>
      <c r="V110" s="3">
        <v>44156.667083333334</v>
      </c>
    </row>
    <row r="111" spans="1:22" x14ac:dyDescent="0.25">
      <c r="A111" s="1" t="s">
        <v>362</v>
      </c>
      <c r="B111" s="1" t="s">
        <v>19</v>
      </c>
      <c r="C111" s="1" t="s">
        <v>20</v>
      </c>
      <c r="D111" s="1" t="s">
        <v>363</v>
      </c>
      <c r="E111" s="2">
        <v>44156</v>
      </c>
      <c r="F111" s="1" t="s">
        <v>364</v>
      </c>
      <c r="G111" s="1" t="s">
        <v>365</v>
      </c>
      <c r="H111" s="1" t="s">
        <v>244</v>
      </c>
      <c r="I111" s="1" t="s">
        <v>95</v>
      </c>
      <c r="J111" s="1" t="s">
        <v>26</v>
      </c>
      <c r="K111" s="1">
        <v>0</v>
      </c>
      <c r="L111" s="1"/>
      <c r="M111" s="1" t="s">
        <v>244</v>
      </c>
      <c r="N111" s="1"/>
      <c r="O111" s="1" t="s">
        <v>245</v>
      </c>
      <c r="P111" s="2">
        <v>44166</v>
      </c>
      <c r="Q111" s="8" t="str">
        <f t="shared" si="1"/>
        <v>NOT SUPPORTED WITHIN 2DAYS</v>
      </c>
      <c r="R111" s="8" t="s">
        <v>1273</v>
      </c>
      <c r="S111" s="1">
        <v>0</v>
      </c>
      <c r="T111" s="1" t="s">
        <v>246</v>
      </c>
      <c r="U111" s="1" t="str">
        <f>VLOOKUP(T111,personnel!A$1:B$4,2,FALSE)</f>
        <v>Macarling, Federico Jr Romano</v>
      </c>
      <c r="V111" s="3">
        <v>44156.668032407404</v>
      </c>
    </row>
    <row r="112" spans="1:22" x14ac:dyDescent="0.25">
      <c r="A112" s="1" t="s">
        <v>362</v>
      </c>
      <c r="B112" s="1" t="s">
        <v>19</v>
      </c>
      <c r="C112" s="1" t="s">
        <v>20</v>
      </c>
      <c r="D112" s="1" t="s">
        <v>366</v>
      </c>
      <c r="E112" s="2">
        <v>44156</v>
      </c>
      <c r="F112" s="1" t="s">
        <v>364</v>
      </c>
      <c r="G112" s="1" t="s">
        <v>367</v>
      </c>
      <c r="H112" s="1" t="s">
        <v>244</v>
      </c>
      <c r="I112" s="1" t="s">
        <v>95</v>
      </c>
      <c r="J112" s="1" t="s">
        <v>26</v>
      </c>
      <c r="K112" s="1">
        <v>0</v>
      </c>
      <c r="L112" s="1"/>
      <c r="M112" s="1" t="s">
        <v>244</v>
      </c>
      <c r="N112" s="1"/>
      <c r="O112" s="1" t="s">
        <v>245</v>
      </c>
      <c r="P112" s="2">
        <v>44166</v>
      </c>
      <c r="Q112" s="8" t="str">
        <f t="shared" si="1"/>
        <v>NOT SUPPORTED WITHIN 2DAYS</v>
      </c>
      <c r="R112" s="8" t="s">
        <v>1273</v>
      </c>
      <c r="S112" s="1">
        <v>0</v>
      </c>
      <c r="T112" s="1" t="s">
        <v>246</v>
      </c>
      <c r="U112" s="1" t="str">
        <f>VLOOKUP(T112,personnel!A$1:B$4,2,FALSE)</f>
        <v>Macarling, Federico Jr Romano</v>
      </c>
      <c r="V112" s="3">
        <v>44156.669016203705</v>
      </c>
    </row>
    <row r="113" spans="1:22" x14ac:dyDescent="0.25">
      <c r="A113" s="1" t="s">
        <v>368</v>
      </c>
      <c r="B113" s="1" t="s">
        <v>32</v>
      </c>
      <c r="C113" s="1" t="s">
        <v>20</v>
      </c>
      <c r="D113" s="1" t="s">
        <v>369</v>
      </c>
      <c r="E113" s="2">
        <v>44158</v>
      </c>
      <c r="F113" s="1" t="s">
        <v>370</v>
      </c>
      <c r="G113" s="1" t="s">
        <v>371</v>
      </c>
      <c r="H113" s="1"/>
      <c r="I113" s="1" t="s">
        <v>41</v>
      </c>
      <c r="J113" s="1" t="s">
        <v>287</v>
      </c>
      <c r="K113" s="1">
        <v>0</v>
      </c>
      <c r="L113" s="1"/>
      <c r="M113" s="1" t="s">
        <v>306</v>
      </c>
      <c r="N113" s="1"/>
      <c r="O113" s="1" t="s">
        <v>29</v>
      </c>
      <c r="P113" s="2">
        <v>44158</v>
      </c>
      <c r="Q113" s="8" t="str">
        <f t="shared" si="1"/>
        <v>SUPPORTED WITHIN 2DAYS</v>
      </c>
      <c r="R113" s="8" t="s">
        <v>1272</v>
      </c>
      <c r="S113" s="1">
        <v>4</v>
      </c>
      <c r="T113" s="1" t="s">
        <v>30</v>
      </c>
      <c r="U113" s="1" t="str">
        <f>VLOOKUP(T113,personnel!A$1:B$4,2,FALSE)</f>
        <v>Trinidad, Jan Carlo Aquino</v>
      </c>
      <c r="V113" s="3">
        <v>44158.352916666663</v>
      </c>
    </row>
    <row r="114" spans="1:22" x14ac:dyDescent="0.25">
      <c r="A114" s="1" t="s">
        <v>78</v>
      </c>
      <c r="B114" s="1" t="s">
        <v>19</v>
      </c>
      <c r="C114" s="1" t="s">
        <v>20</v>
      </c>
      <c r="D114" s="1" t="s">
        <v>372</v>
      </c>
      <c r="E114" s="2">
        <v>44158</v>
      </c>
      <c r="F114" s="1" t="s">
        <v>80</v>
      </c>
      <c r="G114" s="1" t="s">
        <v>373</v>
      </c>
      <c r="H114" s="1"/>
      <c r="I114" s="1" t="s">
        <v>36</v>
      </c>
      <c r="J114" s="1" t="s">
        <v>171</v>
      </c>
      <c r="K114" s="1">
        <v>0</v>
      </c>
      <c r="L114" s="1"/>
      <c r="M114" s="1" t="s">
        <v>27</v>
      </c>
      <c r="N114" s="1"/>
      <c r="O114" s="1" t="s">
        <v>29</v>
      </c>
      <c r="P114" s="2">
        <v>44162</v>
      </c>
      <c r="Q114" s="8" t="str">
        <f t="shared" si="1"/>
        <v>NOT SUPPORTED WITHIN 2DAYS</v>
      </c>
      <c r="R114" s="8" t="s">
        <v>1273</v>
      </c>
      <c r="S114" s="1">
        <v>0</v>
      </c>
      <c r="T114" s="1" t="s">
        <v>30</v>
      </c>
      <c r="U114" s="1" t="str">
        <f>VLOOKUP(T114,personnel!A$1:B$4,2,FALSE)</f>
        <v>Trinidad, Jan Carlo Aquino</v>
      </c>
      <c r="V114" s="3">
        <v>44158.399421296293</v>
      </c>
    </row>
    <row r="115" spans="1:22" x14ac:dyDescent="0.25">
      <c r="A115" s="1" t="s">
        <v>194</v>
      </c>
      <c r="B115" s="1" t="s">
        <v>19</v>
      </c>
      <c r="C115" s="1" t="s">
        <v>20</v>
      </c>
      <c r="D115" s="1" t="s">
        <v>374</v>
      </c>
      <c r="E115" s="2">
        <v>44158</v>
      </c>
      <c r="F115" s="1" t="s">
        <v>196</v>
      </c>
      <c r="G115" s="1" t="s">
        <v>375</v>
      </c>
      <c r="H115" s="1" t="s">
        <v>376</v>
      </c>
      <c r="I115" s="1" t="s">
        <v>41</v>
      </c>
      <c r="J115" s="1" t="s">
        <v>287</v>
      </c>
      <c r="K115" s="1">
        <v>0</v>
      </c>
      <c r="L115" s="1"/>
      <c r="M115" s="1" t="s">
        <v>377</v>
      </c>
      <c r="N115" s="1"/>
      <c r="O115" s="1" t="s">
        <v>29</v>
      </c>
      <c r="P115" s="2">
        <v>44158</v>
      </c>
      <c r="Q115" s="8" t="str">
        <f t="shared" si="1"/>
        <v>SUPPORTED WITHIN 2DAYS</v>
      </c>
      <c r="R115" s="8" t="s">
        <v>1272</v>
      </c>
      <c r="S115" s="1">
        <v>0</v>
      </c>
      <c r="T115" s="1" t="s">
        <v>30</v>
      </c>
      <c r="U115" s="1" t="str">
        <f>VLOOKUP(T115,personnel!A$1:B$4,2,FALSE)</f>
        <v>Trinidad, Jan Carlo Aquino</v>
      </c>
      <c r="V115" s="3">
        <v>44158.400138888886</v>
      </c>
    </row>
    <row r="116" spans="1:22" x14ac:dyDescent="0.25">
      <c r="A116" s="1" t="s">
        <v>378</v>
      </c>
      <c r="B116" s="1" t="s">
        <v>32</v>
      </c>
      <c r="C116" s="1" t="s">
        <v>20</v>
      </c>
      <c r="D116" s="1" t="s">
        <v>379</v>
      </c>
      <c r="E116" s="2">
        <v>44158</v>
      </c>
      <c r="F116" s="1" t="s">
        <v>380</v>
      </c>
      <c r="G116" s="1" t="s">
        <v>381</v>
      </c>
      <c r="H116" s="1"/>
      <c r="I116" s="1" t="s">
        <v>36</v>
      </c>
      <c r="J116" s="1" t="s">
        <v>171</v>
      </c>
      <c r="K116" s="1">
        <v>0</v>
      </c>
      <c r="L116" s="1"/>
      <c r="M116" s="1" t="s">
        <v>27</v>
      </c>
      <c r="N116" s="1"/>
      <c r="O116" s="1" t="s">
        <v>29</v>
      </c>
      <c r="P116" s="2">
        <v>44162</v>
      </c>
      <c r="Q116" s="8" t="str">
        <f t="shared" si="1"/>
        <v>NOT SUPPORTED WITHIN 2DAYS</v>
      </c>
      <c r="R116" s="8" t="s">
        <v>1273</v>
      </c>
      <c r="S116" s="1">
        <v>4</v>
      </c>
      <c r="T116" s="1" t="s">
        <v>30</v>
      </c>
      <c r="U116" s="1" t="str">
        <f>VLOOKUP(T116,personnel!A$1:B$4,2,FALSE)</f>
        <v>Trinidad, Jan Carlo Aquino</v>
      </c>
      <c r="V116" s="3">
        <v>44158.470763888887</v>
      </c>
    </row>
    <row r="117" spans="1:22" x14ac:dyDescent="0.25">
      <c r="A117" s="1" t="s">
        <v>78</v>
      </c>
      <c r="B117" s="1" t="s">
        <v>19</v>
      </c>
      <c r="C117" s="1" t="s">
        <v>20</v>
      </c>
      <c r="D117" s="1" t="s">
        <v>382</v>
      </c>
      <c r="E117" s="2">
        <v>44158</v>
      </c>
      <c r="F117" s="1" t="s">
        <v>80</v>
      </c>
      <c r="G117" s="1" t="s">
        <v>383</v>
      </c>
      <c r="H117" s="1"/>
      <c r="I117" s="1" t="s">
        <v>36</v>
      </c>
      <c r="J117" s="1" t="s">
        <v>171</v>
      </c>
      <c r="K117" s="1">
        <v>0</v>
      </c>
      <c r="L117" s="1"/>
      <c r="M117" s="1" t="s">
        <v>27</v>
      </c>
      <c r="N117" s="1" t="s">
        <v>384</v>
      </c>
      <c r="O117" s="1" t="s">
        <v>29</v>
      </c>
      <c r="P117" s="2">
        <v>44162</v>
      </c>
      <c r="Q117" s="8" t="str">
        <f t="shared" si="1"/>
        <v>NOT SUPPORTED WITHIN 2DAYS</v>
      </c>
      <c r="R117" s="8" t="s">
        <v>1273</v>
      </c>
      <c r="S117" s="1">
        <v>0</v>
      </c>
      <c r="T117" s="1" t="s">
        <v>30</v>
      </c>
      <c r="U117" s="1" t="str">
        <f>VLOOKUP(T117,personnel!A$1:B$4,2,FALSE)</f>
        <v>Trinidad, Jan Carlo Aquino</v>
      </c>
      <c r="V117" s="3">
        <v>44158.549571759257</v>
      </c>
    </row>
    <row r="118" spans="1:22" x14ac:dyDescent="0.25">
      <c r="A118" s="1" t="s">
        <v>78</v>
      </c>
      <c r="B118" s="1" t="s">
        <v>32</v>
      </c>
      <c r="C118" s="1" t="s">
        <v>20</v>
      </c>
      <c r="D118" s="1" t="s">
        <v>385</v>
      </c>
      <c r="E118" s="2">
        <v>44158</v>
      </c>
      <c r="F118" s="1" t="s">
        <v>80</v>
      </c>
      <c r="G118" s="1" t="s">
        <v>386</v>
      </c>
      <c r="H118" s="1"/>
      <c r="I118" s="1" t="s">
        <v>36</v>
      </c>
      <c r="J118" s="1" t="s">
        <v>171</v>
      </c>
      <c r="K118" s="1">
        <v>0</v>
      </c>
      <c r="L118" s="1"/>
      <c r="M118" s="1" t="s">
        <v>27</v>
      </c>
      <c r="N118" s="1" t="s">
        <v>384</v>
      </c>
      <c r="O118" s="1" t="s">
        <v>29</v>
      </c>
      <c r="P118" s="2">
        <v>44162</v>
      </c>
      <c r="Q118" s="8" t="str">
        <f t="shared" si="1"/>
        <v>NOT SUPPORTED WITHIN 2DAYS</v>
      </c>
      <c r="R118" s="8" t="s">
        <v>1273</v>
      </c>
      <c r="S118" s="1">
        <v>4</v>
      </c>
      <c r="T118" s="1" t="s">
        <v>30</v>
      </c>
      <c r="U118" s="1" t="str">
        <f>VLOOKUP(T118,personnel!A$1:B$4,2,FALSE)</f>
        <v>Trinidad, Jan Carlo Aquino</v>
      </c>
      <c r="V118" s="3">
        <v>44158.554085648146</v>
      </c>
    </row>
    <row r="119" spans="1:22" x14ac:dyDescent="0.25">
      <c r="A119" s="1" t="s">
        <v>387</v>
      </c>
      <c r="B119" s="1" t="s">
        <v>388</v>
      </c>
      <c r="C119" s="1" t="s">
        <v>20</v>
      </c>
      <c r="D119" s="1" t="s">
        <v>389</v>
      </c>
      <c r="E119" s="2">
        <v>44158</v>
      </c>
      <c r="F119" s="1" t="s">
        <v>390</v>
      </c>
      <c r="G119" s="1" t="s">
        <v>391</v>
      </c>
      <c r="H119" s="1"/>
      <c r="I119" s="1" t="s">
        <v>36</v>
      </c>
      <c r="J119" s="1" t="s">
        <v>171</v>
      </c>
      <c r="K119" s="1">
        <v>0</v>
      </c>
      <c r="L119" s="1"/>
      <c r="M119" s="1" t="s">
        <v>27</v>
      </c>
      <c r="N119" s="1" t="s">
        <v>384</v>
      </c>
      <c r="O119" s="1" t="s">
        <v>29</v>
      </c>
      <c r="P119" s="2">
        <v>44162</v>
      </c>
      <c r="Q119" s="8" t="str">
        <f t="shared" si="1"/>
        <v>NOT SUPPORTED WITHIN 2DAYS</v>
      </c>
      <c r="R119" s="8" t="s">
        <v>1273</v>
      </c>
      <c r="S119" s="1">
        <v>1</v>
      </c>
      <c r="T119" s="1" t="s">
        <v>30</v>
      </c>
      <c r="U119" s="1" t="str">
        <f>VLOOKUP(T119,personnel!A$1:B$4,2,FALSE)</f>
        <v>Trinidad, Jan Carlo Aquino</v>
      </c>
      <c r="V119" s="3">
        <v>44158.568495370368</v>
      </c>
    </row>
    <row r="120" spans="1:22" x14ac:dyDescent="0.25">
      <c r="A120" s="1" t="s">
        <v>18</v>
      </c>
      <c r="B120" s="1" t="s">
        <v>19</v>
      </c>
      <c r="C120" s="1" t="s">
        <v>20</v>
      </c>
      <c r="D120" s="1" t="s">
        <v>392</v>
      </c>
      <c r="E120" s="2">
        <v>44159</v>
      </c>
      <c r="F120" s="1" t="s">
        <v>22</v>
      </c>
      <c r="G120" s="1" t="s">
        <v>393</v>
      </c>
      <c r="H120" s="1"/>
      <c r="I120" s="1" t="s">
        <v>36</v>
      </c>
      <c r="J120" s="1" t="s">
        <v>171</v>
      </c>
      <c r="K120" s="1">
        <v>0</v>
      </c>
      <c r="L120" s="1"/>
      <c r="M120" s="1" t="s">
        <v>27</v>
      </c>
      <c r="N120" s="1"/>
      <c r="O120" s="1" t="s">
        <v>29</v>
      </c>
      <c r="P120" s="2">
        <v>44162</v>
      </c>
      <c r="Q120" s="8" t="str">
        <f t="shared" si="1"/>
        <v>NOT SUPPORTED WITHIN 2DAYS</v>
      </c>
      <c r="R120" s="8" t="s">
        <v>1273</v>
      </c>
      <c r="S120" s="1">
        <v>0</v>
      </c>
      <c r="T120" s="1" t="s">
        <v>30</v>
      </c>
      <c r="U120" s="1" t="str">
        <f>VLOOKUP(T120,personnel!A$1:B$4,2,FALSE)</f>
        <v>Trinidad, Jan Carlo Aquino</v>
      </c>
      <c r="V120" s="3">
        <v>44159.379641203705</v>
      </c>
    </row>
    <row r="121" spans="1:22" x14ac:dyDescent="0.25">
      <c r="A121" s="1" t="s">
        <v>289</v>
      </c>
      <c r="B121" s="1" t="s">
        <v>32</v>
      </c>
      <c r="C121" s="1" t="s">
        <v>20</v>
      </c>
      <c r="D121" s="1" t="s">
        <v>394</v>
      </c>
      <c r="E121" s="2">
        <v>44159</v>
      </c>
      <c r="F121" s="1" t="s">
        <v>291</v>
      </c>
      <c r="G121" s="1" t="s">
        <v>395</v>
      </c>
      <c r="H121" s="1"/>
      <c r="I121" s="1" t="s">
        <v>36</v>
      </c>
      <c r="J121" s="1" t="s">
        <v>171</v>
      </c>
      <c r="K121" s="1">
        <v>0</v>
      </c>
      <c r="L121" s="1"/>
      <c r="M121" s="1" t="s">
        <v>27</v>
      </c>
      <c r="N121" s="1"/>
      <c r="O121" s="1" t="s">
        <v>29</v>
      </c>
      <c r="P121" s="2">
        <v>44162</v>
      </c>
      <c r="Q121" s="8" t="str">
        <f t="shared" si="1"/>
        <v>NOT SUPPORTED WITHIN 2DAYS</v>
      </c>
      <c r="R121" s="8" t="s">
        <v>1273</v>
      </c>
      <c r="S121" s="1">
        <v>4</v>
      </c>
      <c r="T121" s="1" t="s">
        <v>30</v>
      </c>
      <c r="U121" s="1" t="str">
        <f>VLOOKUP(T121,personnel!A$1:B$4,2,FALSE)</f>
        <v>Trinidad, Jan Carlo Aquino</v>
      </c>
      <c r="V121" s="3">
        <v>44159.557245370372</v>
      </c>
    </row>
    <row r="122" spans="1:22" x14ac:dyDescent="0.25">
      <c r="A122" s="1" t="s">
        <v>396</v>
      </c>
      <c r="B122" s="1" t="s">
        <v>19</v>
      </c>
      <c r="C122" s="1" t="s">
        <v>20</v>
      </c>
      <c r="D122" s="1" t="s">
        <v>397</v>
      </c>
      <c r="E122" s="2">
        <v>44159</v>
      </c>
      <c r="F122" s="1" t="s">
        <v>398</v>
      </c>
      <c r="G122" s="1" t="s">
        <v>399</v>
      </c>
      <c r="H122" s="1"/>
      <c r="I122" s="1" t="s">
        <v>36</v>
      </c>
      <c r="J122" s="1" t="s">
        <v>171</v>
      </c>
      <c r="K122" s="1">
        <v>0</v>
      </c>
      <c r="L122" s="1"/>
      <c r="M122" s="1" t="s">
        <v>27</v>
      </c>
      <c r="N122" s="1"/>
      <c r="O122" s="1" t="s">
        <v>29</v>
      </c>
      <c r="P122" s="2">
        <v>44162</v>
      </c>
      <c r="Q122" s="8" t="str">
        <f t="shared" si="1"/>
        <v>NOT SUPPORTED WITHIN 2DAYS</v>
      </c>
      <c r="R122" s="8" t="s">
        <v>1273</v>
      </c>
      <c r="S122" s="1">
        <v>0</v>
      </c>
      <c r="T122" s="1" t="s">
        <v>30</v>
      </c>
      <c r="U122" s="1" t="str">
        <f>VLOOKUP(T122,personnel!A$1:B$4,2,FALSE)</f>
        <v>Trinidad, Jan Carlo Aquino</v>
      </c>
      <c r="V122" s="3">
        <v>44159.617951388886</v>
      </c>
    </row>
    <row r="123" spans="1:22" x14ac:dyDescent="0.25">
      <c r="A123" s="1" t="s">
        <v>400</v>
      </c>
      <c r="B123" s="1" t="s">
        <v>32</v>
      </c>
      <c r="C123" s="1" t="s">
        <v>20</v>
      </c>
      <c r="D123" s="1" t="s">
        <v>401</v>
      </c>
      <c r="E123" s="2">
        <v>44159</v>
      </c>
      <c r="F123" s="1" t="s">
        <v>402</v>
      </c>
      <c r="G123" s="1" t="s">
        <v>403</v>
      </c>
      <c r="H123" s="1"/>
      <c r="I123" s="1" t="s">
        <v>36</v>
      </c>
      <c r="J123" s="1" t="s">
        <v>171</v>
      </c>
      <c r="K123" s="1">
        <v>0</v>
      </c>
      <c r="L123" s="1"/>
      <c r="M123" s="1" t="s">
        <v>27</v>
      </c>
      <c r="N123" s="1"/>
      <c r="O123" s="1" t="s">
        <v>29</v>
      </c>
      <c r="P123" s="2">
        <v>44162</v>
      </c>
      <c r="Q123" s="8" t="str">
        <f t="shared" si="1"/>
        <v>NOT SUPPORTED WITHIN 2DAYS</v>
      </c>
      <c r="R123" s="8" t="s">
        <v>1273</v>
      </c>
      <c r="S123" s="1">
        <v>4</v>
      </c>
      <c r="T123" s="1" t="s">
        <v>30</v>
      </c>
      <c r="U123" s="1" t="str">
        <f>VLOOKUP(T123,personnel!A$1:B$4,2,FALSE)</f>
        <v>Trinidad, Jan Carlo Aquino</v>
      </c>
      <c r="V123" s="3">
        <v>44159.618831018517</v>
      </c>
    </row>
    <row r="124" spans="1:22" x14ac:dyDescent="0.25">
      <c r="A124" s="1" t="s">
        <v>283</v>
      </c>
      <c r="B124" s="1" t="s">
        <v>32</v>
      </c>
      <c r="C124" s="1" t="s">
        <v>20</v>
      </c>
      <c r="D124" s="1" t="s">
        <v>404</v>
      </c>
      <c r="E124" s="2">
        <v>44159</v>
      </c>
      <c r="F124" s="1" t="s">
        <v>285</v>
      </c>
      <c r="G124" s="1" t="s">
        <v>405</v>
      </c>
      <c r="H124" s="1"/>
      <c r="I124" s="1" t="s">
        <v>36</v>
      </c>
      <c r="J124" s="1" t="s">
        <v>171</v>
      </c>
      <c r="K124" s="1">
        <v>0</v>
      </c>
      <c r="L124" s="1"/>
      <c r="M124" s="1" t="s">
        <v>27</v>
      </c>
      <c r="N124" s="1"/>
      <c r="O124" s="1" t="s">
        <v>29</v>
      </c>
      <c r="P124" s="2">
        <v>44162</v>
      </c>
      <c r="Q124" s="8" t="str">
        <f t="shared" si="1"/>
        <v>NOT SUPPORTED WITHIN 2DAYS</v>
      </c>
      <c r="R124" s="8" t="s">
        <v>1273</v>
      </c>
      <c r="S124" s="1">
        <v>4</v>
      </c>
      <c r="T124" s="1" t="s">
        <v>30</v>
      </c>
      <c r="U124" s="1" t="str">
        <f>VLOOKUP(T124,personnel!A$1:B$4,2,FALSE)</f>
        <v>Trinidad, Jan Carlo Aquino</v>
      </c>
      <c r="V124" s="3">
        <v>44159.620983796296</v>
      </c>
    </row>
    <row r="125" spans="1:22" x14ac:dyDescent="0.25">
      <c r="A125" s="1" t="s">
        <v>368</v>
      </c>
      <c r="B125" s="1" t="s">
        <v>19</v>
      </c>
      <c r="C125" s="1" t="s">
        <v>20</v>
      </c>
      <c r="D125" s="1" t="s">
        <v>406</v>
      </c>
      <c r="E125" s="2">
        <v>44159</v>
      </c>
      <c r="F125" s="1" t="s">
        <v>370</v>
      </c>
      <c r="G125" s="1" t="s">
        <v>407</v>
      </c>
      <c r="H125" s="1"/>
      <c r="I125" s="1" t="s">
        <v>36</v>
      </c>
      <c r="J125" s="1" t="s">
        <v>171</v>
      </c>
      <c r="K125" s="1">
        <v>0</v>
      </c>
      <c r="L125" s="1"/>
      <c r="M125" s="1" t="s">
        <v>27</v>
      </c>
      <c r="N125" s="1"/>
      <c r="O125" s="1" t="s">
        <v>29</v>
      </c>
      <c r="P125" s="2">
        <v>44162</v>
      </c>
      <c r="Q125" s="8" t="str">
        <f t="shared" si="1"/>
        <v>NOT SUPPORTED WITHIN 2DAYS</v>
      </c>
      <c r="R125" s="8" t="s">
        <v>1273</v>
      </c>
      <c r="S125" s="1">
        <v>0</v>
      </c>
      <c r="T125" s="1" t="s">
        <v>30</v>
      </c>
      <c r="U125" s="1" t="str">
        <f>VLOOKUP(T125,personnel!A$1:B$4,2,FALSE)</f>
        <v>Trinidad, Jan Carlo Aquino</v>
      </c>
      <c r="V125" s="3">
        <v>44159.665462962963</v>
      </c>
    </row>
    <row r="126" spans="1:22" x14ac:dyDescent="0.25">
      <c r="A126" s="1" t="s">
        <v>18</v>
      </c>
      <c r="B126" s="1" t="s">
        <v>19</v>
      </c>
      <c r="C126" s="1" t="s">
        <v>20</v>
      </c>
      <c r="D126" s="1" t="s">
        <v>408</v>
      </c>
      <c r="E126" s="2">
        <v>44160</v>
      </c>
      <c r="F126" s="1" t="s">
        <v>22</v>
      </c>
      <c r="G126" s="1" t="s">
        <v>409</v>
      </c>
      <c r="H126" s="1" t="s">
        <v>410</v>
      </c>
      <c r="I126" s="1" t="s">
        <v>36</v>
      </c>
      <c r="J126" s="1" t="s">
        <v>171</v>
      </c>
      <c r="K126" s="1">
        <v>0</v>
      </c>
      <c r="L126" s="1"/>
      <c r="M126" s="1" t="s">
        <v>27</v>
      </c>
      <c r="N126" s="1"/>
      <c r="O126" s="1" t="s">
        <v>29</v>
      </c>
      <c r="P126" s="2">
        <v>44162</v>
      </c>
      <c r="Q126" s="8" t="str">
        <f t="shared" si="1"/>
        <v>SUPPORTED WITHIN 2DAYS</v>
      </c>
      <c r="R126" s="8" t="s">
        <v>1272</v>
      </c>
      <c r="S126" s="1">
        <v>0</v>
      </c>
      <c r="T126" s="1" t="s">
        <v>30</v>
      </c>
      <c r="U126" s="1" t="str">
        <f>VLOOKUP(T126,personnel!A$1:B$4,2,FALSE)</f>
        <v>Trinidad, Jan Carlo Aquino</v>
      </c>
      <c r="V126" s="3">
        <v>44160.352361111109</v>
      </c>
    </row>
    <row r="127" spans="1:22" x14ac:dyDescent="0.25">
      <c r="A127" s="1" t="s">
        <v>96</v>
      </c>
      <c r="B127" s="1" t="s">
        <v>19</v>
      </c>
      <c r="C127" s="1" t="s">
        <v>20</v>
      </c>
      <c r="D127" s="1" t="s">
        <v>411</v>
      </c>
      <c r="E127" s="2">
        <v>44160</v>
      </c>
      <c r="F127" s="1" t="s">
        <v>98</v>
      </c>
      <c r="G127" s="1" t="s">
        <v>412</v>
      </c>
      <c r="H127" s="1" t="s">
        <v>413</v>
      </c>
      <c r="I127" s="1" t="s">
        <v>36</v>
      </c>
      <c r="J127" s="1" t="s">
        <v>171</v>
      </c>
      <c r="K127" s="1">
        <v>0</v>
      </c>
      <c r="L127" s="1"/>
      <c r="M127" s="1" t="s">
        <v>27</v>
      </c>
      <c r="N127" s="1"/>
      <c r="O127" s="1" t="s">
        <v>29</v>
      </c>
      <c r="P127" s="2">
        <v>44162</v>
      </c>
      <c r="Q127" s="8" t="str">
        <f t="shared" si="1"/>
        <v>SUPPORTED WITHIN 2DAYS</v>
      </c>
      <c r="R127" s="8" t="s">
        <v>1272</v>
      </c>
      <c r="S127" s="1">
        <v>0</v>
      </c>
      <c r="T127" s="1" t="s">
        <v>30</v>
      </c>
      <c r="U127" s="1" t="str">
        <f>VLOOKUP(T127,personnel!A$1:B$4,2,FALSE)</f>
        <v>Trinidad, Jan Carlo Aquino</v>
      </c>
      <c r="V127" s="3">
        <v>44160.362303240741</v>
      </c>
    </row>
    <row r="128" spans="1:22" x14ac:dyDescent="0.25">
      <c r="A128" s="1" t="s">
        <v>283</v>
      </c>
      <c r="B128" s="1" t="s">
        <v>32</v>
      </c>
      <c r="C128" s="1" t="s">
        <v>20</v>
      </c>
      <c r="D128" s="1" t="s">
        <v>414</v>
      </c>
      <c r="E128" s="2">
        <v>44160</v>
      </c>
      <c r="F128" s="1" t="s">
        <v>285</v>
      </c>
      <c r="G128" s="1" t="s">
        <v>415</v>
      </c>
      <c r="H128" s="1"/>
      <c r="I128" s="1" t="s">
        <v>36</v>
      </c>
      <c r="J128" s="1" t="s">
        <v>171</v>
      </c>
      <c r="K128" s="1">
        <v>0</v>
      </c>
      <c r="L128" s="1"/>
      <c r="M128" s="1" t="s">
        <v>27</v>
      </c>
      <c r="N128" s="1"/>
      <c r="O128" s="1" t="s">
        <v>29</v>
      </c>
      <c r="P128" s="2">
        <v>44162</v>
      </c>
      <c r="Q128" s="8" t="str">
        <f t="shared" si="1"/>
        <v>SUPPORTED WITHIN 2DAYS</v>
      </c>
      <c r="R128" s="8" t="s">
        <v>1272</v>
      </c>
      <c r="S128" s="1">
        <v>4</v>
      </c>
      <c r="T128" s="1" t="s">
        <v>30</v>
      </c>
      <c r="U128" s="1" t="str">
        <f>VLOOKUP(T128,personnel!A$1:B$4,2,FALSE)</f>
        <v>Trinidad, Jan Carlo Aquino</v>
      </c>
      <c r="V128" s="3">
        <v>44160.4297337963</v>
      </c>
    </row>
    <row r="129" spans="1:22" x14ac:dyDescent="0.25">
      <c r="A129" s="1" t="s">
        <v>250</v>
      </c>
      <c r="B129" s="1" t="s">
        <v>19</v>
      </c>
      <c r="C129" s="1" t="s">
        <v>20</v>
      </c>
      <c r="D129" s="1" t="s">
        <v>416</v>
      </c>
      <c r="E129" s="2">
        <v>44160</v>
      </c>
      <c r="F129" s="1" t="s">
        <v>252</v>
      </c>
      <c r="G129" s="1" t="s">
        <v>417</v>
      </c>
      <c r="H129" s="1" t="s">
        <v>418</v>
      </c>
      <c r="I129" s="1" t="s">
        <v>36</v>
      </c>
      <c r="J129" s="1" t="s">
        <v>171</v>
      </c>
      <c r="K129" s="1">
        <v>0</v>
      </c>
      <c r="L129" s="1"/>
      <c r="M129" s="1" t="s">
        <v>27</v>
      </c>
      <c r="N129" s="1"/>
      <c r="O129" s="1" t="s">
        <v>29</v>
      </c>
      <c r="P129" s="2">
        <v>44162</v>
      </c>
      <c r="Q129" s="8" t="str">
        <f t="shared" si="1"/>
        <v>SUPPORTED WITHIN 2DAYS</v>
      </c>
      <c r="R129" s="8" t="s">
        <v>1272</v>
      </c>
      <c r="S129" s="1">
        <v>0</v>
      </c>
      <c r="T129" s="1" t="s">
        <v>30</v>
      </c>
      <c r="U129" s="1" t="str">
        <f>VLOOKUP(T129,personnel!A$1:B$4,2,FALSE)</f>
        <v>Trinidad, Jan Carlo Aquino</v>
      </c>
      <c r="V129" s="3">
        <v>44160.45385416667</v>
      </c>
    </row>
    <row r="130" spans="1:22" x14ac:dyDescent="0.25">
      <c r="A130" s="1" t="s">
        <v>250</v>
      </c>
      <c r="B130" s="1" t="s">
        <v>19</v>
      </c>
      <c r="C130" s="1" t="s">
        <v>20</v>
      </c>
      <c r="D130" s="1" t="s">
        <v>419</v>
      </c>
      <c r="E130" s="2">
        <v>44160</v>
      </c>
      <c r="F130" s="1" t="s">
        <v>252</v>
      </c>
      <c r="G130" s="1" t="s">
        <v>420</v>
      </c>
      <c r="H130" s="1" t="s">
        <v>421</v>
      </c>
      <c r="I130" s="1" t="s">
        <v>36</v>
      </c>
      <c r="J130" s="1" t="s">
        <v>171</v>
      </c>
      <c r="K130" s="1">
        <v>0</v>
      </c>
      <c r="L130" s="1"/>
      <c r="M130" s="1" t="s">
        <v>27</v>
      </c>
      <c r="N130" s="1"/>
      <c r="O130" s="1" t="s">
        <v>29</v>
      </c>
      <c r="P130" s="2">
        <v>44162</v>
      </c>
      <c r="Q130" s="8" t="str">
        <f t="shared" si="1"/>
        <v>SUPPORTED WITHIN 2DAYS</v>
      </c>
      <c r="R130" s="8" t="s">
        <v>1272</v>
      </c>
      <c r="S130" s="1">
        <v>0</v>
      </c>
      <c r="T130" s="1" t="s">
        <v>30</v>
      </c>
      <c r="U130" s="1" t="str">
        <f>VLOOKUP(T130,personnel!A$1:B$4,2,FALSE)</f>
        <v>Trinidad, Jan Carlo Aquino</v>
      </c>
      <c r="V130" s="3">
        <v>44160.454074074078</v>
      </c>
    </row>
    <row r="131" spans="1:22" x14ac:dyDescent="0.25">
      <c r="A131" s="1" t="s">
        <v>400</v>
      </c>
      <c r="B131" s="1" t="s">
        <v>32</v>
      </c>
      <c r="C131" s="1" t="s">
        <v>20</v>
      </c>
      <c r="D131" s="1" t="s">
        <v>422</v>
      </c>
      <c r="E131" s="2">
        <v>44160</v>
      </c>
      <c r="F131" s="1" t="s">
        <v>402</v>
      </c>
      <c r="G131" s="1" t="s">
        <v>423</v>
      </c>
      <c r="H131" s="1"/>
      <c r="I131" s="1" t="s">
        <v>36</v>
      </c>
      <c r="J131" s="1" t="s">
        <v>171</v>
      </c>
      <c r="K131" s="1">
        <v>0</v>
      </c>
      <c r="L131" s="1"/>
      <c r="M131" s="1" t="s">
        <v>27</v>
      </c>
      <c r="N131" s="1"/>
      <c r="O131" s="1" t="s">
        <v>29</v>
      </c>
      <c r="P131" s="2">
        <v>44162</v>
      </c>
      <c r="Q131" s="8" t="str">
        <f t="shared" ref="Q131:Q194" si="2">IF((P131-E131)&gt;2,"NOT SUPPORTED WITHIN 2DAYS","SUPPORTED WITHIN 2DAYS")</f>
        <v>SUPPORTED WITHIN 2DAYS</v>
      </c>
      <c r="R131" s="8" t="s">
        <v>1272</v>
      </c>
      <c r="S131" s="1">
        <v>4</v>
      </c>
      <c r="T131" s="1" t="s">
        <v>30</v>
      </c>
      <c r="U131" s="1" t="str">
        <f>VLOOKUP(T131,personnel!A$1:B$4,2,FALSE)</f>
        <v>Trinidad, Jan Carlo Aquino</v>
      </c>
      <c r="V131" s="3">
        <v>44160.472638888888</v>
      </c>
    </row>
    <row r="132" spans="1:22" x14ac:dyDescent="0.25">
      <c r="A132" s="1" t="s">
        <v>424</v>
      </c>
      <c r="B132" s="1" t="s">
        <v>19</v>
      </c>
      <c r="C132" s="1" t="s">
        <v>166</v>
      </c>
      <c r="D132" s="1" t="s">
        <v>425</v>
      </c>
      <c r="E132" s="2">
        <v>44159</v>
      </c>
      <c r="F132" s="1" t="s">
        <v>426</v>
      </c>
      <c r="G132" s="1" t="s">
        <v>427</v>
      </c>
      <c r="H132" s="1"/>
      <c r="I132" s="1" t="s">
        <v>36</v>
      </c>
      <c r="J132" s="1" t="s">
        <v>171</v>
      </c>
      <c r="K132" s="1">
        <v>0</v>
      </c>
      <c r="L132" s="1"/>
      <c r="M132" s="1" t="s">
        <v>428</v>
      </c>
      <c r="N132" s="1"/>
      <c r="O132" s="1" t="s">
        <v>274</v>
      </c>
      <c r="P132" s="2">
        <v>44160</v>
      </c>
      <c r="Q132" s="8" t="str">
        <f t="shared" si="2"/>
        <v>SUPPORTED WITHIN 2DAYS</v>
      </c>
      <c r="R132" s="8" t="s">
        <v>1272</v>
      </c>
      <c r="S132" s="1">
        <v>0</v>
      </c>
      <c r="T132" s="1" t="s">
        <v>275</v>
      </c>
      <c r="U132" s="1" t="str">
        <f>VLOOKUP(T132,personnel!A$1:B$4,2,FALSE)</f>
        <v>Cuison, Bernard Ramos</v>
      </c>
      <c r="V132" s="3">
        <v>44160.498229166667</v>
      </c>
    </row>
    <row r="133" spans="1:22" x14ac:dyDescent="0.25">
      <c r="A133" s="1" t="s">
        <v>78</v>
      </c>
      <c r="B133" s="1" t="s">
        <v>19</v>
      </c>
      <c r="C133" s="1" t="s">
        <v>20</v>
      </c>
      <c r="D133" s="1" t="s">
        <v>429</v>
      </c>
      <c r="E133" s="2">
        <v>44160</v>
      </c>
      <c r="F133" s="1" t="s">
        <v>80</v>
      </c>
      <c r="G133" s="1" t="s">
        <v>430</v>
      </c>
      <c r="H133" s="1" t="s">
        <v>431</v>
      </c>
      <c r="I133" s="1" t="s">
        <v>36</v>
      </c>
      <c r="J133" s="1" t="s">
        <v>171</v>
      </c>
      <c r="K133" s="1">
        <v>0</v>
      </c>
      <c r="L133" s="1"/>
      <c r="M133" s="1" t="s">
        <v>27</v>
      </c>
      <c r="N133" s="1"/>
      <c r="O133" s="1" t="s">
        <v>29</v>
      </c>
      <c r="P133" s="2">
        <v>44162</v>
      </c>
      <c r="Q133" s="8" t="str">
        <f t="shared" si="2"/>
        <v>SUPPORTED WITHIN 2DAYS</v>
      </c>
      <c r="R133" s="8" t="s">
        <v>1272</v>
      </c>
      <c r="S133" s="1">
        <v>0</v>
      </c>
      <c r="T133" s="1" t="s">
        <v>30</v>
      </c>
      <c r="U133" s="1" t="str">
        <f>VLOOKUP(T133,personnel!A$1:B$4,2,FALSE)</f>
        <v>Trinidad, Jan Carlo Aquino</v>
      </c>
      <c r="V133" s="3">
        <v>44160.615555555552</v>
      </c>
    </row>
    <row r="134" spans="1:22" x14ac:dyDescent="0.25">
      <c r="A134" s="1" t="s">
        <v>378</v>
      </c>
      <c r="B134" s="1" t="s">
        <v>19</v>
      </c>
      <c r="C134" s="1" t="s">
        <v>20</v>
      </c>
      <c r="D134" s="1" t="s">
        <v>432</v>
      </c>
      <c r="E134" s="2">
        <v>44160</v>
      </c>
      <c r="F134" s="1" t="s">
        <v>380</v>
      </c>
      <c r="G134" s="1" t="s">
        <v>433</v>
      </c>
      <c r="H134" s="1"/>
      <c r="I134" s="1" t="s">
        <v>36</v>
      </c>
      <c r="J134" s="1" t="s">
        <v>36</v>
      </c>
      <c r="K134" s="1">
        <v>0</v>
      </c>
      <c r="L134" s="1"/>
      <c r="M134" s="1" t="s">
        <v>77</v>
      </c>
      <c r="N134" s="1"/>
      <c r="O134" s="1" t="s">
        <v>29</v>
      </c>
      <c r="P134" s="2">
        <v>44162</v>
      </c>
      <c r="Q134" s="8" t="str">
        <f t="shared" si="2"/>
        <v>SUPPORTED WITHIN 2DAYS</v>
      </c>
      <c r="R134" s="8" t="s">
        <v>1272</v>
      </c>
      <c r="S134" s="1">
        <v>0</v>
      </c>
      <c r="T134" s="1" t="s">
        <v>30</v>
      </c>
      <c r="U134" s="1" t="str">
        <f>VLOOKUP(T134,personnel!A$1:B$4,2,FALSE)</f>
        <v>Trinidad, Jan Carlo Aquino</v>
      </c>
      <c r="V134" s="3">
        <v>44161.396226851852</v>
      </c>
    </row>
    <row r="135" spans="1:22" x14ac:dyDescent="0.25">
      <c r="A135" s="1" t="s">
        <v>37</v>
      </c>
      <c r="B135" s="1" t="s">
        <v>19</v>
      </c>
      <c r="C135" s="1" t="s">
        <v>166</v>
      </c>
      <c r="D135" s="1" t="s">
        <v>434</v>
      </c>
      <c r="E135" s="2">
        <v>44161</v>
      </c>
      <c r="F135" s="1" t="s">
        <v>39</v>
      </c>
      <c r="G135" s="1" t="s">
        <v>435</v>
      </c>
      <c r="H135" s="1"/>
      <c r="I135" s="1" t="s">
        <v>25</v>
      </c>
      <c r="J135" s="1" t="s">
        <v>26</v>
      </c>
      <c r="K135" s="1">
        <v>0</v>
      </c>
      <c r="L135" s="1"/>
      <c r="M135" s="1"/>
      <c r="N135" s="1"/>
      <c r="O135" s="1"/>
      <c r="P135" s="2">
        <v>44161</v>
      </c>
      <c r="Q135" s="8" t="str">
        <f t="shared" si="2"/>
        <v>SUPPORTED WITHIN 2DAYS</v>
      </c>
      <c r="R135" s="8" t="s">
        <v>1272</v>
      </c>
      <c r="S135" s="1">
        <v>0</v>
      </c>
      <c r="T135" s="1" t="s">
        <v>30</v>
      </c>
      <c r="U135" s="1" t="str">
        <f>VLOOKUP(T135,personnel!A$1:B$4,2,FALSE)</f>
        <v>Trinidad, Jan Carlo Aquino</v>
      </c>
      <c r="V135" s="3">
        <v>44161.399074074077</v>
      </c>
    </row>
    <row r="136" spans="1:22" x14ac:dyDescent="0.25">
      <c r="A136" s="1" t="s">
        <v>37</v>
      </c>
      <c r="B136" s="1" t="s">
        <v>19</v>
      </c>
      <c r="C136" s="1" t="s">
        <v>166</v>
      </c>
      <c r="D136" s="1" t="s">
        <v>436</v>
      </c>
      <c r="E136" s="2">
        <v>44161</v>
      </c>
      <c r="F136" s="1" t="s">
        <v>39</v>
      </c>
      <c r="G136" s="1" t="s">
        <v>437</v>
      </c>
      <c r="H136" s="1"/>
      <c r="I136" s="1" t="s">
        <v>25</v>
      </c>
      <c r="J136" s="1" t="s">
        <v>26</v>
      </c>
      <c r="K136" s="1">
        <v>0</v>
      </c>
      <c r="L136" s="1"/>
      <c r="M136" s="1"/>
      <c r="N136" s="1" t="s">
        <v>438</v>
      </c>
      <c r="O136" s="1"/>
      <c r="P136" s="2">
        <v>44161</v>
      </c>
      <c r="Q136" s="8" t="str">
        <f t="shared" si="2"/>
        <v>SUPPORTED WITHIN 2DAYS</v>
      </c>
      <c r="R136" s="8" t="s">
        <v>1272</v>
      </c>
      <c r="S136" s="1">
        <v>0</v>
      </c>
      <c r="T136" s="1" t="s">
        <v>30</v>
      </c>
      <c r="U136" s="1" t="str">
        <f>VLOOKUP(T136,personnel!A$1:B$4,2,FALSE)</f>
        <v>Trinidad, Jan Carlo Aquino</v>
      </c>
      <c r="V136" s="3">
        <v>44161.399641203701</v>
      </c>
    </row>
    <row r="137" spans="1:22" x14ac:dyDescent="0.25">
      <c r="A137" s="1" t="s">
        <v>37</v>
      </c>
      <c r="B137" s="1" t="s">
        <v>32</v>
      </c>
      <c r="C137" s="1" t="s">
        <v>20</v>
      </c>
      <c r="D137" s="1" t="s">
        <v>439</v>
      </c>
      <c r="E137" s="2">
        <v>44160</v>
      </c>
      <c r="F137" s="1" t="s">
        <v>39</v>
      </c>
      <c r="G137" s="1" t="s">
        <v>440</v>
      </c>
      <c r="H137" s="1" t="s">
        <v>441</v>
      </c>
      <c r="I137" s="1" t="s">
        <v>36</v>
      </c>
      <c r="J137" s="1" t="s">
        <v>171</v>
      </c>
      <c r="K137" s="1">
        <v>0</v>
      </c>
      <c r="L137" s="1"/>
      <c r="M137" s="1" t="s">
        <v>442</v>
      </c>
      <c r="N137" s="1" t="s">
        <v>438</v>
      </c>
      <c r="O137" s="1" t="s">
        <v>29</v>
      </c>
      <c r="P137" s="2">
        <v>44162</v>
      </c>
      <c r="Q137" s="8" t="str">
        <f t="shared" si="2"/>
        <v>SUPPORTED WITHIN 2DAYS</v>
      </c>
      <c r="R137" s="8" t="s">
        <v>1272</v>
      </c>
      <c r="S137" s="1">
        <v>4</v>
      </c>
      <c r="T137" s="1" t="s">
        <v>30</v>
      </c>
      <c r="U137" s="1" t="str">
        <f>VLOOKUP(T137,personnel!A$1:B$4,2,FALSE)</f>
        <v>Trinidad, Jan Carlo Aquino</v>
      </c>
      <c r="V137" s="3">
        <v>44161.403055555558</v>
      </c>
    </row>
    <row r="138" spans="1:22" x14ac:dyDescent="0.25">
      <c r="A138" s="1" t="s">
        <v>18</v>
      </c>
      <c r="B138" s="1" t="s">
        <v>32</v>
      </c>
      <c r="C138" s="1" t="s">
        <v>20</v>
      </c>
      <c r="D138" s="1" t="s">
        <v>443</v>
      </c>
      <c r="E138" s="2">
        <v>44161</v>
      </c>
      <c r="F138" s="1" t="s">
        <v>22</v>
      </c>
      <c r="G138" s="1" t="s">
        <v>444</v>
      </c>
      <c r="H138" s="1"/>
      <c r="I138" s="1" t="s">
        <v>36</v>
      </c>
      <c r="J138" s="1" t="s">
        <v>171</v>
      </c>
      <c r="K138" s="1">
        <v>0</v>
      </c>
      <c r="L138" s="1"/>
      <c r="M138" s="1" t="s">
        <v>27</v>
      </c>
      <c r="N138" s="1" t="s">
        <v>438</v>
      </c>
      <c r="O138" s="1" t="s">
        <v>29</v>
      </c>
      <c r="P138" s="2">
        <v>44162</v>
      </c>
      <c r="Q138" s="8" t="str">
        <f t="shared" si="2"/>
        <v>SUPPORTED WITHIN 2DAYS</v>
      </c>
      <c r="R138" s="8" t="s">
        <v>1272</v>
      </c>
      <c r="S138" s="1">
        <v>4</v>
      </c>
      <c r="T138" s="1" t="s">
        <v>30</v>
      </c>
      <c r="U138" s="1" t="str">
        <f>VLOOKUP(T138,personnel!A$1:B$4,2,FALSE)</f>
        <v>Trinidad, Jan Carlo Aquino</v>
      </c>
      <c r="V138" s="3">
        <v>44161.404004629629</v>
      </c>
    </row>
    <row r="139" spans="1:22" x14ac:dyDescent="0.25">
      <c r="A139" s="1" t="s">
        <v>387</v>
      </c>
      <c r="B139" s="1" t="s">
        <v>19</v>
      </c>
      <c r="C139" s="1" t="s">
        <v>20</v>
      </c>
      <c r="D139" s="1" t="s">
        <v>445</v>
      </c>
      <c r="E139" s="2">
        <v>44161</v>
      </c>
      <c r="F139" s="1" t="s">
        <v>390</v>
      </c>
      <c r="G139" s="1" t="s">
        <v>446</v>
      </c>
      <c r="H139" s="1" t="s">
        <v>447</v>
      </c>
      <c r="I139" s="1" t="s">
        <v>41</v>
      </c>
      <c r="J139" s="1" t="s">
        <v>287</v>
      </c>
      <c r="K139" s="1">
        <v>0</v>
      </c>
      <c r="L139" s="1"/>
      <c r="M139" s="1" t="s">
        <v>27</v>
      </c>
      <c r="N139" s="1" t="s">
        <v>438</v>
      </c>
      <c r="O139" s="1" t="s">
        <v>29</v>
      </c>
      <c r="P139" s="2">
        <v>44161</v>
      </c>
      <c r="Q139" s="8" t="str">
        <f t="shared" si="2"/>
        <v>SUPPORTED WITHIN 2DAYS</v>
      </c>
      <c r="R139" s="8" t="s">
        <v>1272</v>
      </c>
      <c r="S139" s="1">
        <v>0</v>
      </c>
      <c r="T139" s="1" t="s">
        <v>30</v>
      </c>
      <c r="U139" s="1" t="str">
        <f>VLOOKUP(T139,personnel!A$1:B$4,2,FALSE)</f>
        <v>Trinidad, Jan Carlo Aquino</v>
      </c>
      <c r="V139" s="3">
        <v>44161.415798611109</v>
      </c>
    </row>
    <row r="140" spans="1:22" x14ac:dyDescent="0.25">
      <c r="A140" s="1" t="s">
        <v>448</v>
      </c>
      <c r="B140" s="1" t="s">
        <v>32</v>
      </c>
      <c r="C140" s="1" t="s">
        <v>20</v>
      </c>
      <c r="D140" s="1" t="s">
        <v>449</v>
      </c>
      <c r="E140" s="2">
        <v>44161</v>
      </c>
      <c r="F140" s="1" t="s">
        <v>450</v>
      </c>
      <c r="G140" s="1" t="s">
        <v>451</v>
      </c>
      <c r="H140" s="1"/>
      <c r="I140" s="1" t="s">
        <v>36</v>
      </c>
      <c r="J140" s="1" t="s">
        <v>171</v>
      </c>
      <c r="K140" s="1">
        <v>0</v>
      </c>
      <c r="L140" s="1"/>
      <c r="M140" s="1" t="s">
        <v>27</v>
      </c>
      <c r="N140" s="1" t="s">
        <v>438</v>
      </c>
      <c r="O140" s="1" t="s">
        <v>29</v>
      </c>
      <c r="P140" s="2">
        <v>44162</v>
      </c>
      <c r="Q140" s="8" t="str">
        <f t="shared" si="2"/>
        <v>SUPPORTED WITHIN 2DAYS</v>
      </c>
      <c r="R140" s="8" t="s">
        <v>1272</v>
      </c>
      <c r="S140" s="1">
        <v>4</v>
      </c>
      <c r="T140" s="1" t="s">
        <v>30</v>
      </c>
      <c r="U140" s="1" t="str">
        <f>VLOOKUP(T140,personnel!A$1:B$4,2,FALSE)</f>
        <v>Trinidad, Jan Carlo Aquino</v>
      </c>
      <c r="V140" s="3">
        <v>44161.438726851855</v>
      </c>
    </row>
    <row r="141" spans="1:22" x14ac:dyDescent="0.25">
      <c r="A141" s="1" t="s">
        <v>78</v>
      </c>
      <c r="B141" s="1" t="s">
        <v>32</v>
      </c>
      <c r="C141" s="1" t="s">
        <v>20</v>
      </c>
      <c r="D141" s="1" t="s">
        <v>452</v>
      </c>
      <c r="E141" s="2">
        <v>44161</v>
      </c>
      <c r="F141" s="1" t="s">
        <v>80</v>
      </c>
      <c r="G141" s="1" t="s">
        <v>453</v>
      </c>
      <c r="H141" s="1"/>
      <c r="I141" s="1" t="s">
        <v>36</v>
      </c>
      <c r="J141" s="1" t="s">
        <v>171</v>
      </c>
      <c r="K141" s="1">
        <v>0</v>
      </c>
      <c r="L141" s="1"/>
      <c r="M141" s="1" t="s">
        <v>27</v>
      </c>
      <c r="N141" s="1"/>
      <c r="O141" s="1" t="s">
        <v>29</v>
      </c>
      <c r="P141" s="2">
        <v>44162</v>
      </c>
      <c r="Q141" s="8" t="str">
        <f t="shared" si="2"/>
        <v>SUPPORTED WITHIN 2DAYS</v>
      </c>
      <c r="R141" s="8" t="s">
        <v>1272</v>
      </c>
      <c r="S141" s="1">
        <v>4</v>
      </c>
      <c r="T141" s="1" t="s">
        <v>30</v>
      </c>
      <c r="U141" s="1" t="str">
        <f>VLOOKUP(T141,personnel!A$1:B$4,2,FALSE)</f>
        <v>Trinidad, Jan Carlo Aquino</v>
      </c>
      <c r="V141" s="3">
        <v>44161.483877314815</v>
      </c>
    </row>
    <row r="142" spans="1:22" x14ac:dyDescent="0.25">
      <c r="A142" s="1" t="s">
        <v>78</v>
      </c>
      <c r="B142" s="1" t="s">
        <v>32</v>
      </c>
      <c r="C142" s="1" t="s">
        <v>20</v>
      </c>
      <c r="D142" s="1" t="s">
        <v>454</v>
      </c>
      <c r="E142" s="2">
        <v>44161</v>
      </c>
      <c r="F142" s="1" t="s">
        <v>80</v>
      </c>
      <c r="G142" s="1" t="s">
        <v>455</v>
      </c>
      <c r="H142" s="1"/>
      <c r="I142" s="1" t="s">
        <v>36</v>
      </c>
      <c r="J142" s="1" t="s">
        <v>171</v>
      </c>
      <c r="K142" s="1">
        <v>0</v>
      </c>
      <c r="L142" s="1"/>
      <c r="M142" s="1" t="s">
        <v>27</v>
      </c>
      <c r="N142" s="1"/>
      <c r="O142" s="1" t="s">
        <v>29</v>
      </c>
      <c r="P142" s="2">
        <v>44162</v>
      </c>
      <c r="Q142" s="8" t="str">
        <f t="shared" si="2"/>
        <v>SUPPORTED WITHIN 2DAYS</v>
      </c>
      <c r="R142" s="8" t="s">
        <v>1272</v>
      </c>
      <c r="S142" s="1">
        <v>4</v>
      </c>
      <c r="T142" s="1" t="s">
        <v>30</v>
      </c>
      <c r="U142" s="1" t="str">
        <f>VLOOKUP(T142,personnel!A$1:B$4,2,FALSE)</f>
        <v>Trinidad, Jan Carlo Aquino</v>
      </c>
      <c r="V142" s="3">
        <v>44161.571759259263</v>
      </c>
    </row>
    <row r="143" spans="1:22" x14ac:dyDescent="0.25">
      <c r="A143" s="1" t="s">
        <v>400</v>
      </c>
      <c r="B143" s="1" t="s">
        <v>19</v>
      </c>
      <c r="C143" s="1" t="s">
        <v>20</v>
      </c>
      <c r="D143" s="1" t="s">
        <v>456</v>
      </c>
      <c r="E143" s="2">
        <v>44161</v>
      </c>
      <c r="F143" s="1" t="s">
        <v>402</v>
      </c>
      <c r="G143" s="1" t="s">
        <v>457</v>
      </c>
      <c r="H143" s="1"/>
      <c r="I143" s="1" t="s">
        <v>36</v>
      </c>
      <c r="J143" s="1" t="s">
        <v>171</v>
      </c>
      <c r="K143" s="1">
        <v>0</v>
      </c>
      <c r="L143" s="1"/>
      <c r="M143" s="1" t="s">
        <v>27</v>
      </c>
      <c r="N143" s="1" t="s">
        <v>185</v>
      </c>
      <c r="O143" s="1" t="s">
        <v>29</v>
      </c>
      <c r="P143" s="2">
        <v>44162</v>
      </c>
      <c r="Q143" s="8" t="str">
        <f t="shared" si="2"/>
        <v>SUPPORTED WITHIN 2DAYS</v>
      </c>
      <c r="R143" s="8" t="s">
        <v>1272</v>
      </c>
      <c r="S143" s="1">
        <v>0</v>
      </c>
      <c r="T143" s="1" t="s">
        <v>30</v>
      </c>
      <c r="U143" s="1" t="str">
        <f>VLOOKUP(T143,personnel!A$1:B$4,2,FALSE)</f>
        <v>Trinidad, Jan Carlo Aquino</v>
      </c>
      <c r="V143" s="3">
        <v>44161.582141203704</v>
      </c>
    </row>
    <row r="144" spans="1:22" x14ac:dyDescent="0.25">
      <c r="A144" s="1" t="s">
        <v>458</v>
      </c>
      <c r="B144" s="1" t="s">
        <v>19</v>
      </c>
      <c r="C144" s="1" t="s">
        <v>166</v>
      </c>
      <c r="D144" s="1" t="s">
        <v>459</v>
      </c>
      <c r="E144" s="2">
        <v>44160</v>
      </c>
      <c r="F144" s="1" t="s">
        <v>460</v>
      </c>
      <c r="G144" s="1" t="s">
        <v>53</v>
      </c>
      <c r="H144" s="1"/>
      <c r="I144" s="1" t="s">
        <v>25</v>
      </c>
      <c r="J144" s="1" t="s">
        <v>26</v>
      </c>
      <c r="K144" s="1">
        <v>0</v>
      </c>
      <c r="L144" s="1"/>
      <c r="M144" s="1"/>
      <c r="N144" s="1" t="s">
        <v>185</v>
      </c>
      <c r="O144" s="1"/>
      <c r="P144" s="2">
        <v>44161</v>
      </c>
      <c r="Q144" s="8" t="str">
        <f t="shared" si="2"/>
        <v>SUPPORTED WITHIN 2DAYS</v>
      </c>
      <c r="R144" s="8" t="s">
        <v>1272</v>
      </c>
      <c r="S144" s="1">
        <v>0</v>
      </c>
      <c r="T144" s="1" t="s">
        <v>30</v>
      </c>
      <c r="U144" s="1" t="str">
        <f>VLOOKUP(T144,personnel!A$1:B$4,2,FALSE)</f>
        <v>Trinidad, Jan Carlo Aquino</v>
      </c>
      <c r="V144" s="3">
        <v>44161.596956018519</v>
      </c>
    </row>
    <row r="145" spans="1:22" x14ac:dyDescent="0.25">
      <c r="A145" s="1" t="s">
        <v>18</v>
      </c>
      <c r="B145" s="1" t="s">
        <v>32</v>
      </c>
      <c r="C145" s="1" t="s">
        <v>20</v>
      </c>
      <c r="D145" s="1" t="s">
        <v>461</v>
      </c>
      <c r="E145" s="2">
        <v>44161</v>
      </c>
      <c r="F145" s="1" t="s">
        <v>22</v>
      </c>
      <c r="G145" s="1" t="s">
        <v>462</v>
      </c>
      <c r="H145" s="1"/>
      <c r="I145" s="1" t="s">
        <v>36</v>
      </c>
      <c r="J145" s="1" t="s">
        <v>171</v>
      </c>
      <c r="K145" s="1">
        <v>0</v>
      </c>
      <c r="L145" s="1"/>
      <c r="M145" s="1" t="s">
        <v>27</v>
      </c>
      <c r="N145" s="1" t="s">
        <v>185</v>
      </c>
      <c r="O145" s="1" t="s">
        <v>29</v>
      </c>
      <c r="P145" s="2">
        <v>44162</v>
      </c>
      <c r="Q145" s="8" t="str">
        <f t="shared" si="2"/>
        <v>SUPPORTED WITHIN 2DAYS</v>
      </c>
      <c r="R145" s="8" t="s">
        <v>1272</v>
      </c>
      <c r="S145" s="1">
        <v>4</v>
      </c>
      <c r="T145" s="1" t="s">
        <v>30</v>
      </c>
      <c r="U145" s="1" t="str">
        <f>VLOOKUP(T145,personnel!A$1:B$4,2,FALSE)</f>
        <v>Trinidad, Jan Carlo Aquino</v>
      </c>
      <c r="V145" s="3">
        <v>44161.597604166665</v>
      </c>
    </row>
    <row r="146" spans="1:22" x14ac:dyDescent="0.25">
      <c r="A146" s="1" t="s">
        <v>78</v>
      </c>
      <c r="B146" s="1" t="s">
        <v>32</v>
      </c>
      <c r="C146" s="1" t="s">
        <v>20</v>
      </c>
      <c r="D146" s="1" t="s">
        <v>463</v>
      </c>
      <c r="E146" s="2">
        <v>44161</v>
      </c>
      <c r="F146" s="1" t="s">
        <v>80</v>
      </c>
      <c r="G146" s="1" t="s">
        <v>464</v>
      </c>
      <c r="H146" s="1"/>
      <c r="I146" s="1" t="s">
        <v>36</v>
      </c>
      <c r="J146" s="1" t="s">
        <v>171</v>
      </c>
      <c r="K146" s="1">
        <v>0</v>
      </c>
      <c r="L146" s="1"/>
      <c r="M146" s="1" t="s">
        <v>27</v>
      </c>
      <c r="N146" s="1"/>
      <c r="O146" s="1" t="s">
        <v>29</v>
      </c>
      <c r="P146" s="2">
        <v>44162</v>
      </c>
      <c r="Q146" s="8" t="str">
        <f t="shared" si="2"/>
        <v>SUPPORTED WITHIN 2DAYS</v>
      </c>
      <c r="R146" s="8" t="s">
        <v>1272</v>
      </c>
      <c r="S146" s="1">
        <v>4</v>
      </c>
      <c r="T146" s="1" t="s">
        <v>30</v>
      </c>
      <c r="U146" s="1" t="str">
        <f>VLOOKUP(T146,personnel!A$1:B$4,2,FALSE)</f>
        <v>Trinidad, Jan Carlo Aquino</v>
      </c>
      <c r="V146" s="3">
        <v>44161.702766203707</v>
      </c>
    </row>
    <row r="147" spans="1:22" x14ac:dyDescent="0.25">
      <c r="A147" s="1" t="s">
        <v>18</v>
      </c>
      <c r="B147" s="1" t="s">
        <v>388</v>
      </c>
      <c r="C147" s="1" t="s">
        <v>20</v>
      </c>
      <c r="D147" s="1" t="s">
        <v>465</v>
      </c>
      <c r="E147" s="2">
        <v>44162</v>
      </c>
      <c r="F147" s="1" t="s">
        <v>22</v>
      </c>
      <c r="G147" s="1" t="s">
        <v>466</v>
      </c>
      <c r="H147" s="1"/>
      <c r="I147" s="1" t="s">
        <v>36</v>
      </c>
      <c r="J147" s="1" t="s">
        <v>171</v>
      </c>
      <c r="K147" s="1">
        <v>0</v>
      </c>
      <c r="L147" s="1"/>
      <c r="M147" s="1" t="s">
        <v>27</v>
      </c>
      <c r="N147" s="1" t="s">
        <v>467</v>
      </c>
      <c r="O147" s="1" t="s">
        <v>29</v>
      </c>
      <c r="P147" s="2">
        <v>44162</v>
      </c>
      <c r="Q147" s="8" t="str">
        <f t="shared" si="2"/>
        <v>SUPPORTED WITHIN 2DAYS</v>
      </c>
      <c r="R147" s="8" t="s">
        <v>1272</v>
      </c>
      <c r="S147" s="1">
        <v>1</v>
      </c>
      <c r="T147" s="1" t="s">
        <v>30</v>
      </c>
      <c r="U147" s="1" t="str">
        <f>VLOOKUP(T147,personnel!A$1:B$4,2,FALSE)</f>
        <v>Trinidad, Jan Carlo Aquino</v>
      </c>
      <c r="V147" s="3">
        <v>44162.354317129626</v>
      </c>
    </row>
    <row r="148" spans="1:22" x14ac:dyDescent="0.25">
      <c r="A148" s="1" t="s">
        <v>468</v>
      </c>
      <c r="B148" s="1" t="s">
        <v>19</v>
      </c>
      <c r="C148" s="1" t="s">
        <v>166</v>
      </c>
      <c r="D148" s="1" t="s">
        <v>469</v>
      </c>
      <c r="E148" s="2">
        <v>44162</v>
      </c>
      <c r="F148" s="1" t="s">
        <v>470</v>
      </c>
      <c r="G148" s="1" t="s">
        <v>471</v>
      </c>
      <c r="H148" s="1"/>
      <c r="I148" s="1" t="s">
        <v>36</v>
      </c>
      <c r="J148" s="1" t="s">
        <v>36</v>
      </c>
      <c r="K148" s="1">
        <v>0</v>
      </c>
      <c r="L148" s="1"/>
      <c r="M148" s="1"/>
      <c r="N148" s="1" t="s">
        <v>467</v>
      </c>
      <c r="O148" s="1"/>
      <c r="P148" s="2">
        <v>44162</v>
      </c>
      <c r="Q148" s="8" t="str">
        <f t="shared" si="2"/>
        <v>SUPPORTED WITHIN 2DAYS</v>
      </c>
      <c r="R148" s="8" t="s">
        <v>1272</v>
      </c>
      <c r="S148" s="1">
        <v>0</v>
      </c>
      <c r="T148" s="1" t="s">
        <v>30</v>
      </c>
      <c r="U148" s="1" t="str">
        <f>VLOOKUP(T148,personnel!A$1:B$4,2,FALSE)</f>
        <v>Trinidad, Jan Carlo Aquino</v>
      </c>
      <c r="V148" s="3">
        <v>44162.365173611113</v>
      </c>
    </row>
    <row r="149" spans="1:22" x14ac:dyDescent="0.25">
      <c r="A149" s="1" t="s">
        <v>78</v>
      </c>
      <c r="B149" s="1" t="s">
        <v>19</v>
      </c>
      <c r="C149" s="1" t="s">
        <v>166</v>
      </c>
      <c r="D149" s="1" t="s">
        <v>472</v>
      </c>
      <c r="E149" s="2">
        <v>44162</v>
      </c>
      <c r="F149" s="1" t="s">
        <v>80</v>
      </c>
      <c r="G149" s="1" t="s">
        <v>473</v>
      </c>
      <c r="H149" s="1"/>
      <c r="I149" s="1" t="s">
        <v>36</v>
      </c>
      <c r="J149" s="1" t="s">
        <v>36</v>
      </c>
      <c r="K149" s="1">
        <v>0</v>
      </c>
      <c r="L149" s="1"/>
      <c r="M149" s="1"/>
      <c r="N149" s="1" t="s">
        <v>467</v>
      </c>
      <c r="O149" s="1"/>
      <c r="P149" s="2">
        <v>44162</v>
      </c>
      <c r="Q149" s="8" t="str">
        <f t="shared" si="2"/>
        <v>SUPPORTED WITHIN 2DAYS</v>
      </c>
      <c r="R149" s="8" t="s">
        <v>1272</v>
      </c>
      <c r="S149" s="1">
        <v>0</v>
      </c>
      <c r="T149" s="1" t="s">
        <v>30</v>
      </c>
      <c r="U149" s="1" t="str">
        <f>VLOOKUP(T149,personnel!A$1:B$4,2,FALSE)</f>
        <v>Trinidad, Jan Carlo Aquino</v>
      </c>
      <c r="V149" s="3">
        <v>44162.406574074077</v>
      </c>
    </row>
    <row r="150" spans="1:22" x14ac:dyDescent="0.25">
      <c r="A150" s="1" t="s">
        <v>37</v>
      </c>
      <c r="B150" s="1" t="s">
        <v>19</v>
      </c>
      <c r="C150" s="1" t="s">
        <v>166</v>
      </c>
      <c r="D150" s="1" t="s">
        <v>474</v>
      </c>
      <c r="E150" s="2">
        <v>44162</v>
      </c>
      <c r="F150" s="1" t="s">
        <v>39</v>
      </c>
      <c r="G150" s="1" t="s">
        <v>475</v>
      </c>
      <c r="H150" s="1"/>
      <c r="I150" s="1" t="s">
        <v>36</v>
      </c>
      <c r="J150" s="1" t="s">
        <v>36</v>
      </c>
      <c r="K150" s="1">
        <v>0</v>
      </c>
      <c r="L150" s="1"/>
      <c r="M150" s="1"/>
      <c r="N150" s="1" t="s">
        <v>467</v>
      </c>
      <c r="O150" s="1"/>
      <c r="P150" s="2">
        <v>44162</v>
      </c>
      <c r="Q150" s="8" t="str">
        <f t="shared" si="2"/>
        <v>SUPPORTED WITHIN 2DAYS</v>
      </c>
      <c r="R150" s="8" t="s">
        <v>1272</v>
      </c>
      <c r="S150" s="1">
        <v>0</v>
      </c>
      <c r="T150" s="1" t="s">
        <v>30</v>
      </c>
      <c r="U150" s="1" t="str">
        <f>VLOOKUP(T150,personnel!A$1:B$4,2,FALSE)</f>
        <v>Trinidad, Jan Carlo Aquino</v>
      </c>
      <c r="V150" s="3">
        <v>44162.415231481478</v>
      </c>
    </row>
    <row r="151" spans="1:22" x14ac:dyDescent="0.25">
      <c r="A151" s="1" t="s">
        <v>37</v>
      </c>
      <c r="B151" s="1" t="s">
        <v>19</v>
      </c>
      <c r="C151" s="1" t="s">
        <v>166</v>
      </c>
      <c r="D151" s="1" t="s">
        <v>476</v>
      </c>
      <c r="E151" s="2">
        <v>44162</v>
      </c>
      <c r="F151" s="1" t="s">
        <v>39</v>
      </c>
      <c r="G151" s="1" t="s">
        <v>477</v>
      </c>
      <c r="H151" s="1"/>
      <c r="I151" s="1" t="s">
        <v>36</v>
      </c>
      <c r="J151" s="1" t="s">
        <v>36</v>
      </c>
      <c r="K151" s="1">
        <v>0</v>
      </c>
      <c r="L151" s="1"/>
      <c r="M151" s="1"/>
      <c r="N151" s="1" t="s">
        <v>467</v>
      </c>
      <c r="O151" s="1"/>
      <c r="P151" s="2">
        <v>44162</v>
      </c>
      <c r="Q151" s="8" t="str">
        <f t="shared" si="2"/>
        <v>SUPPORTED WITHIN 2DAYS</v>
      </c>
      <c r="R151" s="8" t="s">
        <v>1272</v>
      </c>
      <c r="S151" s="1">
        <v>0</v>
      </c>
      <c r="T151" s="1" t="s">
        <v>30</v>
      </c>
      <c r="U151" s="1" t="str">
        <f>VLOOKUP(T151,personnel!A$1:B$4,2,FALSE)</f>
        <v>Trinidad, Jan Carlo Aquino</v>
      </c>
      <c r="V151" s="3">
        <v>44162.45548611111</v>
      </c>
    </row>
    <row r="152" spans="1:22" x14ac:dyDescent="0.25">
      <c r="A152" s="1" t="s">
        <v>478</v>
      </c>
      <c r="B152" s="1" t="s">
        <v>19</v>
      </c>
      <c r="C152" s="1" t="s">
        <v>166</v>
      </c>
      <c r="D152" s="1" t="s">
        <v>479</v>
      </c>
      <c r="E152" s="2">
        <v>44162</v>
      </c>
      <c r="F152" s="1" t="s">
        <v>480</v>
      </c>
      <c r="G152" s="1" t="s">
        <v>481</v>
      </c>
      <c r="H152" s="1"/>
      <c r="I152" s="1" t="s">
        <v>36</v>
      </c>
      <c r="J152" s="1" t="s">
        <v>36</v>
      </c>
      <c r="K152" s="1">
        <v>0</v>
      </c>
      <c r="L152" s="1"/>
      <c r="M152" s="1"/>
      <c r="N152" s="1" t="s">
        <v>467</v>
      </c>
      <c r="O152" s="1"/>
      <c r="P152" s="2">
        <v>44162</v>
      </c>
      <c r="Q152" s="8" t="str">
        <f t="shared" si="2"/>
        <v>SUPPORTED WITHIN 2DAYS</v>
      </c>
      <c r="R152" s="8" t="s">
        <v>1272</v>
      </c>
      <c r="S152" s="1">
        <v>0</v>
      </c>
      <c r="T152" s="1" t="s">
        <v>30</v>
      </c>
      <c r="U152" s="1" t="str">
        <f>VLOOKUP(T152,personnel!A$1:B$4,2,FALSE)</f>
        <v>Trinidad, Jan Carlo Aquino</v>
      </c>
      <c r="V152" s="3">
        <v>44162.469629629632</v>
      </c>
    </row>
    <row r="153" spans="1:22" x14ac:dyDescent="0.25">
      <c r="A153" s="1" t="s">
        <v>37</v>
      </c>
      <c r="B153" s="1" t="s">
        <v>19</v>
      </c>
      <c r="C153" s="1" t="s">
        <v>166</v>
      </c>
      <c r="D153" s="1" t="s">
        <v>482</v>
      </c>
      <c r="E153" s="2">
        <v>44162</v>
      </c>
      <c r="F153" s="1" t="s">
        <v>39</v>
      </c>
      <c r="G153" s="1" t="s">
        <v>483</v>
      </c>
      <c r="H153" s="1"/>
      <c r="I153" s="1" t="s">
        <v>36</v>
      </c>
      <c r="J153" s="1" t="s">
        <v>36</v>
      </c>
      <c r="K153" s="1">
        <v>0</v>
      </c>
      <c r="L153" s="1"/>
      <c r="M153" s="1"/>
      <c r="N153" s="1" t="s">
        <v>467</v>
      </c>
      <c r="O153" s="1"/>
      <c r="P153" s="2">
        <v>44162</v>
      </c>
      <c r="Q153" s="8" t="str">
        <f t="shared" si="2"/>
        <v>SUPPORTED WITHIN 2DAYS</v>
      </c>
      <c r="R153" s="8" t="s">
        <v>1272</v>
      </c>
      <c r="S153" s="1">
        <v>0</v>
      </c>
      <c r="T153" s="1" t="s">
        <v>30</v>
      </c>
      <c r="U153" s="1" t="str">
        <f>VLOOKUP(T153,personnel!A$1:B$4,2,FALSE)</f>
        <v>Trinidad, Jan Carlo Aquino</v>
      </c>
      <c r="V153" s="3">
        <v>44162.499363425923</v>
      </c>
    </row>
    <row r="154" spans="1:22" x14ac:dyDescent="0.25">
      <c r="A154" s="1" t="s">
        <v>400</v>
      </c>
      <c r="B154" s="1" t="s">
        <v>19</v>
      </c>
      <c r="C154" s="1" t="s">
        <v>166</v>
      </c>
      <c r="D154" s="1" t="s">
        <v>484</v>
      </c>
      <c r="E154" s="2">
        <v>44162</v>
      </c>
      <c r="F154" s="1" t="s">
        <v>402</v>
      </c>
      <c r="G154" s="1" t="s">
        <v>485</v>
      </c>
      <c r="H154" s="1"/>
      <c r="I154" s="1" t="s">
        <v>36</v>
      </c>
      <c r="J154" s="1" t="s">
        <v>36</v>
      </c>
      <c r="K154" s="1">
        <v>0</v>
      </c>
      <c r="L154" s="1"/>
      <c r="M154" s="1"/>
      <c r="N154" s="1" t="s">
        <v>467</v>
      </c>
      <c r="O154" s="1"/>
      <c r="P154" s="2">
        <v>44162</v>
      </c>
      <c r="Q154" s="8" t="str">
        <f t="shared" si="2"/>
        <v>SUPPORTED WITHIN 2DAYS</v>
      </c>
      <c r="R154" s="8" t="s">
        <v>1272</v>
      </c>
      <c r="S154" s="1">
        <v>0</v>
      </c>
      <c r="T154" s="1" t="s">
        <v>30</v>
      </c>
      <c r="U154" s="1" t="str">
        <f>VLOOKUP(T154,personnel!A$1:B$4,2,FALSE)</f>
        <v>Trinidad, Jan Carlo Aquino</v>
      </c>
      <c r="V154" s="3">
        <v>44162.551689814813</v>
      </c>
    </row>
    <row r="155" spans="1:22" x14ac:dyDescent="0.25">
      <c r="A155" s="1" t="s">
        <v>78</v>
      </c>
      <c r="B155" s="1" t="s">
        <v>19</v>
      </c>
      <c r="C155" s="1" t="s">
        <v>166</v>
      </c>
      <c r="D155" s="1" t="s">
        <v>486</v>
      </c>
      <c r="E155" s="2">
        <v>44162</v>
      </c>
      <c r="F155" s="1" t="s">
        <v>80</v>
      </c>
      <c r="G155" s="1" t="s">
        <v>487</v>
      </c>
      <c r="H155" s="1"/>
      <c r="I155" s="1" t="s">
        <v>36</v>
      </c>
      <c r="J155" s="1" t="s">
        <v>36</v>
      </c>
      <c r="K155" s="1">
        <v>0</v>
      </c>
      <c r="L155" s="1"/>
      <c r="M155" s="1"/>
      <c r="N155" s="1"/>
      <c r="O155" s="1"/>
      <c r="P155" s="2">
        <v>44162</v>
      </c>
      <c r="Q155" s="8" t="str">
        <f t="shared" si="2"/>
        <v>SUPPORTED WITHIN 2DAYS</v>
      </c>
      <c r="R155" s="8" t="s">
        <v>1272</v>
      </c>
      <c r="S155" s="1">
        <v>0</v>
      </c>
      <c r="T155" s="1" t="s">
        <v>30</v>
      </c>
      <c r="U155" s="1" t="str">
        <f>VLOOKUP(T155,personnel!A$1:B$4,2,FALSE)</f>
        <v>Trinidad, Jan Carlo Aquino</v>
      </c>
      <c r="V155" s="3">
        <v>44162.580729166664</v>
      </c>
    </row>
    <row r="156" spans="1:22" x14ac:dyDescent="0.25">
      <c r="A156" s="1" t="s">
        <v>18</v>
      </c>
      <c r="B156" s="1" t="s">
        <v>19</v>
      </c>
      <c r="C156" s="1" t="s">
        <v>166</v>
      </c>
      <c r="D156" s="1" t="s">
        <v>488</v>
      </c>
      <c r="E156" s="2">
        <v>44162</v>
      </c>
      <c r="F156" s="1" t="s">
        <v>22</v>
      </c>
      <c r="G156" s="1" t="s">
        <v>489</v>
      </c>
      <c r="H156" s="1"/>
      <c r="I156" s="1" t="s">
        <v>25</v>
      </c>
      <c r="J156" s="1" t="s">
        <v>26</v>
      </c>
      <c r="K156" s="1">
        <v>0</v>
      </c>
      <c r="L156" s="1"/>
      <c r="M156" s="1"/>
      <c r="N156" s="1"/>
      <c r="O156" s="1"/>
      <c r="P156" s="2">
        <v>44162</v>
      </c>
      <c r="Q156" s="8" t="str">
        <f t="shared" si="2"/>
        <v>SUPPORTED WITHIN 2DAYS</v>
      </c>
      <c r="R156" s="8" t="s">
        <v>1272</v>
      </c>
      <c r="S156" s="1">
        <v>0</v>
      </c>
      <c r="T156" s="1" t="s">
        <v>30</v>
      </c>
      <c r="U156" s="1" t="str">
        <f>VLOOKUP(T156,personnel!A$1:B$4,2,FALSE)</f>
        <v>Trinidad, Jan Carlo Aquino</v>
      </c>
      <c r="V156" s="3">
        <v>44162.587083333332</v>
      </c>
    </row>
    <row r="157" spans="1:22" x14ac:dyDescent="0.25">
      <c r="A157" s="1" t="s">
        <v>448</v>
      </c>
      <c r="B157" s="1" t="s">
        <v>19</v>
      </c>
      <c r="C157" s="1" t="s">
        <v>166</v>
      </c>
      <c r="D157" s="1" t="s">
        <v>490</v>
      </c>
      <c r="E157" s="2">
        <v>44161</v>
      </c>
      <c r="F157" s="1" t="s">
        <v>450</v>
      </c>
      <c r="G157" s="1" t="s">
        <v>491</v>
      </c>
      <c r="H157" s="1"/>
      <c r="I157" s="1" t="s">
        <v>170</v>
      </c>
      <c r="J157" s="1" t="s">
        <v>26</v>
      </c>
      <c r="K157" s="1">
        <v>0</v>
      </c>
      <c r="L157" s="1"/>
      <c r="M157" s="1"/>
      <c r="N157" s="1"/>
      <c r="O157" s="1"/>
      <c r="P157" s="2">
        <v>44163</v>
      </c>
      <c r="Q157" s="8" t="str">
        <f t="shared" si="2"/>
        <v>SUPPORTED WITHIN 2DAYS</v>
      </c>
      <c r="R157" s="8" t="s">
        <v>1272</v>
      </c>
      <c r="S157" s="1">
        <v>0</v>
      </c>
      <c r="T157" s="1" t="s">
        <v>30</v>
      </c>
      <c r="U157" s="1" t="str">
        <f>VLOOKUP(T157,personnel!A$1:B$4,2,FALSE)</f>
        <v>Trinidad, Jan Carlo Aquino</v>
      </c>
      <c r="V157" s="3">
        <v>44163.356319444443</v>
      </c>
    </row>
    <row r="158" spans="1:22" x14ac:dyDescent="0.25">
      <c r="A158" s="1" t="s">
        <v>492</v>
      </c>
      <c r="B158" s="1" t="s">
        <v>19</v>
      </c>
      <c r="C158" s="1" t="s">
        <v>166</v>
      </c>
      <c r="D158" s="1" t="s">
        <v>493</v>
      </c>
      <c r="E158" s="2">
        <v>44163</v>
      </c>
      <c r="F158" s="1" t="s">
        <v>494</v>
      </c>
      <c r="G158" s="1" t="s">
        <v>495</v>
      </c>
      <c r="H158" s="1"/>
      <c r="I158" s="1" t="s">
        <v>25</v>
      </c>
      <c r="J158" s="1" t="s">
        <v>26</v>
      </c>
      <c r="K158" s="1">
        <v>0</v>
      </c>
      <c r="L158" s="1"/>
      <c r="M158" s="1"/>
      <c r="N158" s="1"/>
      <c r="O158" s="1"/>
      <c r="P158" s="2">
        <v>44163</v>
      </c>
      <c r="Q158" s="8" t="str">
        <f t="shared" si="2"/>
        <v>SUPPORTED WITHIN 2DAYS</v>
      </c>
      <c r="R158" s="8" t="s">
        <v>1272</v>
      </c>
      <c r="S158" s="1">
        <v>0</v>
      </c>
      <c r="T158" s="1" t="s">
        <v>30</v>
      </c>
      <c r="U158" s="1" t="str">
        <f>VLOOKUP(T158,personnel!A$1:B$4,2,FALSE)</f>
        <v>Trinidad, Jan Carlo Aquino</v>
      </c>
      <c r="V158" s="3">
        <v>44163.367835648147</v>
      </c>
    </row>
    <row r="159" spans="1:22" x14ac:dyDescent="0.25">
      <c r="A159" s="1" t="s">
        <v>496</v>
      </c>
      <c r="B159" s="1" t="s">
        <v>19</v>
      </c>
      <c r="C159" s="1" t="s">
        <v>166</v>
      </c>
      <c r="D159" s="1" t="s">
        <v>497</v>
      </c>
      <c r="E159" s="2">
        <v>44163</v>
      </c>
      <c r="F159" s="1" t="s">
        <v>498</v>
      </c>
      <c r="G159" s="1" t="s">
        <v>53</v>
      </c>
      <c r="H159" s="1"/>
      <c r="I159" s="1" t="s">
        <v>25</v>
      </c>
      <c r="J159" s="1" t="s">
        <v>26</v>
      </c>
      <c r="K159" s="1">
        <v>0</v>
      </c>
      <c r="L159" s="1"/>
      <c r="M159" s="1"/>
      <c r="N159" s="1"/>
      <c r="O159" s="1"/>
      <c r="P159" s="2">
        <v>44163</v>
      </c>
      <c r="Q159" s="8" t="str">
        <f t="shared" si="2"/>
        <v>SUPPORTED WITHIN 2DAYS</v>
      </c>
      <c r="R159" s="8" t="s">
        <v>1272</v>
      </c>
      <c r="S159" s="1">
        <v>0</v>
      </c>
      <c r="T159" s="1" t="s">
        <v>30</v>
      </c>
      <c r="U159" s="1" t="str">
        <f>VLOOKUP(T159,personnel!A$1:B$4,2,FALSE)</f>
        <v>Trinidad, Jan Carlo Aquino</v>
      </c>
      <c r="V159" s="3">
        <v>44163.372384259259</v>
      </c>
    </row>
    <row r="160" spans="1:22" x14ac:dyDescent="0.25">
      <c r="A160" s="1" t="s">
        <v>319</v>
      </c>
      <c r="B160" s="1" t="s">
        <v>19</v>
      </c>
      <c r="C160" s="1" t="s">
        <v>166</v>
      </c>
      <c r="D160" s="1" t="s">
        <v>499</v>
      </c>
      <c r="E160" s="2">
        <v>44163</v>
      </c>
      <c r="F160" s="1" t="s">
        <v>321</v>
      </c>
      <c r="G160" s="1" t="s">
        <v>500</v>
      </c>
      <c r="H160" s="1"/>
      <c r="I160" s="1" t="s">
        <v>36</v>
      </c>
      <c r="J160" s="1" t="s">
        <v>36</v>
      </c>
      <c r="K160" s="1">
        <v>0</v>
      </c>
      <c r="L160" s="1"/>
      <c r="M160" s="1"/>
      <c r="N160" s="1"/>
      <c r="O160" s="1"/>
      <c r="P160" s="2">
        <v>44163</v>
      </c>
      <c r="Q160" s="8" t="str">
        <f t="shared" si="2"/>
        <v>SUPPORTED WITHIN 2DAYS</v>
      </c>
      <c r="R160" s="8" t="s">
        <v>1272</v>
      </c>
      <c r="S160" s="1">
        <v>0</v>
      </c>
      <c r="T160" s="1" t="s">
        <v>30</v>
      </c>
      <c r="U160" s="1" t="str">
        <f>VLOOKUP(T160,personnel!A$1:B$4,2,FALSE)</f>
        <v>Trinidad, Jan Carlo Aquino</v>
      </c>
      <c r="V160" s="3">
        <v>44163.396782407406</v>
      </c>
    </row>
    <row r="161" spans="1:22" x14ac:dyDescent="0.25">
      <c r="A161" s="1" t="s">
        <v>18</v>
      </c>
      <c r="B161" s="1" t="s">
        <v>19</v>
      </c>
      <c r="C161" s="1" t="s">
        <v>166</v>
      </c>
      <c r="D161" s="1" t="s">
        <v>501</v>
      </c>
      <c r="E161" s="2">
        <v>44163</v>
      </c>
      <c r="F161" s="1" t="s">
        <v>22</v>
      </c>
      <c r="G161" s="1" t="s">
        <v>502</v>
      </c>
      <c r="H161" s="1"/>
      <c r="I161" s="1" t="s">
        <v>36</v>
      </c>
      <c r="J161" s="1" t="s">
        <v>36</v>
      </c>
      <c r="K161" s="1">
        <v>0</v>
      </c>
      <c r="L161" s="1"/>
      <c r="M161" s="1"/>
      <c r="N161" s="1" t="s">
        <v>145</v>
      </c>
      <c r="O161" s="1"/>
      <c r="P161" s="2">
        <v>44163</v>
      </c>
      <c r="Q161" s="8" t="str">
        <f t="shared" si="2"/>
        <v>SUPPORTED WITHIN 2DAYS</v>
      </c>
      <c r="R161" s="8" t="s">
        <v>1272</v>
      </c>
      <c r="S161" s="1">
        <v>0</v>
      </c>
      <c r="T161" s="1" t="s">
        <v>30</v>
      </c>
      <c r="U161" s="1" t="str">
        <f>VLOOKUP(T161,personnel!A$1:B$4,2,FALSE)</f>
        <v>Trinidad, Jan Carlo Aquino</v>
      </c>
      <c r="V161" s="3">
        <v>44163.413946759261</v>
      </c>
    </row>
    <row r="162" spans="1:22" x14ac:dyDescent="0.25">
      <c r="A162" s="1" t="s">
        <v>319</v>
      </c>
      <c r="B162" s="1" t="s">
        <v>19</v>
      </c>
      <c r="C162" s="1" t="s">
        <v>166</v>
      </c>
      <c r="D162" s="1" t="s">
        <v>503</v>
      </c>
      <c r="E162" s="2">
        <v>44163</v>
      </c>
      <c r="F162" s="1" t="s">
        <v>321</v>
      </c>
      <c r="G162" s="1" t="s">
        <v>504</v>
      </c>
      <c r="H162" s="1"/>
      <c r="I162" s="1" t="s">
        <v>36</v>
      </c>
      <c r="J162" s="1" t="s">
        <v>36</v>
      </c>
      <c r="K162" s="1">
        <v>0</v>
      </c>
      <c r="L162" s="1"/>
      <c r="M162" s="1"/>
      <c r="N162" s="1" t="s">
        <v>145</v>
      </c>
      <c r="O162" s="1"/>
      <c r="P162" s="2">
        <v>44163</v>
      </c>
      <c r="Q162" s="8" t="str">
        <f t="shared" si="2"/>
        <v>SUPPORTED WITHIN 2DAYS</v>
      </c>
      <c r="R162" s="8" t="s">
        <v>1272</v>
      </c>
      <c r="S162" s="1">
        <v>0</v>
      </c>
      <c r="T162" s="1" t="s">
        <v>30</v>
      </c>
      <c r="U162" s="1" t="str">
        <f>VLOOKUP(T162,personnel!A$1:B$4,2,FALSE)</f>
        <v>Trinidad, Jan Carlo Aquino</v>
      </c>
      <c r="V162" s="3">
        <v>44163.452847222223</v>
      </c>
    </row>
    <row r="163" spans="1:22" x14ac:dyDescent="0.25">
      <c r="A163" s="1" t="s">
        <v>505</v>
      </c>
      <c r="B163" s="1" t="s">
        <v>19</v>
      </c>
      <c r="C163" s="1" t="s">
        <v>166</v>
      </c>
      <c r="D163" s="1" t="s">
        <v>506</v>
      </c>
      <c r="E163" s="2">
        <v>44163</v>
      </c>
      <c r="F163" s="1" t="s">
        <v>507</v>
      </c>
      <c r="G163" s="1" t="s">
        <v>508</v>
      </c>
      <c r="H163" s="1"/>
      <c r="I163" s="1" t="s">
        <v>36</v>
      </c>
      <c r="J163" s="1" t="s">
        <v>36</v>
      </c>
      <c r="K163" s="1">
        <v>0</v>
      </c>
      <c r="L163" s="1"/>
      <c r="M163" s="1"/>
      <c r="N163" s="1" t="s">
        <v>145</v>
      </c>
      <c r="O163" s="1"/>
      <c r="P163" s="2">
        <v>44163</v>
      </c>
      <c r="Q163" s="8" t="str">
        <f t="shared" si="2"/>
        <v>SUPPORTED WITHIN 2DAYS</v>
      </c>
      <c r="R163" s="8" t="s">
        <v>1272</v>
      </c>
      <c r="S163" s="1">
        <v>0</v>
      </c>
      <c r="T163" s="1" t="s">
        <v>30</v>
      </c>
      <c r="U163" s="1" t="str">
        <f>VLOOKUP(T163,personnel!A$1:B$4,2,FALSE)</f>
        <v>Trinidad, Jan Carlo Aquino</v>
      </c>
      <c r="V163" s="3">
        <v>44163.464155092595</v>
      </c>
    </row>
    <row r="164" spans="1:22" x14ac:dyDescent="0.25">
      <c r="A164" s="1" t="s">
        <v>78</v>
      </c>
      <c r="B164" s="1" t="s">
        <v>19</v>
      </c>
      <c r="C164" s="1" t="s">
        <v>166</v>
      </c>
      <c r="D164" s="1" t="s">
        <v>509</v>
      </c>
      <c r="E164" s="2">
        <v>44163</v>
      </c>
      <c r="F164" s="1" t="s">
        <v>80</v>
      </c>
      <c r="G164" s="1" t="s">
        <v>510</v>
      </c>
      <c r="H164" s="1"/>
      <c r="I164" s="1" t="s">
        <v>36</v>
      </c>
      <c r="J164" s="1" t="s">
        <v>36</v>
      </c>
      <c r="K164" s="1">
        <v>0</v>
      </c>
      <c r="L164" s="1"/>
      <c r="M164" s="1"/>
      <c r="N164" s="1" t="s">
        <v>145</v>
      </c>
      <c r="O164" s="1"/>
      <c r="P164" s="2">
        <v>44163</v>
      </c>
      <c r="Q164" s="8" t="str">
        <f t="shared" si="2"/>
        <v>SUPPORTED WITHIN 2DAYS</v>
      </c>
      <c r="R164" s="8" t="s">
        <v>1272</v>
      </c>
      <c r="S164" s="1">
        <v>0</v>
      </c>
      <c r="T164" s="1" t="s">
        <v>30</v>
      </c>
      <c r="U164" s="1" t="str">
        <f>VLOOKUP(T164,personnel!A$1:B$4,2,FALSE)</f>
        <v>Trinidad, Jan Carlo Aquino</v>
      </c>
      <c r="V164" s="3">
        <v>44163.55773148148</v>
      </c>
    </row>
    <row r="165" spans="1:22" x14ac:dyDescent="0.25">
      <c r="A165" s="1" t="s">
        <v>362</v>
      </c>
      <c r="B165" s="1" t="s">
        <v>32</v>
      </c>
      <c r="C165" s="1" t="s">
        <v>20</v>
      </c>
      <c r="D165" s="1" t="s">
        <v>511</v>
      </c>
      <c r="E165" s="2">
        <v>44163</v>
      </c>
      <c r="F165" s="1" t="s">
        <v>364</v>
      </c>
      <c r="G165" s="1" t="s">
        <v>512</v>
      </c>
      <c r="H165" s="1" t="s">
        <v>27</v>
      </c>
      <c r="I165" s="1" t="s">
        <v>36</v>
      </c>
      <c r="J165" s="1" t="s">
        <v>36</v>
      </c>
      <c r="K165" s="1">
        <v>0</v>
      </c>
      <c r="L165" s="1"/>
      <c r="M165" s="1" t="s">
        <v>160</v>
      </c>
      <c r="N165" s="1" t="s">
        <v>145</v>
      </c>
      <c r="O165" s="1" t="s">
        <v>29</v>
      </c>
      <c r="P165" s="2">
        <v>44165</v>
      </c>
      <c r="Q165" s="8" t="str">
        <f t="shared" si="2"/>
        <v>SUPPORTED WITHIN 2DAYS</v>
      </c>
      <c r="R165" s="8" t="s">
        <v>1272</v>
      </c>
      <c r="S165" s="1">
        <v>4</v>
      </c>
      <c r="T165" s="1" t="s">
        <v>30</v>
      </c>
      <c r="U165" s="1" t="str">
        <f>VLOOKUP(T165,personnel!A$1:B$4,2,FALSE)</f>
        <v>Trinidad, Jan Carlo Aquino</v>
      </c>
      <c r="V165" s="3">
        <v>44163.610520833332</v>
      </c>
    </row>
    <row r="166" spans="1:22" x14ac:dyDescent="0.25">
      <c r="A166" s="1" t="s">
        <v>194</v>
      </c>
      <c r="B166" s="1" t="s">
        <v>19</v>
      </c>
      <c r="C166" s="1" t="s">
        <v>166</v>
      </c>
      <c r="D166" s="1" t="s">
        <v>513</v>
      </c>
      <c r="E166" s="2">
        <v>44163</v>
      </c>
      <c r="F166" s="1" t="s">
        <v>196</v>
      </c>
      <c r="G166" s="1" t="s">
        <v>514</v>
      </c>
      <c r="H166" s="1"/>
      <c r="I166" s="1" t="s">
        <v>36</v>
      </c>
      <c r="J166" s="1" t="s">
        <v>36</v>
      </c>
      <c r="K166" s="1">
        <v>0</v>
      </c>
      <c r="L166" s="1"/>
      <c r="M166" s="1"/>
      <c r="N166" s="1" t="s">
        <v>145</v>
      </c>
      <c r="O166" s="1"/>
      <c r="P166" s="2">
        <v>44163</v>
      </c>
      <c r="Q166" s="8" t="str">
        <f t="shared" si="2"/>
        <v>SUPPORTED WITHIN 2DAYS</v>
      </c>
      <c r="R166" s="8" t="s">
        <v>1272</v>
      </c>
      <c r="S166" s="1">
        <v>0</v>
      </c>
      <c r="T166" s="1" t="s">
        <v>30</v>
      </c>
      <c r="U166" s="1" t="str">
        <f>VLOOKUP(T166,personnel!A$1:B$4,2,FALSE)</f>
        <v>Trinidad, Jan Carlo Aquino</v>
      </c>
      <c r="V166" s="3">
        <v>44163.645810185182</v>
      </c>
    </row>
    <row r="167" spans="1:22" x14ac:dyDescent="0.25">
      <c r="A167" s="1" t="s">
        <v>172</v>
      </c>
      <c r="B167" s="1" t="s">
        <v>19</v>
      </c>
      <c r="C167" s="1" t="s">
        <v>166</v>
      </c>
      <c r="D167" s="1" t="s">
        <v>515</v>
      </c>
      <c r="E167" s="2">
        <v>44156</v>
      </c>
      <c r="F167" s="1" t="s">
        <v>174</v>
      </c>
      <c r="G167" s="1" t="s">
        <v>277</v>
      </c>
      <c r="H167" s="1"/>
      <c r="I167" s="1" t="s">
        <v>95</v>
      </c>
      <c r="J167" s="1" t="s">
        <v>272</v>
      </c>
      <c r="K167" s="1">
        <v>0</v>
      </c>
      <c r="L167" s="1"/>
      <c r="M167" s="1" t="s">
        <v>516</v>
      </c>
      <c r="N167" s="1"/>
      <c r="O167" s="1" t="s">
        <v>274</v>
      </c>
      <c r="P167" s="2">
        <v>44165</v>
      </c>
      <c r="Q167" s="8" t="str">
        <f t="shared" si="2"/>
        <v>NOT SUPPORTED WITHIN 2DAYS</v>
      </c>
      <c r="R167" s="8" t="s">
        <v>1273</v>
      </c>
      <c r="S167" s="1">
        <v>0</v>
      </c>
      <c r="T167" s="1" t="s">
        <v>275</v>
      </c>
      <c r="U167" s="1" t="str">
        <f>VLOOKUP(T167,personnel!A$1:B$4,2,FALSE)</f>
        <v>Cuison, Bernard Ramos</v>
      </c>
      <c r="V167" s="3">
        <v>44165.448935185188</v>
      </c>
    </row>
    <row r="168" spans="1:22" x14ac:dyDescent="0.25">
      <c r="A168" s="1" t="s">
        <v>18</v>
      </c>
      <c r="B168" s="1" t="s">
        <v>19</v>
      </c>
      <c r="C168" s="1" t="s">
        <v>166</v>
      </c>
      <c r="D168" s="1" t="s">
        <v>517</v>
      </c>
      <c r="E168" s="2">
        <v>44161</v>
      </c>
      <c r="F168" s="1" t="s">
        <v>22</v>
      </c>
      <c r="G168" s="1" t="s">
        <v>324</v>
      </c>
      <c r="H168" s="1" t="s">
        <v>518</v>
      </c>
      <c r="I168" s="1" t="s">
        <v>25</v>
      </c>
      <c r="J168" s="1" t="s">
        <v>42</v>
      </c>
      <c r="K168" s="1">
        <v>0</v>
      </c>
      <c r="L168" s="1"/>
      <c r="M168" s="1" t="s">
        <v>519</v>
      </c>
      <c r="N168" s="1"/>
      <c r="O168" s="1" t="s">
        <v>274</v>
      </c>
      <c r="P168" s="2">
        <v>44165</v>
      </c>
      <c r="Q168" s="8" t="str">
        <f t="shared" si="2"/>
        <v>NOT SUPPORTED WITHIN 2DAYS</v>
      </c>
      <c r="R168" s="8" t="s">
        <v>1273</v>
      </c>
      <c r="S168" s="1">
        <v>0</v>
      </c>
      <c r="T168" s="1" t="s">
        <v>275</v>
      </c>
      <c r="U168" s="1" t="str">
        <f>VLOOKUP(T168,personnel!A$1:B$4,2,FALSE)</f>
        <v>Cuison, Bernard Ramos</v>
      </c>
      <c r="V168" s="3">
        <v>44165.453182870369</v>
      </c>
    </row>
    <row r="169" spans="1:22" x14ac:dyDescent="0.25">
      <c r="A169" s="1" t="s">
        <v>18</v>
      </c>
      <c r="B169" s="1" t="s">
        <v>19</v>
      </c>
      <c r="C169" s="1" t="s">
        <v>166</v>
      </c>
      <c r="D169" s="1" t="s">
        <v>520</v>
      </c>
      <c r="E169" s="2">
        <v>44163</v>
      </c>
      <c r="F169" s="1" t="s">
        <v>22</v>
      </c>
      <c r="G169" s="1" t="s">
        <v>324</v>
      </c>
      <c r="H169" s="1" t="s">
        <v>521</v>
      </c>
      <c r="I169" s="1" t="s">
        <v>25</v>
      </c>
      <c r="J169" s="1" t="s">
        <v>42</v>
      </c>
      <c r="K169" s="1">
        <v>0</v>
      </c>
      <c r="L169" s="1"/>
      <c r="M169" s="1" t="s">
        <v>522</v>
      </c>
      <c r="N169" s="1"/>
      <c r="O169" s="1" t="s">
        <v>274</v>
      </c>
      <c r="P169" s="2">
        <v>44165</v>
      </c>
      <c r="Q169" s="8" t="str">
        <f t="shared" si="2"/>
        <v>SUPPORTED WITHIN 2DAYS</v>
      </c>
      <c r="R169" s="8" t="s">
        <v>1272</v>
      </c>
      <c r="S169" s="1">
        <v>0</v>
      </c>
      <c r="T169" s="1" t="s">
        <v>275</v>
      </c>
      <c r="U169" s="1" t="str">
        <f>VLOOKUP(T169,personnel!A$1:B$4,2,FALSE)</f>
        <v>Cuison, Bernard Ramos</v>
      </c>
      <c r="V169" s="3">
        <v>44165.455150462964</v>
      </c>
    </row>
    <row r="170" spans="1:22" x14ac:dyDescent="0.25">
      <c r="A170" s="1" t="s">
        <v>18</v>
      </c>
      <c r="B170" s="1" t="s">
        <v>19</v>
      </c>
      <c r="C170" s="1" t="s">
        <v>166</v>
      </c>
      <c r="D170" s="1" t="s">
        <v>523</v>
      </c>
      <c r="E170" s="2">
        <v>44158</v>
      </c>
      <c r="F170" s="1" t="s">
        <v>22</v>
      </c>
      <c r="G170" s="1" t="s">
        <v>324</v>
      </c>
      <c r="H170" s="1" t="s">
        <v>521</v>
      </c>
      <c r="I170" s="1" t="s">
        <v>25</v>
      </c>
      <c r="J170" s="1" t="s">
        <v>42</v>
      </c>
      <c r="K170" s="1">
        <v>0</v>
      </c>
      <c r="L170" s="1"/>
      <c r="M170" s="1" t="s">
        <v>524</v>
      </c>
      <c r="N170" s="1"/>
      <c r="O170" s="1" t="s">
        <v>274</v>
      </c>
      <c r="P170" s="2">
        <v>44165</v>
      </c>
      <c r="Q170" s="8" t="str">
        <f t="shared" si="2"/>
        <v>NOT SUPPORTED WITHIN 2DAYS</v>
      </c>
      <c r="R170" s="8" t="s">
        <v>1273</v>
      </c>
      <c r="S170" s="1">
        <v>0</v>
      </c>
      <c r="T170" s="1" t="s">
        <v>275</v>
      </c>
      <c r="U170" s="1" t="str">
        <f>VLOOKUP(T170,personnel!A$1:B$4,2,FALSE)</f>
        <v>Cuison, Bernard Ramos</v>
      </c>
      <c r="V170" s="3">
        <v>44165.457488425927</v>
      </c>
    </row>
    <row r="171" spans="1:22" x14ac:dyDescent="0.25">
      <c r="A171" s="1" t="s">
        <v>172</v>
      </c>
      <c r="B171" s="1" t="s">
        <v>19</v>
      </c>
      <c r="C171" s="1" t="s">
        <v>166</v>
      </c>
      <c r="D171" s="1" t="s">
        <v>525</v>
      </c>
      <c r="E171" s="2">
        <v>44165</v>
      </c>
      <c r="F171" s="1" t="s">
        <v>174</v>
      </c>
      <c r="G171" s="1" t="s">
        <v>526</v>
      </c>
      <c r="H171" s="1"/>
      <c r="I171" s="1" t="s">
        <v>36</v>
      </c>
      <c r="J171" s="1" t="s">
        <v>36</v>
      </c>
      <c r="K171" s="1">
        <v>0</v>
      </c>
      <c r="L171" s="1"/>
      <c r="M171" s="1"/>
      <c r="N171" s="1"/>
      <c r="O171" s="1"/>
      <c r="P171" s="2">
        <v>44165</v>
      </c>
      <c r="Q171" s="8" t="str">
        <f t="shared" si="2"/>
        <v>SUPPORTED WITHIN 2DAYS</v>
      </c>
      <c r="R171" s="8" t="s">
        <v>1272</v>
      </c>
      <c r="S171" s="1">
        <v>0</v>
      </c>
      <c r="T171" s="1" t="s">
        <v>30</v>
      </c>
      <c r="U171" s="1" t="str">
        <f>VLOOKUP(T171,personnel!A$1:B$4,2,FALSE)</f>
        <v>Trinidad, Jan Carlo Aquino</v>
      </c>
      <c r="V171" s="3">
        <v>44165.563946759263</v>
      </c>
    </row>
    <row r="172" spans="1:22" x14ac:dyDescent="0.25">
      <c r="A172" s="1" t="s">
        <v>362</v>
      </c>
      <c r="B172" s="1" t="s">
        <v>19</v>
      </c>
      <c r="C172" s="1" t="s">
        <v>166</v>
      </c>
      <c r="D172" s="1" t="s">
        <v>527</v>
      </c>
      <c r="E172" s="2">
        <v>44165</v>
      </c>
      <c r="F172" s="1" t="s">
        <v>364</v>
      </c>
      <c r="G172" s="1" t="s">
        <v>528</v>
      </c>
      <c r="H172" s="1"/>
      <c r="I172" s="1" t="s">
        <v>36</v>
      </c>
      <c r="J172" s="1" t="s">
        <v>36</v>
      </c>
      <c r="K172" s="1">
        <v>0</v>
      </c>
      <c r="L172" s="1"/>
      <c r="M172" s="1"/>
      <c r="N172" s="1"/>
      <c r="O172" s="1"/>
      <c r="P172" s="2">
        <v>44165</v>
      </c>
      <c r="Q172" s="8" t="str">
        <f t="shared" si="2"/>
        <v>SUPPORTED WITHIN 2DAYS</v>
      </c>
      <c r="R172" s="8" t="s">
        <v>1272</v>
      </c>
      <c r="S172" s="1">
        <v>0</v>
      </c>
      <c r="T172" s="1" t="s">
        <v>30</v>
      </c>
      <c r="U172" s="1" t="str">
        <f>VLOOKUP(T172,personnel!A$1:B$4,2,FALSE)</f>
        <v>Trinidad, Jan Carlo Aquino</v>
      </c>
      <c r="V172" s="3">
        <v>44165.583310185182</v>
      </c>
    </row>
    <row r="173" spans="1:22" x14ac:dyDescent="0.25">
      <c r="A173" s="1" t="s">
        <v>78</v>
      </c>
      <c r="B173" s="1" t="s">
        <v>19</v>
      </c>
      <c r="C173" s="1" t="s">
        <v>166</v>
      </c>
      <c r="D173" s="1" t="s">
        <v>529</v>
      </c>
      <c r="E173" s="2">
        <v>44165</v>
      </c>
      <c r="F173" s="1" t="s">
        <v>80</v>
      </c>
      <c r="G173" s="1" t="s">
        <v>530</v>
      </c>
      <c r="H173" s="1"/>
      <c r="I173" s="1" t="s">
        <v>36</v>
      </c>
      <c r="J173" s="1" t="s">
        <v>36</v>
      </c>
      <c r="K173" s="1">
        <v>0</v>
      </c>
      <c r="L173" s="1"/>
      <c r="M173" s="1"/>
      <c r="N173" s="1"/>
      <c r="O173" s="1"/>
      <c r="P173" s="2">
        <v>44165</v>
      </c>
      <c r="Q173" s="8" t="str">
        <f t="shared" si="2"/>
        <v>SUPPORTED WITHIN 2DAYS</v>
      </c>
      <c r="R173" s="8" t="s">
        <v>1272</v>
      </c>
      <c r="S173" s="1">
        <v>0</v>
      </c>
      <c r="T173" s="1" t="s">
        <v>30</v>
      </c>
      <c r="U173" s="1" t="str">
        <f>VLOOKUP(T173,personnel!A$1:B$4,2,FALSE)</f>
        <v>Trinidad, Jan Carlo Aquino</v>
      </c>
      <c r="V173" s="3">
        <v>44165.618310185186</v>
      </c>
    </row>
    <row r="174" spans="1:22" x14ac:dyDescent="0.25">
      <c r="A174" s="1" t="s">
        <v>37</v>
      </c>
      <c r="B174" s="1" t="s">
        <v>19</v>
      </c>
      <c r="C174" s="1" t="s">
        <v>20</v>
      </c>
      <c r="D174" s="1" t="s">
        <v>531</v>
      </c>
      <c r="E174" s="2">
        <v>44137</v>
      </c>
      <c r="F174" s="1" t="s">
        <v>39</v>
      </c>
      <c r="G174" s="1" t="s">
        <v>532</v>
      </c>
      <c r="H174" s="1" t="s">
        <v>244</v>
      </c>
      <c r="I174" s="1" t="s">
        <v>25</v>
      </c>
      <c r="J174" s="1" t="s">
        <v>26</v>
      </c>
      <c r="K174" s="1">
        <v>0</v>
      </c>
      <c r="L174" s="1"/>
      <c r="M174" s="1" t="s">
        <v>244</v>
      </c>
      <c r="N174" s="1" t="s">
        <v>533</v>
      </c>
      <c r="O174" s="1" t="s">
        <v>245</v>
      </c>
      <c r="P174" s="2">
        <v>44144</v>
      </c>
      <c r="Q174" s="8" t="str">
        <f t="shared" si="2"/>
        <v>NOT SUPPORTED WITHIN 2DAYS</v>
      </c>
      <c r="R174" s="8" t="s">
        <v>1273</v>
      </c>
      <c r="S174" s="1">
        <v>0</v>
      </c>
      <c r="T174" s="1" t="s">
        <v>246</v>
      </c>
      <c r="U174" s="1" t="str">
        <f>VLOOKUP(T174,personnel!A$1:B$4,2,FALSE)</f>
        <v>Macarling, Federico Jr Romano</v>
      </c>
      <c r="V174" s="3">
        <v>44137.45108796296</v>
      </c>
    </row>
    <row r="175" spans="1:22" x14ac:dyDescent="0.25">
      <c r="A175" s="1" t="s">
        <v>78</v>
      </c>
      <c r="B175" s="1" t="s">
        <v>19</v>
      </c>
      <c r="C175" s="1" t="s">
        <v>20</v>
      </c>
      <c r="D175" s="1" t="s">
        <v>534</v>
      </c>
      <c r="E175" s="2">
        <v>44137</v>
      </c>
      <c r="F175" s="1" t="s">
        <v>80</v>
      </c>
      <c r="G175" s="1" t="s">
        <v>535</v>
      </c>
      <c r="H175" s="1" t="s">
        <v>244</v>
      </c>
      <c r="I175" s="1" t="s">
        <v>25</v>
      </c>
      <c r="J175" s="1" t="s">
        <v>26</v>
      </c>
      <c r="K175" s="1">
        <v>0</v>
      </c>
      <c r="L175" s="1"/>
      <c r="M175" s="1" t="s">
        <v>244</v>
      </c>
      <c r="N175" s="1" t="s">
        <v>536</v>
      </c>
      <c r="O175" s="1" t="s">
        <v>245</v>
      </c>
      <c r="P175" s="2">
        <v>44144</v>
      </c>
      <c r="Q175" s="8" t="str">
        <f t="shared" si="2"/>
        <v>NOT SUPPORTED WITHIN 2DAYS</v>
      </c>
      <c r="R175" s="8" t="s">
        <v>1273</v>
      </c>
      <c r="S175" s="1">
        <v>0</v>
      </c>
      <c r="T175" s="1" t="s">
        <v>246</v>
      </c>
      <c r="U175" s="1" t="str">
        <f>VLOOKUP(T175,personnel!A$1:B$4,2,FALSE)</f>
        <v>Macarling, Federico Jr Romano</v>
      </c>
      <c r="V175" s="3">
        <v>44137.451493055552</v>
      </c>
    </row>
    <row r="176" spans="1:22" x14ac:dyDescent="0.25">
      <c r="A176" s="1" t="s">
        <v>18</v>
      </c>
      <c r="B176" s="1" t="s">
        <v>19</v>
      </c>
      <c r="C176" s="1" t="s">
        <v>20</v>
      </c>
      <c r="D176" s="1" t="s">
        <v>537</v>
      </c>
      <c r="E176" s="2">
        <v>44137</v>
      </c>
      <c r="F176" s="1" t="s">
        <v>22</v>
      </c>
      <c r="G176" s="1" t="s">
        <v>538</v>
      </c>
      <c r="H176" s="1" t="s">
        <v>244</v>
      </c>
      <c r="I176" s="1" t="s">
        <v>41</v>
      </c>
      <c r="J176" s="1" t="s">
        <v>287</v>
      </c>
      <c r="K176" s="1">
        <v>0</v>
      </c>
      <c r="L176" s="1"/>
      <c r="M176" s="1" t="s">
        <v>244</v>
      </c>
      <c r="N176" s="1" t="s">
        <v>536</v>
      </c>
      <c r="O176" s="1" t="s">
        <v>245</v>
      </c>
      <c r="P176" s="2">
        <v>44138</v>
      </c>
      <c r="Q176" s="8" t="str">
        <f t="shared" si="2"/>
        <v>SUPPORTED WITHIN 2DAYS</v>
      </c>
      <c r="R176" s="8" t="s">
        <v>1272</v>
      </c>
      <c r="S176" s="1">
        <v>0</v>
      </c>
      <c r="T176" s="1" t="s">
        <v>246</v>
      </c>
      <c r="U176" s="1" t="str">
        <f>VLOOKUP(T176,personnel!A$1:B$4,2,FALSE)</f>
        <v>Macarling, Federico Jr Romano</v>
      </c>
      <c r="V176" s="3">
        <v>44137.454363425924</v>
      </c>
    </row>
    <row r="177" spans="1:22" x14ac:dyDescent="0.25">
      <c r="A177" s="1" t="s">
        <v>18</v>
      </c>
      <c r="B177" s="1" t="s">
        <v>19</v>
      </c>
      <c r="C177" s="1" t="s">
        <v>20</v>
      </c>
      <c r="D177" s="1" t="s">
        <v>539</v>
      </c>
      <c r="E177" s="2">
        <v>44137</v>
      </c>
      <c r="F177" s="1" t="s">
        <v>22</v>
      </c>
      <c r="G177" s="1" t="s">
        <v>540</v>
      </c>
      <c r="H177" s="1" t="s">
        <v>541</v>
      </c>
      <c r="I177" s="1" t="s">
        <v>36</v>
      </c>
      <c r="J177" s="1" t="s">
        <v>42</v>
      </c>
      <c r="K177" s="1">
        <v>0</v>
      </c>
      <c r="L177" s="1"/>
      <c r="M177" s="1" t="s">
        <v>542</v>
      </c>
      <c r="N177" s="1"/>
      <c r="O177" s="1" t="s">
        <v>543</v>
      </c>
      <c r="P177" s="2">
        <v>44137</v>
      </c>
      <c r="Q177" s="8" t="str">
        <f t="shared" si="2"/>
        <v>SUPPORTED WITHIN 2DAYS</v>
      </c>
      <c r="R177" s="8" t="s">
        <v>1272</v>
      </c>
      <c r="S177" s="1">
        <v>0</v>
      </c>
      <c r="T177" s="1" t="s">
        <v>544</v>
      </c>
      <c r="U177" s="1" t="str">
        <f>VLOOKUP(T177,personnel!A$1:B$4,2,FALSE)</f>
        <v>Velasquez, Jayson Alon</v>
      </c>
      <c r="V177" s="3">
        <v>44137.554432870369</v>
      </c>
    </row>
    <row r="178" spans="1:22" x14ac:dyDescent="0.25">
      <c r="A178" s="1" t="s">
        <v>545</v>
      </c>
      <c r="B178" s="1" t="s">
        <v>19</v>
      </c>
      <c r="C178" s="1" t="s">
        <v>20</v>
      </c>
      <c r="D178" s="1" t="s">
        <v>546</v>
      </c>
      <c r="E178" s="2">
        <v>44137</v>
      </c>
      <c r="F178" s="1" t="s">
        <v>547</v>
      </c>
      <c r="G178" s="1" t="s">
        <v>548</v>
      </c>
      <c r="H178" s="1" t="s">
        <v>541</v>
      </c>
      <c r="I178" s="1" t="s">
        <v>41</v>
      </c>
      <c r="J178" s="1" t="s">
        <v>42</v>
      </c>
      <c r="K178" s="1">
        <v>0</v>
      </c>
      <c r="L178" s="1"/>
      <c r="M178" s="1" t="s">
        <v>542</v>
      </c>
      <c r="N178" s="1"/>
      <c r="O178" s="1" t="s">
        <v>543</v>
      </c>
      <c r="P178" s="2">
        <v>44137</v>
      </c>
      <c r="Q178" s="8" t="str">
        <f t="shared" si="2"/>
        <v>SUPPORTED WITHIN 2DAYS</v>
      </c>
      <c r="R178" s="8" t="s">
        <v>1272</v>
      </c>
      <c r="S178" s="1">
        <v>0</v>
      </c>
      <c r="T178" s="1" t="s">
        <v>544</v>
      </c>
      <c r="U178" s="1" t="str">
        <f>VLOOKUP(T178,personnel!A$1:B$4,2,FALSE)</f>
        <v>Velasquez, Jayson Alon</v>
      </c>
      <c r="V178" s="3">
        <v>44137.554849537039</v>
      </c>
    </row>
    <row r="179" spans="1:22" x14ac:dyDescent="0.25">
      <c r="A179" s="1" t="s">
        <v>18</v>
      </c>
      <c r="B179" s="1" t="s">
        <v>19</v>
      </c>
      <c r="C179" s="1" t="s">
        <v>20</v>
      </c>
      <c r="D179" s="1" t="s">
        <v>549</v>
      </c>
      <c r="E179" s="2">
        <v>44137</v>
      </c>
      <c r="F179" s="1" t="s">
        <v>22</v>
      </c>
      <c r="G179" s="1" t="s">
        <v>550</v>
      </c>
      <c r="H179" s="1" t="s">
        <v>551</v>
      </c>
      <c r="I179" s="1" t="s">
        <v>36</v>
      </c>
      <c r="J179" s="1" t="s">
        <v>552</v>
      </c>
      <c r="K179" s="1">
        <v>0</v>
      </c>
      <c r="L179" s="1"/>
      <c r="M179" s="1" t="s">
        <v>542</v>
      </c>
      <c r="N179" s="1"/>
      <c r="O179" s="1" t="s">
        <v>543</v>
      </c>
      <c r="P179" s="2">
        <v>44144</v>
      </c>
      <c r="Q179" s="8" t="str">
        <f t="shared" si="2"/>
        <v>NOT SUPPORTED WITHIN 2DAYS</v>
      </c>
      <c r="R179" s="8" t="s">
        <v>1273</v>
      </c>
      <c r="S179" s="1">
        <v>0</v>
      </c>
      <c r="T179" s="1" t="s">
        <v>544</v>
      </c>
      <c r="U179" s="1" t="str">
        <f>VLOOKUP(T179,personnel!A$1:B$4,2,FALSE)</f>
        <v>Velasquez, Jayson Alon</v>
      </c>
      <c r="V179" s="3">
        <v>44137.555393518516</v>
      </c>
    </row>
    <row r="180" spans="1:22" x14ac:dyDescent="0.25">
      <c r="A180" s="1" t="s">
        <v>18</v>
      </c>
      <c r="B180" s="1" t="s">
        <v>19</v>
      </c>
      <c r="C180" s="1" t="s">
        <v>20</v>
      </c>
      <c r="D180" s="1" t="s">
        <v>553</v>
      </c>
      <c r="E180" s="2">
        <v>44137</v>
      </c>
      <c r="F180" s="1" t="s">
        <v>22</v>
      </c>
      <c r="G180" s="1" t="s">
        <v>554</v>
      </c>
      <c r="H180" s="1" t="s">
        <v>555</v>
      </c>
      <c r="I180" s="1" t="s">
        <v>36</v>
      </c>
      <c r="J180" s="1" t="s">
        <v>552</v>
      </c>
      <c r="K180" s="1">
        <v>0</v>
      </c>
      <c r="L180" s="1"/>
      <c r="M180" s="1" t="s">
        <v>542</v>
      </c>
      <c r="N180" s="1"/>
      <c r="O180" s="1" t="s">
        <v>543</v>
      </c>
      <c r="P180" s="2">
        <v>44137</v>
      </c>
      <c r="Q180" s="8" t="str">
        <f t="shared" si="2"/>
        <v>SUPPORTED WITHIN 2DAYS</v>
      </c>
      <c r="R180" s="8" t="s">
        <v>1272</v>
      </c>
      <c r="S180" s="1">
        <v>0</v>
      </c>
      <c r="T180" s="1" t="s">
        <v>544</v>
      </c>
      <c r="U180" s="1" t="str">
        <f>VLOOKUP(T180,personnel!A$1:B$4,2,FALSE)</f>
        <v>Velasquez, Jayson Alon</v>
      </c>
      <c r="V180" s="3">
        <v>44137.556319444448</v>
      </c>
    </row>
    <row r="181" spans="1:22" x14ac:dyDescent="0.25">
      <c r="A181" s="1" t="s">
        <v>556</v>
      </c>
      <c r="B181" s="1" t="s">
        <v>19</v>
      </c>
      <c r="C181" s="1" t="s">
        <v>166</v>
      </c>
      <c r="D181" s="1" t="s">
        <v>557</v>
      </c>
      <c r="E181" s="2">
        <v>44137</v>
      </c>
      <c r="F181" s="1" t="s">
        <v>558</v>
      </c>
      <c r="G181" s="1" t="s">
        <v>559</v>
      </c>
      <c r="H181" s="1"/>
      <c r="I181" s="1" t="s">
        <v>25</v>
      </c>
      <c r="J181" s="1" t="s">
        <v>272</v>
      </c>
      <c r="K181" s="1">
        <v>0</v>
      </c>
      <c r="L181" s="1"/>
      <c r="M181" s="1"/>
      <c r="N181" s="1"/>
      <c r="O181" s="1"/>
      <c r="P181" s="2">
        <v>44137</v>
      </c>
      <c r="Q181" s="8" t="str">
        <f t="shared" si="2"/>
        <v>SUPPORTED WITHIN 2DAYS</v>
      </c>
      <c r="R181" s="8" t="s">
        <v>1272</v>
      </c>
      <c r="S181" s="1">
        <v>0</v>
      </c>
      <c r="T181" s="1" t="s">
        <v>544</v>
      </c>
      <c r="U181" s="1" t="str">
        <f>VLOOKUP(T181,personnel!A$1:B$4,2,FALSE)</f>
        <v>Velasquez, Jayson Alon</v>
      </c>
      <c r="V181" s="3">
        <v>44137.662083333336</v>
      </c>
    </row>
    <row r="182" spans="1:22" x14ac:dyDescent="0.25">
      <c r="A182" s="1" t="s">
        <v>18</v>
      </c>
      <c r="B182" s="1" t="s">
        <v>19</v>
      </c>
      <c r="C182" s="1" t="s">
        <v>20</v>
      </c>
      <c r="D182" s="1" t="s">
        <v>560</v>
      </c>
      <c r="E182" s="2">
        <v>44137</v>
      </c>
      <c r="F182" s="1" t="s">
        <v>22</v>
      </c>
      <c r="G182" s="1" t="s">
        <v>561</v>
      </c>
      <c r="H182" s="1" t="s">
        <v>562</v>
      </c>
      <c r="I182" s="1" t="s">
        <v>25</v>
      </c>
      <c r="J182" s="1" t="s">
        <v>563</v>
      </c>
      <c r="K182" s="1">
        <v>0</v>
      </c>
      <c r="L182" s="1"/>
      <c r="M182" s="1" t="s">
        <v>564</v>
      </c>
      <c r="N182" s="1"/>
      <c r="O182" s="1" t="s">
        <v>245</v>
      </c>
      <c r="P182" s="2">
        <v>44140</v>
      </c>
      <c r="Q182" s="8" t="str">
        <f t="shared" si="2"/>
        <v>NOT SUPPORTED WITHIN 2DAYS</v>
      </c>
      <c r="R182" s="8" t="s">
        <v>1273</v>
      </c>
      <c r="S182" s="1">
        <v>0</v>
      </c>
      <c r="T182" s="1" t="s">
        <v>544</v>
      </c>
      <c r="U182" s="1" t="str">
        <f>VLOOKUP(T182,personnel!A$1:B$4,2,FALSE)</f>
        <v>Velasquez, Jayson Alon</v>
      </c>
      <c r="V182" s="3">
        <v>44137.682939814818</v>
      </c>
    </row>
    <row r="183" spans="1:22" x14ac:dyDescent="0.25">
      <c r="A183" s="1" t="s">
        <v>37</v>
      </c>
      <c r="B183" s="1" t="s">
        <v>19</v>
      </c>
      <c r="C183" s="1" t="s">
        <v>20</v>
      </c>
      <c r="D183" s="1" t="s">
        <v>565</v>
      </c>
      <c r="E183" s="2">
        <v>44138</v>
      </c>
      <c r="F183" s="1" t="s">
        <v>39</v>
      </c>
      <c r="G183" s="1" t="s">
        <v>566</v>
      </c>
      <c r="H183" s="1" t="s">
        <v>567</v>
      </c>
      <c r="I183" s="1" t="s">
        <v>41</v>
      </c>
      <c r="J183" s="1" t="s">
        <v>287</v>
      </c>
      <c r="K183" s="1">
        <v>0</v>
      </c>
      <c r="L183" s="1"/>
      <c r="M183" s="1" t="s">
        <v>244</v>
      </c>
      <c r="N183" s="1"/>
      <c r="O183" s="1" t="s">
        <v>245</v>
      </c>
      <c r="P183" s="2">
        <v>44138</v>
      </c>
      <c r="Q183" s="8" t="str">
        <f t="shared" si="2"/>
        <v>SUPPORTED WITHIN 2DAYS</v>
      </c>
      <c r="R183" s="8" t="s">
        <v>1272</v>
      </c>
      <c r="S183" s="1">
        <v>0</v>
      </c>
      <c r="T183" s="1" t="s">
        <v>246</v>
      </c>
      <c r="U183" s="1" t="str">
        <f>VLOOKUP(T183,personnel!A$1:B$4,2,FALSE)</f>
        <v>Macarling, Federico Jr Romano</v>
      </c>
      <c r="V183" s="3">
        <v>44138.356979166667</v>
      </c>
    </row>
    <row r="184" spans="1:22" x14ac:dyDescent="0.25">
      <c r="A184" s="1" t="s">
        <v>78</v>
      </c>
      <c r="B184" s="1" t="s">
        <v>50</v>
      </c>
      <c r="C184" s="1" t="s">
        <v>20</v>
      </c>
      <c r="D184" s="1" t="s">
        <v>568</v>
      </c>
      <c r="E184" s="2">
        <v>44138</v>
      </c>
      <c r="F184" s="1" t="s">
        <v>80</v>
      </c>
      <c r="G184" s="1" t="s">
        <v>569</v>
      </c>
      <c r="H184" s="1" t="s">
        <v>244</v>
      </c>
      <c r="I184" s="1" t="s">
        <v>41</v>
      </c>
      <c r="J184" s="1" t="s">
        <v>287</v>
      </c>
      <c r="K184" s="1">
        <v>0</v>
      </c>
      <c r="L184" s="1"/>
      <c r="M184" s="1" t="s">
        <v>244</v>
      </c>
      <c r="N184" s="1" t="s">
        <v>570</v>
      </c>
      <c r="O184" s="1" t="s">
        <v>245</v>
      </c>
      <c r="P184" s="2">
        <v>44138</v>
      </c>
      <c r="Q184" s="8" t="str">
        <f t="shared" si="2"/>
        <v>SUPPORTED WITHIN 2DAYS</v>
      </c>
      <c r="R184" s="8" t="s">
        <v>1272</v>
      </c>
      <c r="S184" s="1">
        <v>3</v>
      </c>
      <c r="T184" s="1" t="s">
        <v>246</v>
      </c>
      <c r="U184" s="1" t="str">
        <f>VLOOKUP(T184,personnel!A$1:B$4,2,FALSE)</f>
        <v>Macarling, Federico Jr Romano</v>
      </c>
      <c r="V184" s="3">
        <v>44138.402384259258</v>
      </c>
    </row>
    <row r="185" spans="1:22" x14ac:dyDescent="0.25">
      <c r="A185" s="1" t="s">
        <v>18</v>
      </c>
      <c r="B185" s="1" t="s">
        <v>19</v>
      </c>
      <c r="C185" s="1" t="s">
        <v>20</v>
      </c>
      <c r="D185" s="1" t="s">
        <v>571</v>
      </c>
      <c r="E185" s="2">
        <v>44138</v>
      </c>
      <c r="F185" s="1" t="s">
        <v>22</v>
      </c>
      <c r="G185" s="1" t="s">
        <v>572</v>
      </c>
      <c r="H185" s="1" t="s">
        <v>573</v>
      </c>
      <c r="I185" s="1" t="s">
        <v>36</v>
      </c>
      <c r="J185" s="1" t="s">
        <v>552</v>
      </c>
      <c r="K185" s="1">
        <v>0</v>
      </c>
      <c r="L185" s="1"/>
      <c r="M185" s="1" t="s">
        <v>542</v>
      </c>
      <c r="N185" s="1"/>
      <c r="O185" s="1" t="s">
        <v>543</v>
      </c>
      <c r="P185" s="2">
        <v>44138</v>
      </c>
      <c r="Q185" s="8" t="str">
        <f t="shared" si="2"/>
        <v>SUPPORTED WITHIN 2DAYS</v>
      </c>
      <c r="R185" s="8" t="s">
        <v>1272</v>
      </c>
      <c r="S185" s="1">
        <v>0</v>
      </c>
      <c r="T185" s="1" t="s">
        <v>544</v>
      </c>
      <c r="U185" s="1" t="str">
        <f>VLOOKUP(T185,personnel!A$1:B$4,2,FALSE)</f>
        <v>Velasquez, Jayson Alon</v>
      </c>
      <c r="V185" s="3">
        <v>44138.566111111111</v>
      </c>
    </row>
    <row r="186" spans="1:22" x14ac:dyDescent="0.25">
      <c r="A186" s="1" t="s">
        <v>18</v>
      </c>
      <c r="B186" s="1" t="s">
        <v>19</v>
      </c>
      <c r="C186" s="1" t="s">
        <v>20</v>
      </c>
      <c r="D186" s="1" t="s">
        <v>574</v>
      </c>
      <c r="E186" s="2">
        <v>44138</v>
      </c>
      <c r="F186" s="1" t="s">
        <v>22</v>
      </c>
      <c r="G186" s="1" t="s">
        <v>575</v>
      </c>
      <c r="H186" s="1" t="s">
        <v>576</v>
      </c>
      <c r="I186" s="1" t="s">
        <v>84</v>
      </c>
      <c r="J186" s="1" t="s">
        <v>26</v>
      </c>
      <c r="K186" s="1">
        <v>0</v>
      </c>
      <c r="L186" s="1"/>
      <c r="M186" s="1" t="s">
        <v>542</v>
      </c>
      <c r="N186" s="1"/>
      <c r="O186" s="1" t="s">
        <v>543</v>
      </c>
      <c r="P186" s="2">
        <v>44138</v>
      </c>
      <c r="Q186" s="8" t="str">
        <f t="shared" si="2"/>
        <v>SUPPORTED WITHIN 2DAYS</v>
      </c>
      <c r="R186" s="8" t="s">
        <v>1272</v>
      </c>
      <c r="S186" s="1">
        <v>0</v>
      </c>
      <c r="T186" s="1" t="s">
        <v>544</v>
      </c>
      <c r="U186" s="1" t="str">
        <f>VLOOKUP(T186,personnel!A$1:B$4,2,FALSE)</f>
        <v>Velasquez, Jayson Alon</v>
      </c>
      <c r="V186" s="3">
        <v>44138.566342592596</v>
      </c>
    </row>
    <row r="187" spans="1:22" x14ac:dyDescent="0.25">
      <c r="A187" s="1" t="s">
        <v>18</v>
      </c>
      <c r="B187" s="1" t="s">
        <v>19</v>
      </c>
      <c r="C187" s="1" t="s">
        <v>20</v>
      </c>
      <c r="D187" s="1" t="s">
        <v>577</v>
      </c>
      <c r="E187" s="2">
        <v>44138</v>
      </c>
      <c r="F187" s="1" t="s">
        <v>22</v>
      </c>
      <c r="G187" s="1" t="s">
        <v>578</v>
      </c>
      <c r="H187" s="1" t="s">
        <v>579</v>
      </c>
      <c r="I187" s="1" t="s">
        <v>170</v>
      </c>
      <c r="J187" s="1" t="s">
        <v>552</v>
      </c>
      <c r="K187" s="1">
        <v>0</v>
      </c>
      <c r="L187" s="1"/>
      <c r="M187" s="1" t="s">
        <v>542</v>
      </c>
      <c r="N187" s="1"/>
      <c r="O187" s="1" t="s">
        <v>543</v>
      </c>
      <c r="P187" s="2">
        <v>44138</v>
      </c>
      <c r="Q187" s="8" t="str">
        <f t="shared" si="2"/>
        <v>SUPPORTED WITHIN 2DAYS</v>
      </c>
      <c r="R187" s="8" t="s">
        <v>1272</v>
      </c>
      <c r="S187" s="1">
        <v>0</v>
      </c>
      <c r="T187" s="1" t="s">
        <v>544</v>
      </c>
      <c r="U187" s="1" t="str">
        <f>VLOOKUP(T187,personnel!A$1:B$4,2,FALSE)</f>
        <v>Velasquez, Jayson Alon</v>
      </c>
      <c r="V187" s="3">
        <v>44138.567071759258</v>
      </c>
    </row>
    <row r="188" spans="1:22" x14ac:dyDescent="0.25">
      <c r="A188" s="1" t="s">
        <v>580</v>
      </c>
      <c r="B188" s="1" t="s">
        <v>19</v>
      </c>
      <c r="C188" s="1" t="s">
        <v>20</v>
      </c>
      <c r="D188" s="1" t="s">
        <v>581</v>
      </c>
      <c r="E188" s="2">
        <v>44138</v>
      </c>
      <c r="F188" s="1" t="s">
        <v>582</v>
      </c>
      <c r="G188" s="1" t="s">
        <v>583</v>
      </c>
      <c r="H188" s="1" t="s">
        <v>584</v>
      </c>
      <c r="I188" s="1" t="s">
        <v>36</v>
      </c>
      <c r="J188" s="1" t="s">
        <v>563</v>
      </c>
      <c r="K188" s="1">
        <v>0</v>
      </c>
      <c r="L188" s="1"/>
      <c r="M188" s="1" t="s">
        <v>542</v>
      </c>
      <c r="N188" s="1"/>
      <c r="O188" s="1" t="s">
        <v>543</v>
      </c>
      <c r="P188" s="2">
        <v>44138</v>
      </c>
      <c r="Q188" s="8" t="str">
        <f t="shared" si="2"/>
        <v>SUPPORTED WITHIN 2DAYS</v>
      </c>
      <c r="R188" s="8" t="s">
        <v>1272</v>
      </c>
      <c r="S188" s="1">
        <v>0</v>
      </c>
      <c r="T188" s="1" t="s">
        <v>544</v>
      </c>
      <c r="U188" s="1" t="str">
        <f>VLOOKUP(T188,personnel!A$1:B$4,2,FALSE)</f>
        <v>Velasquez, Jayson Alon</v>
      </c>
      <c r="V188" s="3">
        <v>44138.56821759259</v>
      </c>
    </row>
    <row r="189" spans="1:22" x14ac:dyDescent="0.25">
      <c r="A189" s="1" t="s">
        <v>18</v>
      </c>
      <c r="B189" s="1" t="s">
        <v>19</v>
      </c>
      <c r="C189" s="1" t="s">
        <v>20</v>
      </c>
      <c r="D189" s="1" t="s">
        <v>585</v>
      </c>
      <c r="E189" s="2">
        <v>44138</v>
      </c>
      <c r="F189" s="1" t="s">
        <v>22</v>
      </c>
      <c r="G189" s="1" t="s">
        <v>586</v>
      </c>
      <c r="H189" s="1" t="s">
        <v>564</v>
      </c>
      <c r="I189" s="1" t="s">
        <v>25</v>
      </c>
      <c r="J189" s="1" t="s">
        <v>563</v>
      </c>
      <c r="K189" s="1">
        <v>0</v>
      </c>
      <c r="L189" s="1"/>
      <c r="M189" s="1" t="s">
        <v>564</v>
      </c>
      <c r="N189" s="1" t="s">
        <v>570</v>
      </c>
      <c r="O189" s="1" t="s">
        <v>245</v>
      </c>
      <c r="P189" s="2">
        <v>44140</v>
      </c>
      <c r="Q189" s="8" t="str">
        <f t="shared" si="2"/>
        <v>SUPPORTED WITHIN 2DAYS</v>
      </c>
      <c r="R189" s="8" t="s">
        <v>1272</v>
      </c>
      <c r="S189" s="1">
        <v>0</v>
      </c>
      <c r="T189" s="1" t="s">
        <v>246</v>
      </c>
      <c r="U189" s="1" t="str">
        <f>VLOOKUP(T189,personnel!A$1:B$4,2,FALSE)</f>
        <v>Macarling, Federico Jr Romano</v>
      </c>
      <c r="V189" s="3">
        <v>44138.616053240738</v>
      </c>
    </row>
    <row r="190" spans="1:22" x14ac:dyDescent="0.25">
      <c r="A190" s="1" t="s">
        <v>468</v>
      </c>
      <c r="B190" s="1" t="s">
        <v>19</v>
      </c>
      <c r="C190" s="1" t="s">
        <v>20</v>
      </c>
      <c r="D190" s="1" t="s">
        <v>587</v>
      </c>
      <c r="E190" s="2">
        <v>44138</v>
      </c>
      <c r="F190" s="1" t="s">
        <v>470</v>
      </c>
      <c r="G190" s="1" t="s">
        <v>588</v>
      </c>
      <c r="H190" s="1" t="s">
        <v>589</v>
      </c>
      <c r="I190" s="1" t="s">
        <v>36</v>
      </c>
      <c r="J190" s="1" t="s">
        <v>552</v>
      </c>
      <c r="K190" s="1">
        <v>0</v>
      </c>
      <c r="L190" s="1"/>
      <c r="M190" s="1" t="s">
        <v>542</v>
      </c>
      <c r="N190" s="1"/>
      <c r="O190" s="1" t="s">
        <v>543</v>
      </c>
      <c r="P190" s="2">
        <v>44138</v>
      </c>
      <c r="Q190" s="8" t="str">
        <f t="shared" si="2"/>
        <v>SUPPORTED WITHIN 2DAYS</v>
      </c>
      <c r="R190" s="8" t="s">
        <v>1272</v>
      </c>
      <c r="S190" s="1">
        <v>0</v>
      </c>
      <c r="T190" s="1" t="s">
        <v>544</v>
      </c>
      <c r="U190" s="1" t="str">
        <f>VLOOKUP(T190,personnel!A$1:B$4,2,FALSE)</f>
        <v>Velasquez, Jayson Alon</v>
      </c>
      <c r="V190" s="3">
        <v>44138.688738425924</v>
      </c>
    </row>
    <row r="191" spans="1:22" x14ac:dyDescent="0.25">
      <c r="A191" s="1" t="s">
        <v>49</v>
      </c>
      <c r="B191" s="1" t="s">
        <v>19</v>
      </c>
      <c r="C191" s="1" t="s">
        <v>20</v>
      </c>
      <c r="D191" s="1" t="s">
        <v>590</v>
      </c>
      <c r="E191" s="2">
        <v>44139</v>
      </c>
      <c r="F191" s="1" t="s">
        <v>52</v>
      </c>
      <c r="G191" s="1" t="s">
        <v>591</v>
      </c>
      <c r="H191" s="1"/>
      <c r="I191" s="1" t="s">
        <v>84</v>
      </c>
      <c r="J191" s="1" t="s">
        <v>42</v>
      </c>
      <c r="K191" s="1">
        <v>0</v>
      </c>
      <c r="L191" s="1"/>
      <c r="M191" s="1" t="s">
        <v>27</v>
      </c>
      <c r="N191" s="1" t="s">
        <v>592</v>
      </c>
      <c r="O191" s="1" t="s">
        <v>245</v>
      </c>
      <c r="P191" s="2">
        <v>44139</v>
      </c>
      <c r="Q191" s="8" t="str">
        <f t="shared" si="2"/>
        <v>SUPPORTED WITHIN 2DAYS</v>
      </c>
      <c r="R191" s="8" t="s">
        <v>1272</v>
      </c>
      <c r="S191" s="1">
        <v>0</v>
      </c>
      <c r="T191" s="1" t="s">
        <v>246</v>
      </c>
      <c r="U191" s="1" t="str">
        <f>VLOOKUP(T191,personnel!A$1:B$4,2,FALSE)</f>
        <v>Macarling, Federico Jr Romano</v>
      </c>
      <c r="V191" s="3">
        <v>44139.435416666667</v>
      </c>
    </row>
    <row r="192" spans="1:22" x14ac:dyDescent="0.25">
      <c r="A192" s="1" t="s">
        <v>78</v>
      </c>
      <c r="B192" s="1" t="s">
        <v>19</v>
      </c>
      <c r="C192" s="1" t="s">
        <v>20</v>
      </c>
      <c r="D192" s="1" t="s">
        <v>593</v>
      </c>
      <c r="E192" s="2">
        <v>44139</v>
      </c>
      <c r="F192" s="1" t="s">
        <v>80</v>
      </c>
      <c r="G192" s="1" t="s">
        <v>594</v>
      </c>
      <c r="H192" s="1" t="s">
        <v>595</v>
      </c>
      <c r="I192" s="1" t="s">
        <v>25</v>
      </c>
      <c r="J192" s="1" t="s">
        <v>563</v>
      </c>
      <c r="K192" s="1">
        <v>0</v>
      </c>
      <c r="L192" s="1"/>
      <c r="M192" s="1" t="s">
        <v>564</v>
      </c>
      <c r="N192" s="1" t="s">
        <v>592</v>
      </c>
      <c r="O192" s="1" t="s">
        <v>245</v>
      </c>
      <c r="P192" s="2">
        <v>44140</v>
      </c>
      <c r="Q192" s="8" t="str">
        <f t="shared" si="2"/>
        <v>SUPPORTED WITHIN 2DAYS</v>
      </c>
      <c r="R192" s="8" t="s">
        <v>1272</v>
      </c>
      <c r="S192" s="1">
        <v>0</v>
      </c>
      <c r="T192" s="1" t="s">
        <v>246</v>
      </c>
      <c r="U192" s="1" t="str">
        <f>VLOOKUP(T192,personnel!A$1:B$4,2,FALSE)</f>
        <v>Macarling, Federico Jr Romano</v>
      </c>
      <c r="V192" s="3">
        <v>44139.436226851853</v>
      </c>
    </row>
    <row r="193" spans="1:22" x14ac:dyDescent="0.25">
      <c r="A193" s="1" t="s">
        <v>37</v>
      </c>
      <c r="B193" s="1" t="s">
        <v>19</v>
      </c>
      <c r="C193" s="1" t="s">
        <v>20</v>
      </c>
      <c r="D193" s="1" t="s">
        <v>596</v>
      </c>
      <c r="E193" s="2">
        <v>44139</v>
      </c>
      <c r="F193" s="1" t="s">
        <v>39</v>
      </c>
      <c r="G193" s="1" t="s">
        <v>597</v>
      </c>
      <c r="H193" s="1" t="s">
        <v>598</v>
      </c>
      <c r="I193" s="1" t="s">
        <v>25</v>
      </c>
      <c r="J193" s="1" t="s">
        <v>563</v>
      </c>
      <c r="K193" s="1">
        <v>0</v>
      </c>
      <c r="L193" s="1"/>
      <c r="M193" s="1" t="s">
        <v>564</v>
      </c>
      <c r="N193" s="1" t="s">
        <v>599</v>
      </c>
      <c r="O193" s="1" t="s">
        <v>245</v>
      </c>
      <c r="P193" s="2">
        <v>44140</v>
      </c>
      <c r="Q193" s="8" t="str">
        <f t="shared" si="2"/>
        <v>SUPPORTED WITHIN 2DAYS</v>
      </c>
      <c r="R193" s="8" t="s">
        <v>1272</v>
      </c>
      <c r="S193" s="1">
        <v>0</v>
      </c>
      <c r="T193" s="1" t="s">
        <v>246</v>
      </c>
      <c r="U193" s="1" t="str">
        <f>VLOOKUP(T193,personnel!A$1:B$4,2,FALSE)</f>
        <v>Macarling, Federico Jr Romano</v>
      </c>
      <c r="V193" s="3">
        <v>44139.438634259262</v>
      </c>
    </row>
    <row r="194" spans="1:22" x14ac:dyDescent="0.25">
      <c r="A194" s="1" t="s">
        <v>18</v>
      </c>
      <c r="B194" s="1" t="s">
        <v>19</v>
      </c>
      <c r="C194" s="1" t="s">
        <v>20</v>
      </c>
      <c r="D194" s="1" t="s">
        <v>600</v>
      </c>
      <c r="E194" s="2">
        <v>44140</v>
      </c>
      <c r="F194" s="1" t="s">
        <v>22</v>
      </c>
      <c r="G194" s="1" t="s">
        <v>601</v>
      </c>
      <c r="H194" s="1" t="s">
        <v>564</v>
      </c>
      <c r="I194" s="1" t="s">
        <v>25</v>
      </c>
      <c r="J194" s="1" t="s">
        <v>563</v>
      </c>
      <c r="K194" s="1">
        <v>0</v>
      </c>
      <c r="L194" s="1"/>
      <c r="M194" s="1" t="s">
        <v>564</v>
      </c>
      <c r="N194" s="1" t="s">
        <v>602</v>
      </c>
      <c r="O194" s="1" t="s">
        <v>245</v>
      </c>
      <c r="P194" s="2">
        <v>44140</v>
      </c>
      <c r="Q194" s="8" t="str">
        <f t="shared" si="2"/>
        <v>SUPPORTED WITHIN 2DAYS</v>
      </c>
      <c r="R194" s="8" t="s">
        <v>1272</v>
      </c>
      <c r="S194" s="1">
        <v>0</v>
      </c>
      <c r="T194" s="1" t="s">
        <v>246</v>
      </c>
      <c r="U194" s="1" t="str">
        <f>VLOOKUP(T194,personnel!A$1:B$4,2,FALSE)</f>
        <v>Macarling, Federico Jr Romano</v>
      </c>
      <c r="V194" s="3">
        <v>44140.382650462961</v>
      </c>
    </row>
    <row r="195" spans="1:22" x14ac:dyDescent="0.25">
      <c r="A195" s="1" t="s">
        <v>18</v>
      </c>
      <c r="B195" s="1" t="s">
        <v>19</v>
      </c>
      <c r="C195" s="1" t="s">
        <v>20</v>
      </c>
      <c r="D195" s="1" t="s">
        <v>603</v>
      </c>
      <c r="E195" s="2">
        <v>44140</v>
      </c>
      <c r="F195" s="1" t="s">
        <v>22</v>
      </c>
      <c r="G195" s="1" t="s">
        <v>604</v>
      </c>
      <c r="H195" s="1" t="s">
        <v>605</v>
      </c>
      <c r="I195" s="1" t="s">
        <v>25</v>
      </c>
      <c r="J195" s="1" t="s">
        <v>563</v>
      </c>
      <c r="K195" s="1">
        <v>0</v>
      </c>
      <c r="L195" s="1"/>
      <c r="M195" s="1" t="s">
        <v>564</v>
      </c>
      <c r="N195" s="1" t="s">
        <v>606</v>
      </c>
      <c r="O195" s="1" t="s">
        <v>245</v>
      </c>
      <c r="P195" s="2">
        <v>44140</v>
      </c>
      <c r="Q195" s="8" t="str">
        <f t="shared" ref="Q195:Q258" si="3">IF((P195-E195)&gt;2,"NOT SUPPORTED WITHIN 2DAYS","SUPPORTED WITHIN 2DAYS")</f>
        <v>SUPPORTED WITHIN 2DAYS</v>
      </c>
      <c r="R195" s="8" t="s">
        <v>1272</v>
      </c>
      <c r="S195" s="1">
        <v>0</v>
      </c>
      <c r="T195" s="1" t="s">
        <v>246</v>
      </c>
      <c r="U195" s="1" t="str">
        <f>VLOOKUP(T195,personnel!A$1:B$4,2,FALSE)</f>
        <v>Macarling, Federico Jr Romano</v>
      </c>
      <c r="V195" s="3">
        <v>44140.383136574077</v>
      </c>
    </row>
    <row r="196" spans="1:22" x14ac:dyDescent="0.25">
      <c r="A196" s="1" t="s">
        <v>18</v>
      </c>
      <c r="B196" s="1" t="s">
        <v>19</v>
      </c>
      <c r="C196" s="1" t="s">
        <v>20</v>
      </c>
      <c r="D196" s="1" t="s">
        <v>607</v>
      </c>
      <c r="E196" s="2">
        <v>44140</v>
      </c>
      <c r="F196" s="1" t="s">
        <v>22</v>
      </c>
      <c r="G196" s="1" t="s">
        <v>608</v>
      </c>
      <c r="H196" s="1" t="s">
        <v>609</v>
      </c>
      <c r="I196" s="1" t="s">
        <v>25</v>
      </c>
      <c r="J196" s="1" t="s">
        <v>563</v>
      </c>
      <c r="K196" s="1">
        <v>0</v>
      </c>
      <c r="L196" s="1"/>
      <c r="M196" s="1" t="s">
        <v>564</v>
      </c>
      <c r="N196" s="1" t="s">
        <v>606</v>
      </c>
      <c r="O196" s="1" t="s">
        <v>245</v>
      </c>
      <c r="P196" s="2">
        <v>44140</v>
      </c>
      <c r="Q196" s="8" t="str">
        <f t="shared" si="3"/>
        <v>SUPPORTED WITHIN 2DAYS</v>
      </c>
      <c r="R196" s="8" t="s">
        <v>1272</v>
      </c>
      <c r="S196" s="1">
        <v>0</v>
      </c>
      <c r="T196" s="1" t="s">
        <v>246</v>
      </c>
      <c r="U196" s="1" t="str">
        <f>VLOOKUP(T196,personnel!A$1:B$4,2,FALSE)</f>
        <v>Macarling, Federico Jr Romano</v>
      </c>
      <c r="V196" s="3">
        <v>44140.393229166664</v>
      </c>
    </row>
    <row r="197" spans="1:22" x14ac:dyDescent="0.25">
      <c r="A197" s="1" t="s">
        <v>78</v>
      </c>
      <c r="B197" s="1" t="s">
        <v>19</v>
      </c>
      <c r="C197" s="1" t="s">
        <v>166</v>
      </c>
      <c r="D197" s="1" t="s">
        <v>610</v>
      </c>
      <c r="E197" s="2">
        <v>44140</v>
      </c>
      <c r="F197" s="1" t="s">
        <v>80</v>
      </c>
      <c r="G197" s="1" t="s">
        <v>611</v>
      </c>
      <c r="H197" s="1"/>
      <c r="I197" s="1" t="s">
        <v>25</v>
      </c>
      <c r="J197" s="1" t="s">
        <v>563</v>
      </c>
      <c r="K197" s="1">
        <v>0</v>
      </c>
      <c r="L197" s="1"/>
      <c r="M197" s="1"/>
      <c r="N197" s="1" t="s">
        <v>606</v>
      </c>
      <c r="O197" s="1"/>
      <c r="P197" s="2">
        <v>44140</v>
      </c>
      <c r="Q197" s="8" t="str">
        <f t="shared" si="3"/>
        <v>SUPPORTED WITHIN 2DAYS</v>
      </c>
      <c r="R197" s="8" t="s">
        <v>1272</v>
      </c>
      <c r="S197" s="1">
        <v>0</v>
      </c>
      <c r="T197" s="1" t="s">
        <v>246</v>
      </c>
      <c r="U197" s="1" t="str">
        <f>VLOOKUP(T197,personnel!A$1:B$4,2,FALSE)</f>
        <v>Macarling, Federico Jr Romano</v>
      </c>
      <c r="V197" s="3">
        <v>44140.409097222226</v>
      </c>
    </row>
    <row r="198" spans="1:22" x14ac:dyDescent="0.25">
      <c r="A198" s="1" t="s">
        <v>96</v>
      </c>
      <c r="B198" s="1" t="s">
        <v>19</v>
      </c>
      <c r="C198" s="1" t="s">
        <v>20</v>
      </c>
      <c r="D198" s="1" t="s">
        <v>612</v>
      </c>
      <c r="E198" s="2">
        <v>44140</v>
      </c>
      <c r="F198" s="1" t="s">
        <v>98</v>
      </c>
      <c r="G198" s="1" t="s">
        <v>613</v>
      </c>
      <c r="H198" s="1" t="s">
        <v>614</v>
      </c>
      <c r="I198" s="1" t="s">
        <v>25</v>
      </c>
      <c r="J198" s="1" t="s">
        <v>26</v>
      </c>
      <c r="K198" s="1">
        <v>0</v>
      </c>
      <c r="L198" s="1"/>
      <c r="M198" s="1" t="s">
        <v>244</v>
      </c>
      <c r="N198" s="1" t="s">
        <v>606</v>
      </c>
      <c r="O198" s="1" t="s">
        <v>245</v>
      </c>
      <c r="P198" s="2">
        <v>44144</v>
      </c>
      <c r="Q198" s="8" t="str">
        <f t="shared" si="3"/>
        <v>NOT SUPPORTED WITHIN 2DAYS</v>
      </c>
      <c r="R198" s="8" t="s">
        <v>1273</v>
      </c>
      <c r="S198" s="1">
        <v>0</v>
      </c>
      <c r="T198" s="1" t="s">
        <v>246</v>
      </c>
      <c r="U198" s="1" t="str">
        <f>VLOOKUP(T198,personnel!A$1:B$4,2,FALSE)</f>
        <v>Macarling, Federico Jr Romano</v>
      </c>
      <c r="V198" s="3">
        <v>44140.492118055554</v>
      </c>
    </row>
    <row r="199" spans="1:22" x14ac:dyDescent="0.25">
      <c r="A199" s="1" t="s">
        <v>615</v>
      </c>
      <c r="B199" s="1" t="s">
        <v>19</v>
      </c>
      <c r="C199" s="1" t="s">
        <v>20</v>
      </c>
      <c r="D199" s="1" t="s">
        <v>616</v>
      </c>
      <c r="E199" s="2">
        <v>44140</v>
      </c>
      <c r="F199" s="1" t="s">
        <v>617</v>
      </c>
      <c r="G199" s="1" t="s">
        <v>591</v>
      </c>
      <c r="H199" s="1" t="s">
        <v>618</v>
      </c>
      <c r="I199" s="1" t="s">
        <v>25</v>
      </c>
      <c r="J199" s="1" t="s">
        <v>26</v>
      </c>
      <c r="K199" s="1">
        <v>0</v>
      </c>
      <c r="L199" s="1"/>
      <c r="M199" s="1" t="s">
        <v>244</v>
      </c>
      <c r="N199" s="1" t="s">
        <v>606</v>
      </c>
      <c r="O199" s="1" t="s">
        <v>245</v>
      </c>
      <c r="P199" s="2">
        <v>44144</v>
      </c>
      <c r="Q199" s="8" t="str">
        <f t="shared" si="3"/>
        <v>NOT SUPPORTED WITHIN 2DAYS</v>
      </c>
      <c r="R199" s="8" t="s">
        <v>1273</v>
      </c>
      <c r="S199" s="1">
        <v>0</v>
      </c>
      <c r="T199" s="1" t="s">
        <v>246</v>
      </c>
      <c r="U199" s="1" t="str">
        <f>VLOOKUP(T199,personnel!A$1:B$4,2,FALSE)</f>
        <v>Macarling, Federico Jr Romano</v>
      </c>
      <c r="V199" s="3">
        <v>44140.549317129633</v>
      </c>
    </row>
    <row r="200" spans="1:22" x14ac:dyDescent="0.25">
      <c r="A200" s="1" t="s">
        <v>198</v>
      </c>
      <c r="B200" s="1" t="s">
        <v>19</v>
      </c>
      <c r="C200" s="1" t="s">
        <v>20</v>
      </c>
      <c r="D200" s="1" t="s">
        <v>619</v>
      </c>
      <c r="E200" s="2">
        <v>44140</v>
      </c>
      <c r="F200" s="1" t="s">
        <v>200</v>
      </c>
      <c r="G200" s="1" t="s">
        <v>620</v>
      </c>
      <c r="H200" s="1" t="s">
        <v>244</v>
      </c>
      <c r="I200" s="1" t="s">
        <v>95</v>
      </c>
      <c r="J200" s="1" t="s">
        <v>26</v>
      </c>
      <c r="K200" s="1">
        <v>0</v>
      </c>
      <c r="L200" s="1"/>
      <c r="M200" s="1" t="s">
        <v>244</v>
      </c>
      <c r="N200" s="1" t="s">
        <v>621</v>
      </c>
      <c r="O200" s="1" t="s">
        <v>245</v>
      </c>
      <c r="P200" s="2">
        <v>44166</v>
      </c>
      <c r="Q200" s="8" t="str">
        <f t="shared" si="3"/>
        <v>NOT SUPPORTED WITHIN 2DAYS</v>
      </c>
      <c r="R200" s="8" t="s">
        <v>1273</v>
      </c>
      <c r="S200" s="1">
        <v>0</v>
      </c>
      <c r="T200" s="1" t="s">
        <v>246</v>
      </c>
      <c r="U200" s="1" t="str">
        <f>VLOOKUP(T200,personnel!A$1:B$4,2,FALSE)</f>
        <v>Macarling, Federico Jr Romano</v>
      </c>
      <c r="V200" s="3">
        <v>44140.647291666668</v>
      </c>
    </row>
    <row r="201" spans="1:22" x14ac:dyDescent="0.25">
      <c r="A201" s="1" t="s">
        <v>18</v>
      </c>
      <c r="B201" s="1" t="s">
        <v>19</v>
      </c>
      <c r="C201" s="1" t="s">
        <v>166</v>
      </c>
      <c r="D201" s="1" t="s">
        <v>622</v>
      </c>
      <c r="E201" s="2">
        <v>44140</v>
      </c>
      <c r="F201" s="1" t="s">
        <v>22</v>
      </c>
      <c r="G201" s="1" t="s">
        <v>623</v>
      </c>
      <c r="H201" s="1"/>
      <c r="I201" s="1" t="s">
        <v>36</v>
      </c>
      <c r="J201" s="1" t="s">
        <v>171</v>
      </c>
      <c r="K201" s="1">
        <v>0</v>
      </c>
      <c r="L201" s="1"/>
      <c r="M201" s="1"/>
      <c r="N201" s="1" t="s">
        <v>621</v>
      </c>
      <c r="O201" s="1"/>
      <c r="P201" s="2">
        <v>44140</v>
      </c>
      <c r="Q201" s="8" t="str">
        <f t="shared" si="3"/>
        <v>SUPPORTED WITHIN 2DAYS</v>
      </c>
      <c r="R201" s="8" t="s">
        <v>1272</v>
      </c>
      <c r="S201" s="1">
        <v>0</v>
      </c>
      <c r="T201" s="1" t="s">
        <v>246</v>
      </c>
      <c r="U201" s="1" t="str">
        <f>VLOOKUP(T201,personnel!A$1:B$4,2,FALSE)</f>
        <v>Macarling, Federico Jr Romano</v>
      </c>
      <c r="V201" s="3">
        <v>44140.65116898148</v>
      </c>
    </row>
    <row r="202" spans="1:22" x14ac:dyDescent="0.25">
      <c r="A202" s="1" t="s">
        <v>18</v>
      </c>
      <c r="B202" s="1" t="s">
        <v>19</v>
      </c>
      <c r="C202" s="1" t="s">
        <v>20</v>
      </c>
      <c r="D202" s="1" t="s">
        <v>624</v>
      </c>
      <c r="E202" s="2">
        <v>44140</v>
      </c>
      <c r="F202" s="1" t="s">
        <v>22</v>
      </c>
      <c r="G202" s="1" t="s">
        <v>625</v>
      </c>
      <c r="H202" s="1" t="s">
        <v>626</v>
      </c>
      <c r="I202" s="1" t="s">
        <v>25</v>
      </c>
      <c r="J202" s="1" t="s">
        <v>171</v>
      </c>
      <c r="K202" s="1">
        <v>0</v>
      </c>
      <c r="L202" s="1"/>
      <c r="M202" s="1" t="s">
        <v>542</v>
      </c>
      <c r="N202" s="1"/>
      <c r="O202" s="1" t="s">
        <v>543</v>
      </c>
      <c r="P202" s="2">
        <v>44140</v>
      </c>
      <c r="Q202" s="8" t="str">
        <f t="shared" si="3"/>
        <v>SUPPORTED WITHIN 2DAYS</v>
      </c>
      <c r="R202" s="8" t="s">
        <v>1272</v>
      </c>
      <c r="S202" s="1">
        <v>0</v>
      </c>
      <c r="T202" s="1" t="s">
        <v>544</v>
      </c>
      <c r="U202" s="1" t="str">
        <f>VLOOKUP(T202,personnel!A$1:B$4,2,FALSE)</f>
        <v>Velasquez, Jayson Alon</v>
      </c>
      <c r="V202" s="3">
        <v>44140.689120370371</v>
      </c>
    </row>
    <row r="203" spans="1:22" x14ac:dyDescent="0.25">
      <c r="A203" s="1" t="s">
        <v>18</v>
      </c>
      <c r="B203" s="1" t="s">
        <v>19</v>
      </c>
      <c r="C203" s="1" t="s">
        <v>20</v>
      </c>
      <c r="D203" s="1" t="s">
        <v>627</v>
      </c>
      <c r="E203" s="2">
        <v>44140</v>
      </c>
      <c r="F203" s="1" t="s">
        <v>22</v>
      </c>
      <c r="G203" s="1" t="s">
        <v>628</v>
      </c>
      <c r="H203" s="1" t="s">
        <v>629</v>
      </c>
      <c r="I203" s="1" t="s">
        <v>95</v>
      </c>
      <c r="J203" s="1" t="s">
        <v>552</v>
      </c>
      <c r="K203" s="1">
        <v>0</v>
      </c>
      <c r="L203" s="1"/>
      <c r="M203" s="1" t="s">
        <v>542</v>
      </c>
      <c r="N203" s="1"/>
      <c r="O203" s="1" t="s">
        <v>543</v>
      </c>
      <c r="P203" s="2">
        <v>44140</v>
      </c>
      <c r="Q203" s="8" t="str">
        <f t="shared" si="3"/>
        <v>SUPPORTED WITHIN 2DAYS</v>
      </c>
      <c r="R203" s="8" t="s">
        <v>1272</v>
      </c>
      <c r="S203" s="1">
        <v>0</v>
      </c>
      <c r="T203" s="1" t="s">
        <v>544</v>
      </c>
      <c r="U203" s="1" t="str">
        <f>VLOOKUP(T203,personnel!A$1:B$4,2,FALSE)</f>
        <v>Velasquez, Jayson Alon</v>
      </c>
      <c r="V203" s="3">
        <v>44140.694201388891</v>
      </c>
    </row>
    <row r="204" spans="1:22" x14ac:dyDescent="0.25">
      <c r="A204" s="1" t="s">
        <v>96</v>
      </c>
      <c r="B204" s="1" t="s">
        <v>19</v>
      </c>
      <c r="C204" s="1" t="s">
        <v>20</v>
      </c>
      <c r="D204" s="1" t="s">
        <v>630</v>
      </c>
      <c r="E204" s="2">
        <v>44140</v>
      </c>
      <c r="F204" s="1" t="s">
        <v>98</v>
      </c>
      <c r="G204" s="1" t="s">
        <v>631</v>
      </c>
      <c r="H204" s="1" t="s">
        <v>632</v>
      </c>
      <c r="I204" s="1" t="s">
        <v>25</v>
      </c>
      <c r="J204" s="1" t="s">
        <v>26</v>
      </c>
      <c r="K204" s="1">
        <v>1</v>
      </c>
      <c r="L204" s="1"/>
      <c r="M204" s="1" t="s">
        <v>542</v>
      </c>
      <c r="N204" s="1"/>
      <c r="O204" s="1" t="s">
        <v>543</v>
      </c>
      <c r="P204" s="2">
        <v>44141</v>
      </c>
      <c r="Q204" s="8" t="str">
        <f t="shared" si="3"/>
        <v>SUPPORTED WITHIN 2DAYS</v>
      </c>
      <c r="R204" s="8" t="s">
        <v>1272</v>
      </c>
      <c r="S204" s="1">
        <v>0</v>
      </c>
      <c r="T204" s="1" t="s">
        <v>544</v>
      </c>
      <c r="U204" s="1" t="str">
        <f>VLOOKUP(T204,personnel!A$1:B$4,2,FALSE)</f>
        <v>Velasquez, Jayson Alon</v>
      </c>
      <c r="V204" s="3">
        <v>44140.6950462963</v>
      </c>
    </row>
    <row r="205" spans="1:22" x14ac:dyDescent="0.25">
      <c r="A205" s="1" t="s">
        <v>18</v>
      </c>
      <c r="B205" s="1" t="s">
        <v>19</v>
      </c>
      <c r="C205" s="1" t="s">
        <v>166</v>
      </c>
      <c r="D205" s="1" t="s">
        <v>633</v>
      </c>
      <c r="E205" s="2">
        <v>44140</v>
      </c>
      <c r="F205" s="1" t="s">
        <v>22</v>
      </c>
      <c r="G205" s="1" t="s">
        <v>634</v>
      </c>
      <c r="H205" s="1"/>
      <c r="I205" s="1" t="s">
        <v>41</v>
      </c>
      <c r="J205" s="1" t="s">
        <v>287</v>
      </c>
      <c r="K205" s="1">
        <v>0</v>
      </c>
      <c r="L205" s="1"/>
      <c r="M205" s="1"/>
      <c r="N205" s="1" t="s">
        <v>635</v>
      </c>
      <c r="O205" s="1"/>
      <c r="P205" s="2">
        <v>44140</v>
      </c>
      <c r="Q205" s="8" t="str">
        <f t="shared" si="3"/>
        <v>SUPPORTED WITHIN 2DAYS</v>
      </c>
      <c r="R205" s="8" t="s">
        <v>1272</v>
      </c>
      <c r="S205" s="1">
        <v>0</v>
      </c>
      <c r="T205" s="1" t="s">
        <v>246</v>
      </c>
      <c r="U205" s="1" t="str">
        <f>VLOOKUP(T205,personnel!A$1:B$4,2,FALSE)</f>
        <v>Macarling, Federico Jr Romano</v>
      </c>
      <c r="V205" s="3">
        <v>44140.705972222226</v>
      </c>
    </row>
    <row r="206" spans="1:22" x14ac:dyDescent="0.25">
      <c r="A206" s="1" t="s">
        <v>636</v>
      </c>
      <c r="B206" s="1" t="s">
        <v>19</v>
      </c>
      <c r="C206" s="1" t="s">
        <v>20</v>
      </c>
      <c r="D206" s="1" t="s">
        <v>637</v>
      </c>
      <c r="E206" s="2">
        <v>44140</v>
      </c>
      <c r="F206" s="1" t="s">
        <v>638</v>
      </c>
      <c r="G206" s="1" t="s">
        <v>639</v>
      </c>
      <c r="H206" s="1" t="s">
        <v>244</v>
      </c>
      <c r="I206" s="1" t="s">
        <v>25</v>
      </c>
      <c r="J206" s="1" t="s">
        <v>26</v>
      </c>
      <c r="K206" s="1">
        <v>0</v>
      </c>
      <c r="L206" s="1"/>
      <c r="M206" s="1" t="s">
        <v>244</v>
      </c>
      <c r="N206" s="1" t="s">
        <v>635</v>
      </c>
      <c r="O206" s="1" t="s">
        <v>245</v>
      </c>
      <c r="P206" s="2">
        <v>44144</v>
      </c>
      <c r="Q206" s="8" t="str">
        <f t="shared" si="3"/>
        <v>NOT SUPPORTED WITHIN 2DAYS</v>
      </c>
      <c r="R206" s="8" t="s">
        <v>1273</v>
      </c>
      <c r="S206" s="1">
        <v>0</v>
      </c>
      <c r="T206" s="1" t="s">
        <v>246</v>
      </c>
      <c r="U206" s="1" t="str">
        <f>VLOOKUP(T206,personnel!A$1:B$4,2,FALSE)</f>
        <v>Macarling, Federico Jr Romano</v>
      </c>
      <c r="V206" s="3">
        <v>44140.706354166665</v>
      </c>
    </row>
    <row r="207" spans="1:22" x14ac:dyDescent="0.25">
      <c r="A207" s="1" t="s">
        <v>636</v>
      </c>
      <c r="B207" s="1" t="s">
        <v>19</v>
      </c>
      <c r="C207" s="1" t="s">
        <v>20</v>
      </c>
      <c r="D207" s="1" t="s">
        <v>640</v>
      </c>
      <c r="E207" s="2">
        <v>44141</v>
      </c>
      <c r="F207" s="1" t="s">
        <v>638</v>
      </c>
      <c r="G207" s="1" t="s">
        <v>641</v>
      </c>
      <c r="H207" s="1" t="s">
        <v>244</v>
      </c>
      <c r="I207" s="1" t="s">
        <v>25</v>
      </c>
      <c r="J207" s="1" t="s">
        <v>26</v>
      </c>
      <c r="K207" s="1">
        <v>0</v>
      </c>
      <c r="L207" s="1"/>
      <c r="M207" s="1" t="s">
        <v>244</v>
      </c>
      <c r="N207" s="1"/>
      <c r="O207" s="1" t="s">
        <v>245</v>
      </c>
      <c r="P207" s="2">
        <v>44144</v>
      </c>
      <c r="Q207" s="8" t="str">
        <f t="shared" si="3"/>
        <v>NOT SUPPORTED WITHIN 2DAYS</v>
      </c>
      <c r="R207" s="8" t="s">
        <v>1273</v>
      </c>
      <c r="S207" s="1">
        <v>0</v>
      </c>
      <c r="T207" s="1" t="s">
        <v>246</v>
      </c>
      <c r="U207" s="1" t="str">
        <f>VLOOKUP(T207,personnel!A$1:B$4,2,FALSE)</f>
        <v>Macarling, Federico Jr Romano</v>
      </c>
      <c r="V207" s="3">
        <v>44141.353425925925</v>
      </c>
    </row>
    <row r="208" spans="1:22" x14ac:dyDescent="0.25">
      <c r="A208" s="1" t="s">
        <v>642</v>
      </c>
      <c r="B208" s="1" t="s">
        <v>19</v>
      </c>
      <c r="C208" s="1" t="s">
        <v>166</v>
      </c>
      <c r="D208" s="1" t="s">
        <v>643</v>
      </c>
      <c r="E208" s="2">
        <v>44141</v>
      </c>
      <c r="F208" s="1" t="s">
        <v>644</v>
      </c>
      <c r="G208" s="1" t="s">
        <v>645</v>
      </c>
      <c r="H208" s="1"/>
      <c r="I208" s="1" t="s">
        <v>36</v>
      </c>
      <c r="J208" s="1" t="s">
        <v>287</v>
      </c>
      <c r="K208" s="1">
        <v>0</v>
      </c>
      <c r="L208" s="1"/>
      <c r="M208" s="1"/>
      <c r="N208" s="1" t="s">
        <v>145</v>
      </c>
      <c r="O208" s="1"/>
      <c r="P208" s="2">
        <v>44141</v>
      </c>
      <c r="Q208" s="8" t="str">
        <f t="shared" si="3"/>
        <v>SUPPORTED WITHIN 2DAYS</v>
      </c>
      <c r="R208" s="8" t="s">
        <v>1272</v>
      </c>
      <c r="S208" s="1">
        <v>0</v>
      </c>
      <c r="T208" s="1" t="s">
        <v>246</v>
      </c>
      <c r="U208" s="1" t="str">
        <f>VLOOKUP(T208,personnel!A$1:B$4,2,FALSE)</f>
        <v>Macarling, Federico Jr Romano</v>
      </c>
      <c r="V208" s="3">
        <v>44141.432129629633</v>
      </c>
    </row>
    <row r="209" spans="1:22" x14ac:dyDescent="0.25">
      <c r="A209" s="1" t="s">
        <v>78</v>
      </c>
      <c r="B209" s="1" t="s">
        <v>19</v>
      </c>
      <c r="C209" s="1" t="s">
        <v>20</v>
      </c>
      <c r="D209" s="1" t="s">
        <v>646</v>
      </c>
      <c r="E209" s="2">
        <v>44141</v>
      </c>
      <c r="F209" s="1" t="s">
        <v>80</v>
      </c>
      <c r="G209" s="1" t="s">
        <v>647</v>
      </c>
      <c r="H209" s="1" t="s">
        <v>244</v>
      </c>
      <c r="I209" s="1" t="s">
        <v>41</v>
      </c>
      <c r="J209" s="1" t="s">
        <v>287</v>
      </c>
      <c r="K209" s="1">
        <v>0</v>
      </c>
      <c r="L209" s="1"/>
      <c r="M209" s="1" t="s">
        <v>244</v>
      </c>
      <c r="N209" s="1" t="s">
        <v>648</v>
      </c>
      <c r="O209" s="1" t="s">
        <v>245</v>
      </c>
      <c r="P209" s="2">
        <v>44141</v>
      </c>
      <c r="Q209" s="8" t="str">
        <f t="shared" si="3"/>
        <v>SUPPORTED WITHIN 2DAYS</v>
      </c>
      <c r="R209" s="8" t="s">
        <v>1272</v>
      </c>
      <c r="S209" s="1">
        <v>0</v>
      </c>
      <c r="T209" s="1" t="s">
        <v>246</v>
      </c>
      <c r="U209" s="1" t="str">
        <f>VLOOKUP(T209,personnel!A$1:B$4,2,FALSE)</f>
        <v>Macarling, Federico Jr Romano</v>
      </c>
      <c r="V209" s="3">
        <v>44141.544120370374</v>
      </c>
    </row>
    <row r="210" spans="1:22" x14ac:dyDescent="0.25">
      <c r="A210" s="1" t="s">
        <v>18</v>
      </c>
      <c r="B210" s="1" t="s">
        <v>19</v>
      </c>
      <c r="C210" s="1" t="s">
        <v>20</v>
      </c>
      <c r="D210" s="1" t="s">
        <v>649</v>
      </c>
      <c r="E210" s="2">
        <v>44141</v>
      </c>
      <c r="F210" s="1" t="s">
        <v>22</v>
      </c>
      <c r="G210" s="1" t="s">
        <v>650</v>
      </c>
      <c r="H210" s="1" t="s">
        <v>651</v>
      </c>
      <c r="I210" s="1" t="s">
        <v>25</v>
      </c>
      <c r="J210" s="1" t="s">
        <v>652</v>
      </c>
      <c r="K210" s="1">
        <v>0</v>
      </c>
      <c r="L210" s="1"/>
      <c r="M210" s="1" t="s">
        <v>542</v>
      </c>
      <c r="N210" s="1"/>
      <c r="O210" s="1" t="s">
        <v>543</v>
      </c>
      <c r="P210" s="2">
        <v>44141</v>
      </c>
      <c r="Q210" s="8" t="str">
        <f t="shared" si="3"/>
        <v>SUPPORTED WITHIN 2DAYS</v>
      </c>
      <c r="R210" s="8" t="s">
        <v>1272</v>
      </c>
      <c r="S210" s="1">
        <v>0</v>
      </c>
      <c r="T210" s="1" t="s">
        <v>544</v>
      </c>
      <c r="U210" s="1" t="str">
        <f>VLOOKUP(T210,personnel!A$1:B$4,2,FALSE)</f>
        <v>Velasquez, Jayson Alon</v>
      </c>
      <c r="V210" s="3">
        <v>44141.556064814817</v>
      </c>
    </row>
    <row r="211" spans="1:22" x14ac:dyDescent="0.25">
      <c r="A211" s="1" t="s">
        <v>18</v>
      </c>
      <c r="B211" s="1" t="s">
        <v>19</v>
      </c>
      <c r="C211" s="1" t="s">
        <v>20</v>
      </c>
      <c r="D211" s="1" t="s">
        <v>653</v>
      </c>
      <c r="E211" s="2">
        <v>44141</v>
      </c>
      <c r="F211" s="1" t="s">
        <v>22</v>
      </c>
      <c r="G211" s="1" t="s">
        <v>654</v>
      </c>
      <c r="H211" s="1" t="s">
        <v>626</v>
      </c>
      <c r="I211" s="1" t="s">
        <v>95</v>
      </c>
      <c r="J211" s="1" t="s">
        <v>26</v>
      </c>
      <c r="K211" s="1">
        <v>0</v>
      </c>
      <c r="L211" s="1"/>
      <c r="M211" s="1" t="s">
        <v>542</v>
      </c>
      <c r="N211" s="1"/>
      <c r="O211" s="1" t="s">
        <v>543</v>
      </c>
      <c r="P211" s="2">
        <v>44141</v>
      </c>
      <c r="Q211" s="8" t="str">
        <f t="shared" si="3"/>
        <v>SUPPORTED WITHIN 2DAYS</v>
      </c>
      <c r="R211" s="8" t="s">
        <v>1272</v>
      </c>
      <c r="S211" s="1">
        <v>0</v>
      </c>
      <c r="T211" s="1" t="s">
        <v>544</v>
      </c>
      <c r="U211" s="1" t="str">
        <f>VLOOKUP(T211,personnel!A$1:B$4,2,FALSE)</f>
        <v>Velasquez, Jayson Alon</v>
      </c>
      <c r="V211" s="3">
        <v>44141.556388888886</v>
      </c>
    </row>
    <row r="212" spans="1:22" x14ac:dyDescent="0.25">
      <c r="A212" s="1" t="s">
        <v>18</v>
      </c>
      <c r="B212" s="1" t="s">
        <v>19</v>
      </c>
      <c r="C212" s="1" t="s">
        <v>20</v>
      </c>
      <c r="D212" s="1" t="s">
        <v>655</v>
      </c>
      <c r="E212" s="2">
        <v>44141</v>
      </c>
      <c r="F212" s="1" t="s">
        <v>22</v>
      </c>
      <c r="G212" s="1" t="s">
        <v>656</v>
      </c>
      <c r="H212" s="1" t="s">
        <v>573</v>
      </c>
      <c r="I212" s="1" t="s">
        <v>36</v>
      </c>
      <c r="J212" s="1" t="s">
        <v>552</v>
      </c>
      <c r="K212" s="1">
        <v>0</v>
      </c>
      <c r="L212" s="1"/>
      <c r="M212" s="1" t="s">
        <v>542</v>
      </c>
      <c r="N212" s="1"/>
      <c r="O212" s="1" t="s">
        <v>543</v>
      </c>
      <c r="P212" s="2">
        <v>44141</v>
      </c>
      <c r="Q212" s="8" t="str">
        <f t="shared" si="3"/>
        <v>SUPPORTED WITHIN 2DAYS</v>
      </c>
      <c r="R212" s="8" t="s">
        <v>1272</v>
      </c>
      <c r="S212" s="1">
        <v>0</v>
      </c>
      <c r="T212" s="1" t="s">
        <v>544</v>
      </c>
      <c r="U212" s="1" t="str">
        <f>VLOOKUP(T212,personnel!A$1:B$4,2,FALSE)</f>
        <v>Velasquez, Jayson Alon</v>
      </c>
      <c r="V212" s="3">
        <v>44141.557719907411</v>
      </c>
    </row>
    <row r="213" spans="1:22" x14ac:dyDescent="0.25">
      <c r="A213" s="1" t="s">
        <v>18</v>
      </c>
      <c r="B213" s="1" t="s">
        <v>32</v>
      </c>
      <c r="C213" s="1" t="s">
        <v>20</v>
      </c>
      <c r="D213" s="1" t="s">
        <v>657</v>
      </c>
      <c r="E213" s="2">
        <v>44141</v>
      </c>
      <c r="F213" s="1" t="s">
        <v>22</v>
      </c>
      <c r="G213" s="1" t="s">
        <v>658</v>
      </c>
      <c r="H213" s="1" t="s">
        <v>659</v>
      </c>
      <c r="I213" s="1" t="s">
        <v>25</v>
      </c>
      <c r="J213" s="1" t="s">
        <v>26</v>
      </c>
      <c r="K213" s="1">
        <v>0</v>
      </c>
      <c r="L213" s="1"/>
      <c r="M213" s="1" t="s">
        <v>244</v>
      </c>
      <c r="N213" s="1" t="s">
        <v>648</v>
      </c>
      <c r="O213" s="1" t="s">
        <v>245</v>
      </c>
      <c r="P213" s="2">
        <v>44144</v>
      </c>
      <c r="Q213" s="8" t="str">
        <f t="shared" si="3"/>
        <v>NOT SUPPORTED WITHIN 2DAYS</v>
      </c>
      <c r="R213" s="8" t="s">
        <v>1273</v>
      </c>
      <c r="S213" s="1">
        <v>4</v>
      </c>
      <c r="T213" s="1" t="s">
        <v>246</v>
      </c>
      <c r="U213" s="1" t="str">
        <f>VLOOKUP(T213,personnel!A$1:B$4,2,FALSE)</f>
        <v>Macarling, Federico Jr Romano</v>
      </c>
      <c r="V213" s="3">
        <v>44141.600451388891</v>
      </c>
    </row>
    <row r="214" spans="1:22" x14ac:dyDescent="0.25">
      <c r="A214" s="1" t="s">
        <v>18</v>
      </c>
      <c r="B214" s="1" t="s">
        <v>19</v>
      </c>
      <c r="C214" s="1" t="s">
        <v>166</v>
      </c>
      <c r="D214" s="1" t="s">
        <v>660</v>
      </c>
      <c r="E214" s="2">
        <v>44141</v>
      </c>
      <c r="F214" s="1" t="s">
        <v>22</v>
      </c>
      <c r="G214" s="1" t="s">
        <v>661</v>
      </c>
      <c r="H214" s="1"/>
      <c r="I214" s="1" t="s">
        <v>36</v>
      </c>
      <c r="J214" s="1" t="s">
        <v>36</v>
      </c>
      <c r="K214" s="1">
        <v>0</v>
      </c>
      <c r="L214" s="1"/>
      <c r="M214" s="1"/>
      <c r="N214" s="1" t="s">
        <v>662</v>
      </c>
      <c r="O214" s="1"/>
      <c r="P214" s="2">
        <v>44141</v>
      </c>
      <c r="Q214" s="8" t="str">
        <f t="shared" si="3"/>
        <v>SUPPORTED WITHIN 2DAYS</v>
      </c>
      <c r="R214" s="8" t="s">
        <v>1272</v>
      </c>
      <c r="S214" s="1">
        <v>0</v>
      </c>
      <c r="T214" s="1" t="s">
        <v>246</v>
      </c>
      <c r="U214" s="1" t="str">
        <f>VLOOKUP(T214,personnel!A$1:B$4,2,FALSE)</f>
        <v>Macarling, Federico Jr Romano</v>
      </c>
      <c r="V214" s="3">
        <v>44141.601053240738</v>
      </c>
    </row>
    <row r="215" spans="1:22" x14ac:dyDescent="0.25">
      <c r="A215" s="1" t="s">
        <v>580</v>
      </c>
      <c r="B215" s="1" t="s">
        <v>19</v>
      </c>
      <c r="C215" s="1" t="s">
        <v>20</v>
      </c>
      <c r="D215" s="1" t="s">
        <v>663</v>
      </c>
      <c r="E215" s="2">
        <v>44142</v>
      </c>
      <c r="F215" s="1" t="s">
        <v>582</v>
      </c>
      <c r="G215" s="1" t="s">
        <v>664</v>
      </c>
      <c r="H215" s="1" t="s">
        <v>665</v>
      </c>
      <c r="I215" s="1" t="s">
        <v>36</v>
      </c>
      <c r="J215" s="1" t="s">
        <v>171</v>
      </c>
      <c r="K215" s="1">
        <v>0</v>
      </c>
      <c r="L215" s="1"/>
      <c r="M215" s="1" t="s">
        <v>542</v>
      </c>
      <c r="N215" s="1"/>
      <c r="O215" s="1" t="s">
        <v>543</v>
      </c>
      <c r="P215" s="2">
        <v>44142</v>
      </c>
      <c r="Q215" s="8" t="str">
        <f t="shared" si="3"/>
        <v>SUPPORTED WITHIN 2DAYS</v>
      </c>
      <c r="R215" s="8" t="s">
        <v>1272</v>
      </c>
      <c r="S215" s="1">
        <v>0</v>
      </c>
      <c r="T215" s="1" t="s">
        <v>544</v>
      </c>
      <c r="U215" s="1" t="str">
        <f>VLOOKUP(T215,personnel!A$1:B$4,2,FALSE)</f>
        <v>Velasquez, Jayson Alon</v>
      </c>
      <c r="V215" s="3">
        <v>44142.36959490741</v>
      </c>
    </row>
    <row r="216" spans="1:22" x14ac:dyDescent="0.25">
      <c r="A216" s="1" t="s">
        <v>18</v>
      </c>
      <c r="B216" s="1" t="s">
        <v>32</v>
      </c>
      <c r="C216" s="1" t="s">
        <v>20</v>
      </c>
      <c r="D216" s="1" t="s">
        <v>666</v>
      </c>
      <c r="E216" s="2">
        <v>44142</v>
      </c>
      <c r="F216" s="1" t="s">
        <v>22</v>
      </c>
      <c r="G216" s="1" t="s">
        <v>667</v>
      </c>
      <c r="H216" s="1" t="s">
        <v>244</v>
      </c>
      <c r="I216" s="1" t="s">
        <v>25</v>
      </c>
      <c r="J216" s="1" t="s">
        <v>26</v>
      </c>
      <c r="K216" s="1">
        <v>0</v>
      </c>
      <c r="L216" s="1"/>
      <c r="M216" s="1" t="s">
        <v>244</v>
      </c>
      <c r="N216" s="1"/>
      <c r="O216" s="1" t="s">
        <v>245</v>
      </c>
      <c r="P216" s="2">
        <v>44144</v>
      </c>
      <c r="Q216" s="8" t="str">
        <f t="shared" si="3"/>
        <v>SUPPORTED WITHIN 2DAYS</v>
      </c>
      <c r="R216" s="8" t="s">
        <v>1272</v>
      </c>
      <c r="S216" s="1">
        <v>4</v>
      </c>
      <c r="T216" s="1" t="s">
        <v>246</v>
      </c>
      <c r="U216" s="1" t="str">
        <f>VLOOKUP(T216,personnel!A$1:B$4,2,FALSE)</f>
        <v>Macarling, Federico Jr Romano</v>
      </c>
      <c r="V216" s="3">
        <v>44142.468148148146</v>
      </c>
    </row>
    <row r="217" spans="1:22" x14ac:dyDescent="0.25">
      <c r="A217" s="1" t="s">
        <v>18</v>
      </c>
      <c r="B217" s="1" t="s">
        <v>32</v>
      </c>
      <c r="C217" s="1" t="s">
        <v>20</v>
      </c>
      <c r="D217" s="1" t="s">
        <v>668</v>
      </c>
      <c r="E217" s="2">
        <v>44142</v>
      </c>
      <c r="F217" s="1" t="s">
        <v>22</v>
      </c>
      <c r="G217" s="1" t="s">
        <v>669</v>
      </c>
      <c r="H217" s="1" t="s">
        <v>244</v>
      </c>
      <c r="I217" s="1" t="s">
        <v>36</v>
      </c>
      <c r="J217" s="1" t="s">
        <v>36</v>
      </c>
      <c r="K217" s="1">
        <v>0</v>
      </c>
      <c r="L217" s="1"/>
      <c r="M217" s="1" t="s">
        <v>244</v>
      </c>
      <c r="N217" s="1"/>
      <c r="O217" s="1" t="s">
        <v>245</v>
      </c>
      <c r="P217" s="2">
        <v>44144</v>
      </c>
      <c r="Q217" s="8" t="str">
        <f t="shared" si="3"/>
        <v>SUPPORTED WITHIN 2DAYS</v>
      </c>
      <c r="R217" s="8" t="s">
        <v>1272</v>
      </c>
      <c r="S217" s="1">
        <v>4</v>
      </c>
      <c r="T217" s="1" t="s">
        <v>246</v>
      </c>
      <c r="U217" s="1" t="str">
        <f>VLOOKUP(T217,personnel!A$1:B$4,2,FALSE)</f>
        <v>Macarling, Federico Jr Romano</v>
      </c>
      <c r="V217" s="3">
        <v>44142.468391203707</v>
      </c>
    </row>
    <row r="218" spans="1:22" x14ac:dyDescent="0.25">
      <c r="A218" s="1" t="s">
        <v>18</v>
      </c>
      <c r="B218" s="1" t="s">
        <v>19</v>
      </c>
      <c r="C218" s="1" t="s">
        <v>20</v>
      </c>
      <c r="D218" s="1" t="s">
        <v>670</v>
      </c>
      <c r="E218" s="2">
        <v>44142</v>
      </c>
      <c r="F218" s="1" t="s">
        <v>22</v>
      </c>
      <c r="G218" s="1" t="s">
        <v>671</v>
      </c>
      <c r="H218" s="1" t="s">
        <v>244</v>
      </c>
      <c r="I218" s="1" t="s">
        <v>25</v>
      </c>
      <c r="J218" s="1" t="s">
        <v>26</v>
      </c>
      <c r="K218" s="1">
        <v>0</v>
      </c>
      <c r="L218" s="1"/>
      <c r="M218" s="1" t="s">
        <v>244</v>
      </c>
      <c r="N218" s="1"/>
      <c r="O218" s="1" t="s">
        <v>245</v>
      </c>
      <c r="P218" s="2">
        <v>44144</v>
      </c>
      <c r="Q218" s="8" t="str">
        <f t="shared" si="3"/>
        <v>SUPPORTED WITHIN 2DAYS</v>
      </c>
      <c r="R218" s="8" t="s">
        <v>1272</v>
      </c>
      <c r="S218" s="1">
        <v>0</v>
      </c>
      <c r="T218" s="1" t="s">
        <v>246</v>
      </c>
      <c r="U218" s="1" t="str">
        <f>VLOOKUP(T218,personnel!A$1:B$4,2,FALSE)</f>
        <v>Macarling, Federico Jr Romano</v>
      </c>
      <c r="V218" s="3">
        <v>44142.468668981484</v>
      </c>
    </row>
    <row r="219" spans="1:22" x14ac:dyDescent="0.25">
      <c r="A219" s="1" t="s">
        <v>78</v>
      </c>
      <c r="B219" s="1" t="s">
        <v>50</v>
      </c>
      <c r="C219" s="1" t="s">
        <v>20</v>
      </c>
      <c r="D219" s="1" t="s">
        <v>672</v>
      </c>
      <c r="E219" s="2">
        <v>44142</v>
      </c>
      <c r="F219" s="1" t="s">
        <v>80</v>
      </c>
      <c r="G219" s="1" t="s">
        <v>673</v>
      </c>
      <c r="H219" s="1" t="s">
        <v>244</v>
      </c>
      <c r="I219" s="1" t="s">
        <v>25</v>
      </c>
      <c r="J219" s="1" t="s">
        <v>26</v>
      </c>
      <c r="K219" s="1">
        <v>0</v>
      </c>
      <c r="L219" s="1"/>
      <c r="M219" s="1" t="s">
        <v>244</v>
      </c>
      <c r="N219" s="1" t="s">
        <v>674</v>
      </c>
      <c r="O219" s="1" t="s">
        <v>245</v>
      </c>
      <c r="P219" s="2">
        <v>44144</v>
      </c>
      <c r="Q219" s="8" t="str">
        <f t="shared" si="3"/>
        <v>SUPPORTED WITHIN 2DAYS</v>
      </c>
      <c r="R219" s="8" t="s">
        <v>1272</v>
      </c>
      <c r="S219" s="1">
        <v>3</v>
      </c>
      <c r="T219" s="1" t="s">
        <v>246</v>
      </c>
      <c r="U219" s="1" t="str">
        <f>VLOOKUP(T219,personnel!A$1:B$4,2,FALSE)</f>
        <v>Macarling, Federico Jr Romano</v>
      </c>
      <c r="V219" s="3">
        <v>44142.469236111108</v>
      </c>
    </row>
    <row r="220" spans="1:22" x14ac:dyDescent="0.25">
      <c r="A220" s="1" t="s">
        <v>18</v>
      </c>
      <c r="B220" s="1" t="s">
        <v>19</v>
      </c>
      <c r="C220" s="1" t="s">
        <v>166</v>
      </c>
      <c r="D220" s="1" t="s">
        <v>675</v>
      </c>
      <c r="E220" s="2">
        <v>44142</v>
      </c>
      <c r="F220" s="1" t="s">
        <v>22</v>
      </c>
      <c r="G220" s="1" t="s">
        <v>676</v>
      </c>
      <c r="H220" s="1"/>
      <c r="I220" s="1" t="s">
        <v>36</v>
      </c>
      <c r="J220" s="1" t="s">
        <v>171</v>
      </c>
      <c r="K220" s="1">
        <v>0</v>
      </c>
      <c r="L220" s="1"/>
      <c r="M220" s="1"/>
      <c r="N220" s="1" t="s">
        <v>674</v>
      </c>
      <c r="O220" s="1"/>
      <c r="P220" s="2">
        <v>44142</v>
      </c>
      <c r="Q220" s="8" t="str">
        <f t="shared" si="3"/>
        <v>SUPPORTED WITHIN 2DAYS</v>
      </c>
      <c r="R220" s="8" t="s">
        <v>1272</v>
      </c>
      <c r="S220" s="1">
        <v>0</v>
      </c>
      <c r="T220" s="1" t="s">
        <v>246</v>
      </c>
      <c r="U220" s="1" t="str">
        <f>VLOOKUP(T220,personnel!A$1:B$4,2,FALSE)</f>
        <v>Macarling, Federico Jr Romano</v>
      </c>
      <c r="V220" s="3">
        <v>44142.469675925924</v>
      </c>
    </row>
    <row r="221" spans="1:22" x14ac:dyDescent="0.25">
      <c r="A221" s="1" t="s">
        <v>18</v>
      </c>
      <c r="B221" s="1" t="s">
        <v>19</v>
      </c>
      <c r="C221" s="1" t="s">
        <v>20</v>
      </c>
      <c r="D221" s="1" t="s">
        <v>677</v>
      </c>
      <c r="E221" s="2">
        <v>44142</v>
      </c>
      <c r="F221" s="1" t="s">
        <v>22</v>
      </c>
      <c r="G221" s="1" t="s">
        <v>678</v>
      </c>
      <c r="H221" s="1" t="s">
        <v>244</v>
      </c>
      <c r="I221" s="1" t="s">
        <v>25</v>
      </c>
      <c r="J221" s="1" t="s">
        <v>26</v>
      </c>
      <c r="K221" s="1">
        <v>0</v>
      </c>
      <c r="L221" s="1"/>
      <c r="M221" s="1" t="s">
        <v>244</v>
      </c>
      <c r="N221" s="1" t="s">
        <v>674</v>
      </c>
      <c r="O221" s="1" t="s">
        <v>245</v>
      </c>
      <c r="P221" s="2">
        <v>44144</v>
      </c>
      <c r="Q221" s="8" t="str">
        <f t="shared" si="3"/>
        <v>SUPPORTED WITHIN 2DAYS</v>
      </c>
      <c r="R221" s="8" t="s">
        <v>1272</v>
      </c>
      <c r="S221" s="1">
        <v>0</v>
      </c>
      <c r="T221" s="1" t="s">
        <v>246</v>
      </c>
      <c r="U221" s="1" t="str">
        <f>VLOOKUP(T221,personnel!A$1:B$4,2,FALSE)</f>
        <v>Macarling, Federico Jr Romano</v>
      </c>
      <c r="V221" s="3">
        <v>44142.470266203702</v>
      </c>
    </row>
    <row r="222" spans="1:22" x14ac:dyDescent="0.25">
      <c r="A222" s="1" t="s">
        <v>37</v>
      </c>
      <c r="B222" s="1" t="s">
        <v>19</v>
      </c>
      <c r="C222" s="1" t="s">
        <v>166</v>
      </c>
      <c r="D222" s="1" t="s">
        <v>679</v>
      </c>
      <c r="E222" s="2">
        <v>44142</v>
      </c>
      <c r="F222" s="1" t="s">
        <v>39</v>
      </c>
      <c r="G222" s="1" t="s">
        <v>680</v>
      </c>
      <c r="H222" s="1"/>
      <c r="I222" s="1" t="s">
        <v>95</v>
      </c>
      <c r="J222" s="1" t="s">
        <v>26</v>
      </c>
      <c r="K222" s="1">
        <v>0</v>
      </c>
      <c r="L222" s="1"/>
      <c r="M222" s="1"/>
      <c r="N222" s="1" t="s">
        <v>681</v>
      </c>
      <c r="O222" s="1"/>
      <c r="P222" s="2">
        <v>44142</v>
      </c>
      <c r="Q222" s="8" t="str">
        <f t="shared" si="3"/>
        <v>SUPPORTED WITHIN 2DAYS</v>
      </c>
      <c r="R222" s="8" t="s">
        <v>1272</v>
      </c>
      <c r="S222" s="1">
        <v>0</v>
      </c>
      <c r="T222" s="1" t="s">
        <v>246</v>
      </c>
      <c r="U222" s="1" t="str">
        <f>VLOOKUP(T222,personnel!A$1:B$4,2,FALSE)</f>
        <v>Macarling, Federico Jr Romano</v>
      </c>
      <c r="V222" s="3">
        <v>44142.470960648148</v>
      </c>
    </row>
    <row r="223" spans="1:22" x14ac:dyDescent="0.25">
      <c r="A223" s="1" t="s">
        <v>78</v>
      </c>
      <c r="B223" s="1" t="s">
        <v>19</v>
      </c>
      <c r="C223" s="1" t="s">
        <v>166</v>
      </c>
      <c r="D223" s="1" t="s">
        <v>682</v>
      </c>
      <c r="E223" s="2">
        <v>44142</v>
      </c>
      <c r="F223" s="1" t="s">
        <v>80</v>
      </c>
      <c r="G223" s="1" t="s">
        <v>683</v>
      </c>
      <c r="H223" s="1"/>
      <c r="I223" s="1" t="s">
        <v>95</v>
      </c>
      <c r="J223" s="1" t="s">
        <v>26</v>
      </c>
      <c r="K223" s="1">
        <v>0</v>
      </c>
      <c r="L223" s="1"/>
      <c r="M223" s="1"/>
      <c r="N223" s="1" t="s">
        <v>681</v>
      </c>
      <c r="O223" s="1"/>
      <c r="P223" s="2">
        <v>44142</v>
      </c>
      <c r="Q223" s="8" t="str">
        <f t="shared" si="3"/>
        <v>SUPPORTED WITHIN 2DAYS</v>
      </c>
      <c r="R223" s="8" t="s">
        <v>1272</v>
      </c>
      <c r="S223" s="1">
        <v>0</v>
      </c>
      <c r="T223" s="1" t="s">
        <v>246</v>
      </c>
      <c r="U223" s="1" t="str">
        <f>VLOOKUP(T223,personnel!A$1:B$4,2,FALSE)</f>
        <v>Macarling, Federico Jr Romano</v>
      </c>
      <c r="V223" s="3">
        <v>44142.471203703702</v>
      </c>
    </row>
    <row r="224" spans="1:22" x14ac:dyDescent="0.25">
      <c r="A224" s="1" t="s">
        <v>37</v>
      </c>
      <c r="B224" s="1" t="s">
        <v>19</v>
      </c>
      <c r="C224" s="1" t="s">
        <v>166</v>
      </c>
      <c r="D224" s="1" t="s">
        <v>684</v>
      </c>
      <c r="E224" s="2">
        <v>44142</v>
      </c>
      <c r="F224" s="1" t="s">
        <v>39</v>
      </c>
      <c r="G224" s="1" t="s">
        <v>685</v>
      </c>
      <c r="H224" s="1"/>
      <c r="I224" s="1" t="s">
        <v>95</v>
      </c>
      <c r="J224" s="1" t="s">
        <v>26</v>
      </c>
      <c r="K224" s="1">
        <v>0</v>
      </c>
      <c r="L224" s="1"/>
      <c r="M224" s="1"/>
      <c r="N224" s="1" t="s">
        <v>681</v>
      </c>
      <c r="O224" s="1"/>
      <c r="P224" s="2">
        <v>44142</v>
      </c>
      <c r="Q224" s="8" t="str">
        <f t="shared" si="3"/>
        <v>SUPPORTED WITHIN 2DAYS</v>
      </c>
      <c r="R224" s="8" t="s">
        <v>1272</v>
      </c>
      <c r="S224" s="1">
        <v>0</v>
      </c>
      <c r="T224" s="1" t="s">
        <v>246</v>
      </c>
      <c r="U224" s="1" t="str">
        <f>VLOOKUP(T224,personnel!A$1:B$4,2,FALSE)</f>
        <v>Macarling, Federico Jr Romano</v>
      </c>
      <c r="V224" s="3">
        <v>44142.471435185187</v>
      </c>
    </row>
    <row r="225" spans="1:22" x14ac:dyDescent="0.25">
      <c r="A225" s="1" t="s">
        <v>37</v>
      </c>
      <c r="B225" s="1" t="s">
        <v>19</v>
      </c>
      <c r="C225" s="1" t="s">
        <v>166</v>
      </c>
      <c r="D225" s="1" t="s">
        <v>686</v>
      </c>
      <c r="E225" s="2">
        <v>44142</v>
      </c>
      <c r="F225" s="1" t="s">
        <v>39</v>
      </c>
      <c r="G225" s="1" t="s">
        <v>687</v>
      </c>
      <c r="H225" s="1"/>
      <c r="I225" s="1" t="s">
        <v>95</v>
      </c>
      <c r="J225" s="1" t="s">
        <v>26</v>
      </c>
      <c r="K225" s="1">
        <v>0</v>
      </c>
      <c r="L225" s="1"/>
      <c r="M225" s="1"/>
      <c r="N225" s="1" t="s">
        <v>681</v>
      </c>
      <c r="O225" s="1"/>
      <c r="P225" s="2">
        <v>44142</v>
      </c>
      <c r="Q225" s="8" t="str">
        <f t="shared" si="3"/>
        <v>SUPPORTED WITHIN 2DAYS</v>
      </c>
      <c r="R225" s="8" t="s">
        <v>1272</v>
      </c>
      <c r="S225" s="1">
        <v>0</v>
      </c>
      <c r="T225" s="1" t="s">
        <v>246</v>
      </c>
      <c r="U225" s="1" t="str">
        <f>VLOOKUP(T225,personnel!A$1:B$4,2,FALSE)</f>
        <v>Macarling, Federico Jr Romano</v>
      </c>
      <c r="V225" s="3">
        <v>44142.471689814818</v>
      </c>
    </row>
    <row r="226" spans="1:22" x14ac:dyDescent="0.25">
      <c r="A226" s="1" t="s">
        <v>18</v>
      </c>
      <c r="B226" s="1" t="s">
        <v>19</v>
      </c>
      <c r="C226" s="1" t="s">
        <v>166</v>
      </c>
      <c r="D226" s="1" t="s">
        <v>688</v>
      </c>
      <c r="E226" s="2">
        <v>44142</v>
      </c>
      <c r="F226" s="1" t="s">
        <v>22</v>
      </c>
      <c r="G226" s="1" t="s">
        <v>689</v>
      </c>
      <c r="H226" s="1"/>
      <c r="I226" s="1" t="s">
        <v>36</v>
      </c>
      <c r="J226" s="1" t="s">
        <v>287</v>
      </c>
      <c r="K226" s="1">
        <v>0</v>
      </c>
      <c r="L226" s="1"/>
      <c r="M226" s="1"/>
      <c r="N226" s="1" t="s">
        <v>681</v>
      </c>
      <c r="O226" s="1"/>
      <c r="P226" s="2">
        <v>44142</v>
      </c>
      <c r="Q226" s="8" t="str">
        <f t="shared" si="3"/>
        <v>SUPPORTED WITHIN 2DAYS</v>
      </c>
      <c r="R226" s="8" t="s">
        <v>1272</v>
      </c>
      <c r="S226" s="1">
        <v>0</v>
      </c>
      <c r="T226" s="1" t="s">
        <v>246</v>
      </c>
      <c r="U226" s="1" t="str">
        <f>VLOOKUP(T226,personnel!A$1:B$4,2,FALSE)</f>
        <v>Macarling, Federico Jr Romano</v>
      </c>
      <c r="V226" s="3">
        <v>44142.472037037034</v>
      </c>
    </row>
    <row r="227" spans="1:22" x14ac:dyDescent="0.25">
      <c r="A227" s="1" t="s">
        <v>18</v>
      </c>
      <c r="B227" s="1" t="s">
        <v>19</v>
      </c>
      <c r="C227" s="1" t="s">
        <v>20</v>
      </c>
      <c r="D227" s="1" t="s">
        <v>690</v>
      </c>
      <c r="E227" s="2">
        <v>44142</v>
      </c>
      <c r="F227" s="1" t="s">
        <v>22</v>
      </c>
      <c r="G227" s="1" t="s">
        <v>691</v>
      </c>
      <c r="H227" s="1" t="s">
        <v>244</v>
      </c>
      <c r="I227" s="1" t="s">
        <v>25</v>
      </c>
      <c r="J227" s="1" t="s">
        <v>26</v>
      </c>
      <c r="K227" s="1">
        <v>0</v>
      </c>
      <c r="L227" s="1"/>
      <c r="M227" s="1" t="s">
        <v>244</v>
      </c>
      <c r="N227" s="1" t="s">
        <v>692</v>
      </c>
      <c r="O227" s="1" t="s">
        <v>245</v>
      </c>
      <c r="P227" s="2">
        <v>44144</v>
      </c>
      <c r="Q227" s="8" t="str">
        <f t="shared" si="3"/>
        <v>SUPPORTED WITHIN 2DAYS</v>
      </c>
      <c r="R227" s="8" t="s">
        <v>1272</v>
      </c>
      <c r="S227" s="1">
        <v>0</v>
      </c>
      <c r="T227" s="1" t="s">
        <v>246</v>
      </c>
      <c r="U227" s="1" t="str">
        <f>VLOOKUP(T227,personnel!A$1:B$4,2,FALSE)</f>
        <v>Macarling, Federico Jr Romano</v>
      </c>
      <c r="V227" s="3">
        <v>44142.472511574073</v>
      </c>
    </row>
    <row r="228" spans="1:22" x14ac:dyDescent="0.25">
      <c r="A228" s="1" t="s">
        <v>161</v>
      </c>
      <c r="B228" s="1" t="s">
        <v>19</v>
      </c>
      <c r="C228" s="1" t="s">
        <v>166</v>
      </c>
      <c r="D228" s="1" t="s">
        <v>693</v>
      </c>
      <c r="E228" s="2">
        <v>44142</v>
      </c>
      <c r="F228" s="1" t="s">
        <v>163</v>
      </c>
      <c r="G228" s="1" t="s">
        <v>694</v>
      </c>
      <c r="H228" s="1" t="s">
        <v>695</v>
      </c>
      <c r="I228" s="1" t="s">
        <v>25</v>
      </c>
      <c r="J228" s="1" t="s">
        <v>26</v>
      </c>
      <c r="K228" s="1">
        <v>1</v>
      </c>
      <c r="L228" s="1"/>
      <c r="M228" s="1" t="s">
        <v>696</v>
      </c>
      <c r="N228" s="1"/>
      <c r="O228" s="1" t="s">
        <v>543</v>
      </c>
      <c r="P228" s="2">
        <v>44144</v>
      </c>
      <c r="Q228" s="8" t="str">
        <f t="shared" si="3"/>
        <v>SUPPORTED WITHIN 2DAYS</v>
      </c>
      <c r="R228" s="8" t="s">
        <v>1272</v>
      </c>
      <c r="S228" s="1">
        <v>0</v>
      </c>
      <c r="T228" s="1" t="s">
        <v>544</v>
      </c>
      <c r="U228" s="1" t="str">
        <f>VLOOKUP(T228,personnel!A$1:B$4,2,FALSE)</f>
        <v>Velasquez, Jayson Alon</v>
      </c>
      <c r="V228" s="3">
        <v>44142.476099537038</v>
      </c>
    </row>
    <row r="229" spans="1:22" x14ac:dyDescent="0.25">
      <c r="A229" s="1" t="s">
        <v>18</v>
      </c>
      <c r="B229" s="1" t="s">
        <v>19</v>
      </c>
      <c r="C229" s="1" t="s">
        <v>20</v>
      </c>
      <c r="D229" s="1" t="s">
        <v>697</v>
      </c>
      <c r="E229" s="2">
        <v>44142</v>
      </c>
      <c r="F229" s="1" t="s">
        <v>22</v>
      </c>
      <c r="G229" s="1" t="s">
        <v>698</v>
      </c>
      <c r="H229" s="1" t="s">
        <v>699</v>
      </c>
      <c r="I229" s="1" t="s">
        <v>84</v>
      </c>
      <c r="J229" s="1" t="s">
        <v>652</v>
      </c>
      <c r="K229" s="1">
        <v>0</v>
      </c>
      <c r="L229" s="1"/>
      <c r="M229" s="1" t="s">
        <v>542</v>
      </c>
      <c r="N229" s="1"/>
      <c r="O229" s="1" t="s">
        <v>543</v>
      </c>
      <c r="P229" s="2">
        <v>44142</v>
      </c>
      <c r="Q229" s="8" t="str">
        <f t="shared" si="3"/>
        <v>SUPPORTED WITHIN 2DAYS</v>
      </c>
      <c r="R229" s="8" t="s">
        <v>1272</v>
      </c>
      <c r="S229" s="1">
        <v>0</v>
      </c>
      <c r="T229" s="1" t="s">
        <v>544</v>
      </c>
      <c r="U229" s="1" t="str">
        <f>VLOOKUP(T229,personnel!A$1:B$4,2,FALSE)</f>
        <v>Velasquez, Jayson Alon</v>
      </c>
      <c r="V229" s="3">
        <v>44142.486840277779</v>
      </c>
    </row>
    <row r="230" spans="1:22" x14ac:dyDescent="0.25">
      <c r="A230" s="1" t="s">
        <v>18</v>
      </c>
      <c r="B230" s="1" t="s">
        <v>19</v>
      </c>
      <c r="C230" s="1" t="s">
        <v>20</v>
      </c>
      <c r="D230" s="1" t="s">
        <v>700</v>
      </c>
      <c r="E230" s="2">
        <v>44142</v>
      </c>
      <c r="F230" s="1" t="s">
        <v>22</v>
      </c>
      <c r="G230" s="1" t="s">
        <v>701</v>
      </c>
      <c r="H230" s="1" t="s">
        <v>702</v>
      </c>
      <c r="I230" s="1" t="s">
        <v>36</v>
      </c>
      <c r="J230" s="1" t="s">
        <v>563</v>
      </c>
      <c r="K230" s="1">
        <v>0</v>
      </c>
      <c r="L230" s="1"/>
      <c r="M230" s="1" t="s">
        <v>542</v>
      </c>
      <c r="N230" s="1"/>
      <c r="O230" s="1" t="s">
        <v>543</v>
      </c>
      <c r="P230" s="2">
        <v>44142</v>
      </c>
      <c r="Q230" s="8" t="str">
        <f t="shared" si="3"/>
        <v>SUPPORTED WITHIN 2DAYS</v>
      </c>
      <c r="R230" s="8" t="s">
        <v>1272</v>
      </c>
      <c r="S230" s="1">
        <v>0</v>
      </c>
      <c r="T230" s="1" t="s">
        <v>544</v>
      </c>
      <c r="U230" s="1" t="str">
        <f>VLOOKUP(T230,personnel!A$1:B$4,2,FALSE)</f>
        <v>Velasquez, Jayson Alon</v>
      </c>
      <c r="V230" s="3">
        <v>44142.551562499997</v>
      </c>
    </row>
    <row r="231" spans="1:22" x14ac:dyDescent="0.25">
      <c r="A231" s="1" t="s">
        <v>18</v>
      </c>
      <c r="B231" s="1" t="s">
        <v>19</v>
      </c>
      <c r="C231" s="1" t="s">
        <v>20</v>
      </c>
      <c r="D231" s="1" t="s">
        <v>703</v>
      </c>
      <c r="E231" s="2">
        <v>44142</v>
      </c>
      <c r="F231" s="1" t="s">
        <v>22</v>
      </c>
      <c r="G231" s="1" t="s">
        <v>704</v>
      </c>
      <c r="H231" s="1" t="s">
        <v>705</v>
      </c>
      <c r="I231" s="1" t="s">
        <v>36</v>
      </c>
      <c r="J231" s="1" t="s">
        <v>552</v>
      </c>
      <c r="K231" s="1">
        <v>0</v>
      </c>
      <c r="L231" s="1"/>
      <c r="M231" s="1" t="s">
        <v>542</v>
      </c>
      <c r="N231" s="1"/>
      <c r="O231" s="1" t="s">
        <v>543</v>
      </c>
      <c r="P231" s="2">
        <v>44142</v>
      </c>
      <c r="Q231" s="8" t="str">
        <f t="shared" si="3"/>
        <v>SUPPORTED WITHIN 2DAYS</v>
      </c>
      <c r="R231" s="8" t="s">
        <v>1272</v>
      </c>
      <c r="S231" s="1">
        <v>0</v>
      </c>
      <c r="T231" s="1" t="s">
        <v>544</v>
      </c>
      <c r="U231" s="1" t="str">
        <f>VLOOKUP(T231,personnel!A$1:B$4,2,FALSE)</f>
        <v>Velasquez, Jayson Alon</v>
      </c>
      <c r="V231" s="3">
        <v>44142.612766203703</v>
      </c>
    </row>
    <row r="232" spans="1:22" x14ac:dyDescent="0.25">
      <c r="A232" s="1" t="s">
        <v>18</v>
      </c>
      <c r="B232" s="1" t="s">
        <v>19</v>
      </c>
      <c r="C232" s="1" t="s">
        <v>20</v>
      </c>
      <c r="D232" s="1" t="s">
        <v>706</v>
      </c>
      <c r="E232" s="2">
        <v>44142</v>
      </c>
      <c r="F232" s="1" t="s">
        <v>22</v>
      </c>
      <c r="G232" s="1" t="s">
        <v>707</v>
      </c>
      <c r="H232" s="1" t="s">
        <v>708</v>
      </c>
      <c r="I232" s="1" t="s">
        <v>36</v>
      </c>
      <c r="J232" s="1" t="s">
        <v>26</v>
      </c>
      <c r="K232" s="1">
        <v>0</v>
      </c>
      <c r="L232" s="1"/>
      <c r="M232" s="1" t="s">
        <v>542</v>
      </c>
      <c r="N232" s="1"/>
      <c r="O232" s="1" t="s">
        <v>543</v>
      </c>
      <c r="P232" s="2">
        <v>44142</v>
      </c>
      <c r="Q232" s="8" t="str">
        <f t="shared" si="3"/>
        <v>SUPPORTED WITHIN 2DAYS</v>
      </c>
      <c r="R232" s="8" t="s">
        <v>1272</v>
      </c>
      <c r="S232" s="1">
        <v>0</v>
      </c>
      <c r="T232" s="1" t="s">
        <v>544</v>
      </c>
      <c r="U232" s="1" t="str">
        <f>VLOOKUP(T232,personnel!A$1:B$4,2,FALSE)</f>
        <v>Velasquez, Jayson Alon</v>
      </c>
      <c r="V232" s="3">
        <v>44142.615532407406</v>
      </c>
    </row>
    <row r="233" spans="1:22" x14ac:dyDescent="0.25">
      <c r="A233" s="1" t="s">
        <v>198</v>
      </c>
      <c r="B233" s="1" t="s">
        <v>19</v>
      </c>
      <c r="C233" s="1" t="s">
        <v>20</v>
      </c>
      <c r="D233" s="1" t="s">
        <v>709</v>
      </c>
      <c r="E233" s="2">
        <v>44142</v>
      </c>
      <c r="F233" s="1" t="s">
        <v>200</v>
      </c>
      <c r="G233" s="1" t="s">
        <v>710</v>
      </c>
      <c r="H233" s="1" t="s">
        <v>711</v>
      </c>
      <c r="I233" s="1" t="s">
        <v>25</v>
      </c>
      <c r="J233" s="1" t="s">
        <v>42</v>
      </c>
      <c r="K233" s="1">
        <v>0</v>
      </c>
      <c r="L233" s="1"/>
      <c r="M233" s="1" t="s">
        <v>244</v>
      </c>
      <c r="N233" s="1" t="s">
        <v>621</v>
      </c>
      <c r="O233" s="1" t="s">
        <v>245</v>
      </c>
      <c r="P233" s="2">
        <v>44144</v>
      </c>
      <c r="Q233" s="8" t="str">
        <f t="shared" si="3"/>
        <v>SUPPORTED WITHIN 2DAYS</v>
      </c>
      <c r="R233" s="8" t="s">
        <v>1272</v>
      </c>
      <c r="S233" s="1">
        <v>0</v>
      </c>
      <c r="T233" s="1" t="s">
        <v>246</v>
      </c>
      <c r="U233" s="1" t="str">
        <f>VLOOKUP(T233,personnel!A$1:B$4,2,FALSE)</f>
        <v>Macarling, Federico Jr Romano</v>
      </c>
      <c r="V233" s="3">
        <v>44144.399143518516</v>
      </c>
    </row>
    <row r="234" spans="1:22" x14ac:dyDescent="0.25">
      <c r="A234" s="1" t="s">
        <v>114</v>
      </c>
      <c r="B234" s="1" t="s">
        <v>19</v>
      </c>
      <c r="C234" s="1" t="s">
        <v>166</v>
      </c>
      <c r="D234" s="1" t="s">
        <v>570</v>
      </c>
      <c r="E234" s="2">
        <v>44144</v>
      </c>
      <c r="F234" s="1" t="s">
        <v>116</v>
      </c>
      <c r="G234" s="1" t="s">
        <v>712</v>
      </c>
      <c r="H234" s="1" t="s">
        <v>713</v>
      </c>
      <c r="I234" s="1" t="s">
        <v>25</v>
      </c>
      <c r="J234" s="1" t="s">
        <v>26</v>
      </c>
      <c r="K234" s="1">
        <v>0</v>
      </c>
      <c r="L234" s="1"/>
      <c r="M234" s="1" t="s">
        <v>714</v>
      </c>
      <c r="N234" s="1"/>
      <c r="O234" s="1" t="s">
        <v>543</v>
      </c>
      <c r="P234" s="2">
        <v>44146</v>
      </c>
      <c r="Q234" s="8" t="str">
        <f t="shared" si="3"/>
        <v>SUPPORTED WITHIN 2DAYS</v>
      </c>
      <c r="R234" s="8" t="s">
        <v>1272</v>
      </c>
      <c r="S234" s="1">
        <v>0</v>
      </c>
      <c r="T234" s="1" t="s">
        <v>544</v>
      </c>
      <c r="U234" s="1" t="str">
        <f>VLOOKUP(T234,personnel!A$1:B$4,2,FALSE)</f>
        <v>Velasquez, Jayson Alon</v>
      </c>
      <c r="V234" s="3">
        <v>44144.449826388889</v>
      </c>
    </row>
    <row r="235" spans="1:22" x14ac:dyDescent="0.25">
      <c r="A235" s="1" t="s">
        <v>78</v>
      </c>
      <c r="B235" s="1" t="s">
        <v>19</v>
      </c>
      <c r="C235" s="1" t="s">
        <v>166</v>
      </c>
      <c r="D235" s="1" t="s">
        <v>715</v>
      </c>
      <c r="E235" s="2">
        <v>44144</v>
      </c>
      <c r="F235" s="1" t="s">
        <v>80</v>
      </c>
      <c r="G235" s="1" t="s">
        <v>716</v>
      </c>
      <c r="H235" s="1"/>
      <c r="I235" s="1" t="s">
        <v>36</v>
      </c>
      <c r="J235" s="1" t="s">
        <v>36</v>
      </c>
      <c r="K235" s="1">
        <v>0</v>
      </c>
      <c r="L235" s="1"/>
      <c r="M235" s="1"/>
      <c r="N235" s="1" t="s">
        <v>621</v>
      </c>
      <c r="O235" s="1"/>
      <c r="P235" s="2">
        <v>44144</v>
      </c>
      <c r="Q235" s="8" t="str">
        <f t="shared" si="3"/>
        <v>SUPPORTED WITHIN 2DAYS</v>
      </c>
      <c r="R235" s="8" t="s">
        <v>1272</v>
      </c>
      <c r="S235" s="1">
        <v>0</v>
      </c>
      <c r="T235" s="1" t="s">
        <v>246</v>
      </c>
      <c r="U235" s="1" t="str">
        <f>VLOOKUP(T235,personnel!A$1:B$4,2,FALSE)</f>
        <v>Macarling, Federico Jr Romano</v>
      </c>
      <c r="V235" s="3">
        <v>44144.473854166667</v>
      </c>
    </row>
    <row r="236" spans="1:22" x14ac:dyDescent="0.25">
      <c r="A236" s="1" t="s">
        <v>717</v>
      </c>
      <c r="B236" s="1" t="s">
        <v>19</v>
      </c>
      <c r="C236" s="1" t="s">
        <v>20</v>
      </c>
      <c r="D236" s="1" t="s">
        <v>718</v>
      </c>
      <c r="E236" s="2">
        <v>44144</v>
      </c>
      <c r="F236" s="1" t="s">
        <v>719</v>
      </c>
      <c r="G236" s="1" t="s">
        <v>548</v>
      </c>
      <c r="H236" s="1" t="s">
        <v>541</v>
      </c>
      <c r="I236" s="1" t="s">
        <v>41</v>
      </c>
      <c r="J236" s="1" t="s">
        <v>42</v>
      </c>
      <c r="K236" s="1">
        <v>0</v>
      </c>
      <c r="L236" s="1"/>
      <c r="M236" s="1" t="s">
        <v>542</v>
      </c>
      <c r="N236" s="1"/>
      <c r="O236" s="1" t="s">
        <v>543</v>
      </c>
      <c r="P236" s="2">
        <v>44144</v>
      </c>
      <c r="Q236" s="8" t="str">
        <f t="shared" si="3"/>
        <v>SUPPORTED WITHIN 2DAYS</v>
      </c>
      <c r="R236" s="8" t="s">
        <v>1272</v>
      </c>
      <c r="S236" s="1">
        <v>0</v>
      </c>
      <c r="T236" s="1" t="s">
        <v>544</v>
      </c>
      <c r="U236" s="1" t="str">
        <f>VLOOKUP(T236,personnel!A$1:B$4,2,FALSE)</f>
        <v>Velasquez, Jayson Alon</v>
      </c>
      <c r="V236" s="3">
        <v>44144.477986111109</v>
      </c>
    </row>
    <row r="237" spans="1:22" x14ac:dyDescent="0.25">
      <c r="A237" s="1" t="s">
        <v>18</v>
      </c>
      <c r="B237" s="1" t="s">
        <v>19</v>
      </c>
      <c r="C237" s="1" t="s">
        <v>166</v>
      </c>
      <c r="D237" s="1" t="s">
        <v>720</v>
      </c>
      <c r="E237" s="2">
        <v>44144</v>
      </c>
      <c r="F237" s="1" t="s">
        <v>22</v>
      </c>
      <c r="G237" s="1" t="s">
        <v>721</v>
      </c>
      <c r="H237" s="1"/>
      <c r="I237" s="1" t="s">
        <v>25</v>
      </c>
      <c r="J237" s="1" t="s">
        <v>42</v>
      </c>
      <c r="K237" s="1">
        <v>0</v>
      </c>
      <c r="L237" s="1"/>
      <c r="M237" s="1"/>
      <c r="N237" s="1" t="s">
        <v>621</v>
      </c>
      <c r="O237" s="1"/>
      <c r="P237" s="2">
        <v>44144</v>
      </c>
      <c r="Q237" s="8" t="str">
        <f t="shared" si="3"/>
        <v>SUPPORTED WITHIN 2DAYS</v>
      </c>
      <c r="R237" s="8" t="s">
        <v>1272</v>
      </c>
      <c r="S237" s="1">
        <v>0</v>
      </c>
      <c r="T237" s="1" t="s">
        <v>246</v>
      </c>
      <c r="U237" s="1" t="str">
        <f>VLOOKUP(T237,personnel!A$1:B$4,2,FALSE)</f>
        <v>Macarling, Federico Jr Romano</v>
      </c>
      <c r="V237" s="3">
        <v>44144.491238425922</v>
      </c>
    </row>
    <row r="238" spans="1:22" x14ac:dyDescent="0.25">
      <c r="A238" s="1" t="s">
        <v>722</v>
      </c>
      <c r="B238" s="1" t="s">
        <v>19</v>
      </c>
      <c r="C238" s="1" t="s">
        <v>20</v>
      </c>
      <c r="D238" s="1" t="s">
        <v>723</v>
      </c>
      <c r="E238" s="2">
        <v>44144</v>
      </c>
      <c r="F238" s="1" t="s">
        <v>724</v>
      </c>
      <c r="G238" s="1" t="s">
        <v>725</v>
      </c>
      <c r="H238" s="1" t="s">
        <v>726</v>
      </c>
      <c r="I238" s="1" t="s">
        <v>41</v>
      </c>
      <c r="J238" s="1" t="s">
        <v>563</v>
      </c>
      <c r="K238" s="1">
        <v>0</v>
      </c>
      <c r="L238" s="1"/>
      <c r="M238" s="1" t="s">
        <v>542</v>
      </c>
      <c r="N238" s="1"/>
      <c r="O238" s="1" t="s">
        <v>543</v>
      </c>
      <c r="P238" s="2">
        <v>44144</v>
      </c>
      <c r="Q238" s="8" t="str">
        <f t="shared" si="3"/>
        <v>SUPPORTED WITHIN 2DAYS</v>
      </c>
      <c r="R238" s="8" t="s">
        <v>1272</v>
      </c>
      <c r="S238" s="1">
        <v>0</v>
      </c>
      <c r="T238" s="1" t="s">
        <v>544</v>
      </c>
      <c r="U238" s="1" t="str">
        <f>VLOOKUP(T238,personnel!A$1:B$4,2,FALSE)</f>
        <v>Velasquez, Jayson Alon</v>
      </c>
      <c r="V238" s="3">
        <v>44144.555925925924</v>
      </c>
    </row>
    <row r="239" spans="1:22" x14ac:dyDescent="0.25">
      <c r="A239" s="1" t="s">
        <v>37</v>
      </c>
      <c r="B239" s="1" t="s">
        <v>19</v>
      </c>
      <c r="C239" s="1" t="s">
        <v>20</v>
      </c>
      <c r="D239" s="1" t="s">
        <v>727</v>
      </c>
      <c r="E239" s="2">
        <v>44144</v>
      </c>
      <c r="F239" s="1" t="s">
        <v>39</v>
      </c>
      <c r="G239" s="1" t="s">
        <v>728</v>
      </c>
      <c r="H239" s="1" t="s">
        <v>541</v>
      </c>
      <c r="I239" s="1" t="s">
        <v>41</v>
      </c>
      <c r="J239" s="1" t="s">
        <v>42</v>
      </c>
      <c r="K239" s="1">
        <v>0</v>
      </c>
      <c r="L239" s="1"/>
      <c r="M239" s="1" t="s">
        <v>542</v>
      </c>
      <c r="N239" s="1"/>
      <c r="O239" s="1" t="s">
        <v>543</v>
      </c>
      <c r="P239" s="2">
        <v>44144</v>
      </c>
      <c r="Q239" s="8" t="str">
        <f t="shared" si="3"/>
        <v>SUPPORTED WITHIN 2DAYS</v>
      </c>
      <c r="R239" s="8" t="s">
        <v>1272</v>
      </c>
      <c r="S239" s="1">
        <v>0</v>
      </c>
      <c r="T239" s="1" t="s">
        <v>544</v>
      </c>
      <c r="U239" s="1" t="str">
        <f>VLOOKUP(T239,personnel!A$1:B$4,2,FALSE)</f>
        <v>Velasquez, Jayson Alon</v>
      </c>
      <c r="V239" s="3">
        <v>44144.578668981485</v>
      </c>
    </row>
    <row r="240" spans="1:22" x14ac:dyDescent="0.25">
      <c r="A240" s="1" t="s">
        <v>18</v>
      </c>
      <c r="B240" s="1" t="s">
        <v>19</v>
      </c>
      <c r="C240" s="1" t="s">
        <v>20</v>
      </c>
      <c r="D240" s="1" t="s">
        <v>729</v>
      </c>
      <c r="E240" s="2">
        <v>44144</v>
      </c>
      <c r="F240" s="1" t="s">
        <v>22</v>
      </c>
      <c r="G240" s="1" t="s">
        <v>730</v>
      </c>
      <c r="H240" s="1" t="s">
        <v>731</v>
      </c>
      <c r="I240" s="1" t="s">
        <v>41</v>
      </c>
      <c r="J240" s="1" t="s">
        <v>42</v>
      </c>
      <c r="K240" s="1">
        <v>0</v>
      </c>
      <c r="L240" s="1"/>
      <c r="M240" s="1" t="s">
        <v>542</v>
      </c>
      <c r="N240" s="1"/>
      <c r="O240" s="1" t="s">
        <v>543</v>
      </c>
      <c r="P240" s="2">
        <v>44144</v>
      </c>
      <c r="Q240" s="8" t="str">
        <f t="shared" si="3"/>
        <v>SUPPORTED WITHIN 2DAYS</v>
      </c>
      <c r="R240" s="8" t="s">
        <v>1272</v>
      </c>
      <c r="S240" s="1">
        <v>0</v>
      </c>
      <c r="T240" s="1" t="s">
        <v>544</v>
      </c>
      <c r="U240" s="1" t="str">
        <f>VLOOKUP(T240,personnel!A$1:B$4,2,FALSE)</f>
        <v>Velasquez, Jayson Alon</v>
      </c>
      <c r="V240" s="3">
        <v>44144.590601851851</v>
      </c>
    </row>
    <row r="241" spans="1:22" x14ac:dyDescent="0.25">
      <c r="A241" s="1" t="s">
        <v>45</v>
      </c>
      <c r="B241" s="1" t="s">
        <v>19</v>
      </c>
      <c r="C241" s="1" t="s">
        <v>20</v>
      </c>
      <c r="D241" s="1" t="s">
        <v>732</v>
      </c>
      <c r="E241" s="2">
        <v>44144</v>
      </c>
      <c r="F241" s="1" t="s">
        <v>47</v>
      </c>
      <c r="G241" s="1" t="s">
        <v>733</v>
      </c>
      <c r="H241" s="1" t="s">
        <v>244</v>
      </c>
      <c r="I241" s="1"/>
      <c r="J241" s="1"/>
      <c r="K241" s="1">
        <v>0</v>
      </c>
      <c r="L241" s="1"/>
      <c r="M241" s="1" t="s">
        <v>244</v>
      </c>
      <c r="N241" s="1" t="s">
        <v>621</v>
      </c>
      <c r="O241" s="1" t="s">
        <v>245</v>
      </c>
      <c r="P241" s="2">
        <v>44146</v>
      </c>
      <c r="Q241" s="8" t="str">
        <f t="shared" si="3"/>
        <v>SUPPORTED WITHIN 2DAYS</v>
      </c>
      <c r="R241" s="8" t="s">
        <v>1272</v>
      </c>
      <c r="S241" s="1">
        <v>0</v>
      </c>
      <c r="T241" s="1" t="s">
        <v>246</v>
      </c>
      <c r="U241" s="1" t="str">
        <f>VLOOKUP(T241,personnel!A$1:B$4,2,FALSE)</f>
        <v>Macarling, Federico Jr Romano</v>
      </c>
      <c r="V241" s="3">
        <v>44144.647268518522</v>
      </c>
    </row>
    <row r="242" spans="1:22" x14ac:dyDescent="0.25">
      <c r="A242" s="1" t="s">
        <v>734</v>
      </c>
      <c r="B242" s="1" t="s">
        <v>19</v>
      </c>
      <c r="C242" s="1" t="s">
        <v>20</v>
      </c>
      <c r="D242" s="1" t="s">
        <v>735</v>
      </c>
      <c r="E242" s="2">
        <v>44144</v>
      </c>
      <c r="F242" s="1" t="s">
        <v>736</v>
      </c>
      <c r="G242" s="1" t="s">
        <v>737</v>
      </c>
      <c r="H242" s="1" t="s">
        <v>738</v>
      </c>
      <c r="I242" s="1" t="s">
        <v>41</v>
      </c>
      <c r="J242" s="1" t="s">
        <v>272</v>
      </c>
      <c r="K242" s="1">
        <v>0</v>
      </c>
      <c r="L242" s="1"/>
      <c r="M242" s="1" t="s">
        <v>542</v>
      </c>
      <c r="N242" s="1"/>
      <c r="O242" s="1" t="s">
        <v>543</v>
      </c>
      <c r="P242" s="2">
        <v>44144</v>
      </c>
      <c r="Q242" s="8" t="str">
        <f t="shared" si="3"/>
        <v>SUPPORTED WITHIN 2DAYS</v>
      </c>
      <c r="R242" s="8" t="s">
        <v>1272</v>
      </c>
      <c r="S242" s="1">
        <v>0</v>
      </c>
      <c r="T242" s="1" t="s">
        <v>544</v>
      </c>
      <c r="U242" s="1" t="str">
        <f>VLOOKUP(T242,personnel!A$1:B$4,2,FALSE)</f>
        <v>Velasquez, Jayson Alon</v>
      </c>
      <c r="V242" s="3">
        <v>44144.675868055558</v>
      </c>
    </row>
    <row r="243" spans="1:22" x14ac:dyDescent="0.25">
      <c r="A243" s="1" t="s">
        <v>636</v>
      </c>
      <c r="B243" s="1" t="s">
        <v>19</v>
      </c>
      <c r="C243" s="1" t="s">
        <v>20</v>
      </c>
      <c r="D243" s="1" t="s">
        <v>739</v>
      </c>
      <c r="E243" s="2">
        <v>44145</v>
      </c>
      <c r="F243" s="1" t="s">
        <v>638</v>
      </c>
      <c r="G243" s="1" t="s">
        <v>740</v>
      </c>
      <c r="H243" s="1" t="s">
        <v>244</v>
      </c>
      <c r="I243" s="1" t="s">
        <v>41</v>
      </c>
      <c r="J243" s="1" t="s">
        <v>563</v>
      </c>
      <c r="K243" s="1">
        <v>0</v>
      </c>
      <c r="L243" s="1"/>
      <c r="M243" s="1" t="s">
        <v>244</v>
      </c>
      <c r="N243" s="1"/>
      <c r="O243" s="1" t="s">
        <v>245</v>
      </c>
      <c r="P243" s="2">
        <v>44165</v>
      </c>
      <c r="Q243" s="8" t="str">
        <f t="shared" si="3"/>
        <v>NOT SUPPORTED WITHIN 2DAYS</v>
      </c>
      <c r="R243" s="8" t="s">
        <v>1273</v>
      </c>
      <c r="S243" s="1">
        <v>0</v>
      </c>
      <c r="T243" s="1" t="s">
        <v>246</v>
      </c>
      <c r="U243" s="1" t="str">
        <f>VLOOKUP(T243,personnel!A$1:B$4,2,FALSE)</f>
        <v>Macarling, Federico Jr Romano</v>
      </c>
      <c r="V243" s="3">
        <v>44145.422361111108</v>
      </c>
    </row>
    <row r="244" spans="1:22" x14ac:dyDescent="0.25">
      <c r="A244" s="1" t="s">
        <v>78</v>
      </c>
      <c r="B244" s="1" t="s">
        <v>19</v>
      </c>
      <c r="C244" s="1" t="s">
        <v>20</v>
      </c>
      <c r="D244" s="1" t="s">
        <v>741</v>
      </c>
      <c r="E244" s="2">
        <v>44145</v>
      </c>
      <c r="F244" s="1" t="s">
        <v>80</v>
      </c>
      <c r="G244" s="1" t="s">
        <v>742</v>
      </c>
      <c r="H244" s="1" t="s">
        <v>244</v>
      </c>
      <c r="I244" s="1" t="s">
        <v>41</v>
      </c>
      <c r="J244" s="1" t="s">
        <v>563</v>
      </c>
      <c r="K244" s="1">
        <v>0</v>
      </c>
      <c r="L244" s="1"/>
      <c r="M244" s="1" t="s">
        <v>244</v>
      </c>
      <c r="N244" s="1" t="s">
        <v>743</v>
      </c>
      <c r="O244" s="1" t="s">
        <v>245</v>
      </c>
      <c r="P244" s="2">
        <v>44165</v>
      </c>
      <c r="Q244" s="8" t="str">
        <f t="shared" si="3"/>
        <v>NOT SUPPORTED WITHIN 2DAYS</v>
      </c>
      <c r="R244" s="8" t="s">
        <v>1273</v>
      </c>
      <c r="S244" s="1">
        <v>0</v>
      </c>
      <c r="T244" s="1" t="s">
        <v>246</v>
      </c>
      <c r="U244" s="1" t="str">
        <f>VLOOKUP(T244,personnel!A$1:B$4,2,FALSE)</f>
        <v>Macarling, Federico Jr Romano</v>
      </c>
      <c r="V244" s="3">
        <v>44145.423460648148</v>
      </c>
    </row>
    <row r="245" spans="1:22" x14ac:dyDescent="0.25">
      <c r="A245" s="1" t="s">
        <v>78</v>
      </c>
      <c r="B245" s="1" t="s">
        <v>19</v>
      </c>
      <c r="C245" s="1" t="s">
        <v>166</v>
      </c>
      <c r="D245" s="1" t="s">
        <v>744</v>
      </c>
      <c r="E245" s="2">
        <v>44145</v>
      </c>
      <c r="F245" s="1" t="s">
        <v>80</v>
      </c>
      <c r="G245" s="1" t="s">
        <v>745</v>
      </c>
      <c r="H245" s="1"/>
      <c r="I245" s="1" t="s">
        <v>95</v>
      </c>
      <c r="J245" s="1" t="s">
        <v>652</v>
      </c>
      <c r="K245" s="1">
        <v>0</v>
      </c>
      <c r="L245" s="1"/>
      <c r="M245" s="1"/>
      <c r="N245" s="1" t="s">
        <v>746</v>
      </c>
      <c r="O245" s="1"/>
      <c r="P245" s="2">
        <v>44145</v>
      </c>
      <c r="Q245" s="8" t="str">
        <f t="shared" si="3"/>
        <v>SUPPORTED WITHIN 2DAYS</v>
      </c>
      <c r="R245" s="8" t="s">
        <v>1272</v>
      </c>
      <c r="S245" s="1">
        <v>0</v>
      </c>
      <c r="T245" s="1" t="s">
        <v>246</v>
      </c>
      <c r="U245" s="1" t="str">
        <f>VLOOKUP(T245,personnel!A$1:B$4,2,FALSE)</f>
        <v>Macarling, Federico Jr Romano</v>
      </c>
      <c r="V245" s="3">
        <v>44145.424293981479</v>
      </c>
    </row>
    <row r="246" spans="1:22" x14ac:dyDescent="0.25">
      <c r="A246" s="1" t="s">
        <v>37</v>
      </c>
      <c r="B246" s="1" t="s">
        <v>19</v>
      </c>
      <c r="C246" s="1" t="s">
        <v>20</v>
      </c>
      <c r="D246" s="1" t="s">
        <v>747</v>
      </c>
      <c r="E246" s="2">
        <v>44145</v>
      </c>
      <c r="F246" s="1" t="s">
        <v>39</v>
      </c>
      <c r="G246" s="1" t="s">
        <v>748</v>
      </c>
      <c r="H246" s="1" t="s">
        <v>244</v>
      </c>
      <c r="I246" s="1" t="s">
        <v>41</v>
      </c>
      <c r="J246" s="1" t="s">
        <v>563</v>
      </c>
      <c r="K246" s="1">
        <v>0</v>
      </c>
      <c r="L246" s="1"/>
      <c r="M246" s="1" t="s">
        <v>244</v>
      </c>
      <c r="N246" s="1" t="s">
        <v>599</v>
      </c>
      <c r="O246" s="1" t="s">
        <v>245</v>
      </c>
      <c r="P246" s="2">
        <v>44165</v>
      </c>
      <c r="Q246" s="8" t="str">
        <f t="shared" si="3"/>
        <v>NOT SUPPORTED WITHIN 2DAYS</v>
      </c>
      <c r="R246" s="8" t="s">
        <v>1273</v>
      </c>
      <c r="S246" s="1">
        <v>0</v>
      </c>
      <c r="T246" s="1" t="s">
        <v>246</v>
      </c>
      <c r="U246" s="1" t="str">
        <f>VLOOKUP(T246,personnel!A$1:B$4,2,FALSE)</f>
        <v>Macarling, Federico Jr Romano</v>
      </c>
      <c r="V246" s="3">
        <v>44145.425185185188</v>
      </c>
    </row>
    <row r="247" spans="1:22" x14ac:dyDescent="0.25">
      <c r="A247" s="1" t="s">
        <v>37</v>
      </c>
      <c r="B247" s="1" t="s">
        <v>19</v>
      </c>
      <c r="C247" s="1" t="s">
        <v>20</v>
      </c>
      <c r="D247" s="1" t="s">
        <v>749</v>
      </c>
      <c r="E247" s="2">
        <v>44145</v>
      </c>
      <c r="F247" s="1" t="s">
        <v>39</v>
      </c>
      <c r="G247" s="1" t="s">
        <v>750</v>
      </c>
      <c r="H247" s="1" t="s">
        <v>244</v>
      </c>
      <c r="I247" s="1" t="s">
        <v>41</v>
      </c>
      <c r="J247" s="1" t="s">
        <v>563</v>
      </c>
      <c r="K247" s="1">
        <v>0</v>
      </c>
      <c r="L247" s="1"/>
      <c r="M247" s="1" t="s">
        <v>244</v>
      </c>
      <c r="N247" s="1" t="s">
        <v>751</v>
      </c>
      <c r="O247" s="1" t="s">
        <v>245</v>
      </c>
      <c r="P247" s="2">
        <v>44165</v>
      </c>
      <c r="Q247" s="8" t="str">
        <f t="shared" si="3"/>
        <v>NOT SUPPORTED WITHIN 2DAYS</v>
      </c>
      <c r="R247" s="8" t="s">
        <v>1273</v>
      </c>
      <c r="S247" s="1">
        <v>0</v>
      </c>
      <c r="T247" s="1" t="s">
        <v>246</v>
      </c>
      <c r="U247" s="1" t="str">
        <f>VLOOKUP(T247,personnel!A$1:B$4,2,FALSE)</f>
        <v>Macarling, Federico Jr Romano</v>
      </c>
      <c r="V247" s="3">
        <v>44145.42560185185</v>
      </c>
    </row>
    <row r="248" spans="1:22" x14ac:dyDescent="0.25">
      <c r="A248" s="1" t="s">
        <v>250</v>
      </c>
      <c r="B248" s="1" t="s">
        <v>388</v>
      </c>
      <c r="C248" s="1" t="s">
        <v>20</v>
      </c>
      <c r="D248" s="1" t="s">
        <v>752</v>
      </c>
      <c r="E248" s="2">
        <v>44145</v>
      </c>
      <c r="F248" s="1" t="s">
        <v>252</v>
      </c>
      <c r="G248" s="1" t="s">
        <v>753</v>
      </c>
      <c r="H248" s="1" t="s">
        <v>754</v>
      </c>
      <c r="I248" s="1" t="s">
        <v>25</v>
      </c>
      <c r="J248" s="1" t="s">
        <v>26</v>
      </c>
      <c r="K248" s="1">
        <v>0</v>
      </c>
      <c r="L248" s="1"/>
      <c r="M248" s="1" t="s">
        <v>542</v>
      </c>
      <c r="N248" s="1"/>
      <c r="O248" s="1" t="s">
        <v>245</v>
      </c>
      <c r="P248" s="2">
        <v>44153</v>
      </c>
      <c r="Q248" s="8" t="str">
        <f t="shared" si="3"/>
        <v>NOT SUPPORTED WITHIN 2DAYS</v>
      </c>
      <c r="R248" s="8" t="s">
        <v>1273</v>
      </c>
      <c r="S248" s="1">
        <v>1</v>
      </c>
      <c r="T248" s="1" t="s">
        <v>544</v>
      </c>
      <c r="U248" s="1" t="str">
        <f>VLOOKUP(T248,personnel!A$1:B$4,2,FALSE)</f>
        <v>Velasquez, Jayson Alon</v>
      </c>
      <c r="V248" s="3">
        <v>44145.496053240742</v>
      </c>
    </row>
    <row r="249" spans="1:22" x14ac:dyDescent="0.25">
      <c r="A249" s="1" t="s">
        <v>37</v>
      </c>
      <c r="B249" s="1" t="s">
        <v>19</v>
      </c>
      <c r="C249" s="1" t="s">
        <v>20</v>
      </c>
      <c r="D249" s="1" t="s">
        <v>755</v>
      </c>
      <c r="E249" s="2">
        <v>44145</v>
      </c>
      <c r="F249" s="1" t="s">
        <v>39</v>
      </c>
      <c r="G249" s="1" t="s">
        <v>756</v>
      </c>
      <c r="H249" s="1" t="s">
        <v>244</v>
      </c>
      <c r="I249" s="1" t="s">
        <v>41</v>
      </c>
      <c r="J249" s="1" t="s">
        <v>563</v>
      </c>
      <c r="K249" s="1">
        <v>0</v>
      </c>
      <c r="L249" s="1"/>
      <c r="M249" s="1" t="s">
        <v>244</v>
      </c>
      <c r="N249" s="1" t="s">
        <v>681</v>
      </c>
      <c r="O249" s="1" t="s">
        <v>245</v>
      </c>
      <c r="P249" s="2">
        <v>44165</v>
      </c>
      <c r="Q249" s="8" t="str">
        <f t="shared" si="3"/>
        <v>NOT SUPPORTED WITHIN 2DAYS</v>
      </c>
      <c r="R249" s="8" t="s">
        <v>1273</v>
      </c>
      <c r="S249" s="1">
        <v>0</v>
      </c>
      <c r="T249" s="1" t="s">
        <v>246</v>
      </c>
      <c r="U249" s="1" t="str">
        <f>VLOOKUP(T249,personnel!A$1:B$4,2,FALSE)</f>
        <v>Macarling, Federico Jr Romano</v>
      </c>
      <c r="V249" s="3">
        <v>44145.499756944446</v>
      </c>
    </row>
    <row r="250" spans="1:22" x14ac:dyDescent="0.25">
      <c r="A250" s="1" t="s">
        <v>37</v>
      </c>
      <c r="B250" s="1" t="s">
        <v>19</v>
      </c>
      <c r="C250" s="1" t="s">
        <v>20</v>
      </c>
      <c r="D250" s="1" t="s">
        <v>757</v>
      </c>
      <c r="E250" s="2">
        <v>44145</v>
      </c>
      <c r="F250" s="1" t="s">
        <v>39</v>
      </c>
      <c r="G250" s="1" t="s">
        <v>758</v>
      </c>
      <c r="H250" s="1" t="s">
        <v>244</v>
      </c>
      <c r="I250" s="1" t="s">
        <v>41</v>
      </c>
      <c r="J250" s="1" t="s">
        <v>563</v>
      </c>
      <c r="K250" s="1">
        <v>0</v>
      </c>
      <c r="L250" s="1"/>
      <c r="M250" s="1" t="s">
        <v>244</v>
      </c>
      <c r="N250" s="1" t="s">
        <v>681</v>
      </c>
      <c r="O250" s="1" t="s">
        <v>245</v>
      </c>
      <c r="P250" s="2">
        <v>44165</v>
      </c>
      <c r="Q250" s="8" t="str">
        <f t="shared" si="3"/>
        <v>NOT SUPPORTED WITHIN 2DAYS</v>
      </c>
      <c r="R250" s="8" t="s">
        <v>1273</v>
      </c>
      <c r="S250" s="1">
        <v>0</v>
      </c>
      <c r="T250" s="1" t="s">
        <v>246</v>
      </c>
      <c r="U250" s="1" t="str">
        <f>VLOOKUP(T250,personnel!A$1:B$4,2,FALSE)</f>
        <v>Macarling, Federico Jr Romano</v>
      </c>
      <c r="V250" s="3">
        <v>44145.500034722223</v>
      </c>
    </row>
    <row r="251" spans="1:22" x14ac:dyDescent="0.25">
      <c r="A251" s="1" t="s">
        <v>37</v>
      </c>
      <c r="B251" s="1" t="s">
        <v>19</v>
      </c>
      <c r="C251" s="1" t="s">
        <v>20</v>
      </c>
      <c r="D251" s="1" t="s">
        <v>759</v>
      </c>
      <c r="E251" s="2">
        <v>44145</v>
      </c>
      <c r="F251" s="1" t="s">
        <v>39</v>
      </c>
      <c r="G251" s="1" t="s">
        <v>760</v>
      </c>
      <c r="H251" s="1" t="s">
        <v>244</v>
      </c>
      <c r="I251" s="1" t="s">
        <v>41</v>
      </c>
      <c r="J251" s="1" t="s">
        <v>563</v>
      </c>
      <c r="K251" s="1">
        <v>0</v>
      </c>
      <c r="L251" s="1"/>
      <c r="M251" s="1" t="s">
        <v>244</v>
      </c>
      <c r="N251" s="1" t="s">
        <v>681</v>
      </c>
      <c r="O251" s="1" t="s">
        <v>245</v>
      </c>
      <c r="P251" s="2">
        <v>44165</v>
      </c>
      <c r="Q251" s="8" t="str">
        <f t="shared" si="3"/>
        <v>NOT SUPPORTED WITHIN 2DAYS</v>
      </c>
      <c r="R251" s="8" t="s">
        <v>1273</v>
      </c>
      <c r="S251" s="1">
        <v>0</v>
      </c>
      <c r="T251" s="1" t="s">
        <v>246</v>
      </c>
      <c r="U251" s="1" t="str">
        <f>VLOOKUP(T251,personnel!A$1:B$4,2,FALSE)</f>
        <v>Macarling, Federico Jr Romano</v>
      </c>
      <c r="V251" s="3">
        <v>44145.500300925924</v>
      </c>
    </row>
    <row r="252" spans="1:22" x14ac:dyDescent="0.25">
      <c r="A252" s="1" t="s">
        <v>37</v>
      </c>
      <c r="B252" s="1" t="s">
        <v>19</v>
      </c>
      <c r="C252" s="1" t="s">
        <v>20</v>
      </c>
      <c r="D252" s="1" t="s">
        <v>761</v>
      </c>
      <c r="E252" s="2">
        <v>44145</v>
      </c>
      <c r="F252" s="1" t="s">
        <v>39</v>
      </c>
      <c r="G252" s="1" t="s">
        <v>762</v>
      </c>
      <c r="H252" s="1" t="s">
        <v>244</v>
      </c>
      <c r="I252" s="1" t="s">
        <v>41</v>
      </c>
      <c r="J252" s="1" t="s">
        <v>563</v>
      </c>
      <c r="K252" s="1">
        <v>0</v>
      </c>
      <c r="L252" s="1"/>
      <c r="M252" s="1" t="s">
        <v>244</v>
      </c>
      <c r="N252" s="1" t="s">
        <v>681</v>
      </c>
      <c r="O252" s="1" t="s">
        <v>245</v>
      </c>
      <c r="P252" s="2">
        <v>44165</v>
      </c>
      <c r="Q252" s="8" t="str">
        <f t="shared" si="3"/>
        <v>NOT SUPPORTED WITHIN 2DAYS</v>
      </c>
      <c r="R252" s="8" t="s">
        <v>1273</v>
      </c>
      <c r="S252" s="1">
        <v>0</v>
      </c>
      <c r="T252" s="1" t="s">
        <v>246</v>
      </c>
      <c r="U252" s="1" t="str">
        <f>VLOOKUP(T252,personnel!A$1:B$4,2,FALSE)</f>
        <v>Macarling, Federico Jr Romano</v>
      </c>
      <c r="V252" s="3">
        <v>44145.500532407408</v>
      </c>
    </row>
    <row r="253" spans="1:22" x14ac:dyDescent="0.25">
      <c r="A253" s="1" t="s">
        <v>37</v>
      </c>
      <c r="B253" s="1" t="s">
        <v>19</v>
      </c>
      <c r="C253" s="1" t="s">
        <v>20</v>
      </c>
      <c r="D253" s="1" t="s">
        <v>763</v>
      </c>
      <c r="E253" s="2">
        <v>44145</v>
      </c>
      <c r="F253" s="1" t="s">
        <v>39</v>
      </c>
      <c r="G253" s="1" t="s">
        <v>764</v>
      </c>
      <c r="H253" s="1" t="s">
        <v>244</v>
      </c>
      <c r="I253" s="1" t="s">
        <v>41</v>
      </c>
      <c r="J253" s="1" t="s">
        <v>563</v>
      </c>
      <c r="K253" s="1">
        <v>0</v>
      </c>
      <c r="L253" s="1"/>
      <c r="M253" s="1" t="s">
        <v>244</v>
      </c>
      <c r="N253" s="1" t="s">
        <v>751</v>
      </c>
      <c r="O253" s="1" t="s">
        <v>245</v>
      </c>
      <c r="P253" s="2">
        <v>44165</v>
      </c>
      <c r="Q253" s="8" t="str">
        <f t="shared" si="3"/>
        <v>NOT SUPPORTED WITHIN 2DAYS</v>
      </c>
      <c r="R253" s="8" t="s">
        <v>1273</v>
      </c>
      <c r="S253" s="1">
        <v>0</v>
      </c>
      <c r="T253" s="1" t="s">
        <v>246</v>
      </c>
      <c r="U253" s="1" t="str">
        <f>VLOOKUP(T253,personnel!A$1:B$4,2,FALSE)</f>
        <v>Macarling, Federico Jr Romano</v>
      </c>
      <c r="V253" s="3">
        <v>44145.500844907408</v>
      </c>
    </row>
    <row r="254" spans="1:22" x14ac:dyDescent="0.25">
      <c r="A254" s="1" t="s">
        <v>37</v>
      </c>
      <c r="B254" s="1" t="s">
        <v>19</v>
      </c>
      <c r="C254" s="1" t="s">
        <v>20</v>
      </c>
      <c r="D254" s="1" t="s">
        <v>765</v>
      </c>
      <c r="E254" s="2">
        <v>44145</v>
      </c>
      <c r="F254" s="1" t="s">
        <v>39</v>
      </c>
      <c r="G254" s="1" t="s">
        <v>766</v>
      </c>
      <c r="H254" s="1" t="s">
        <v>244</v>
      </c>
      <c r="I254" s="1" t="s">
        <v>41</v>
      </c>
      <c r="J254" s="1" t="s">
        <v>563</v>
      </c>
      <c r="K254" s="1">
        <v>0</v>
      </c>
      <c r="L254" s="1"/>
      <c r="M254" s="1" t="s">
        <v>244</v>
      </c>
      <c r="N254" s="1" t="s">
        <v>751</v>
      </c>
      <c r="O254" s="1" t="s">
        <v>245</v>
      </c>
      <c r="P254" s="2">
        <v>44165</v>
      </c>
      <c r="Q254" s="8" t="str">
        <f t="shared" si="3"/>
        <v>NOT SUPPORTED WITHIN 2DAYS</v>
      </c>
      <c r="R254" s="8" t="s">
        <v>1273</v>
      </c>
      <c r="S254" s="1">
        <v>0</v>
      </c>
      <c r="T254" s="1" t="s">
        <v>246</v>
      </c>
      <c r="U254" s="1" t="str">
        <f>VLOOKUP(T254,personnel!A$1:B$4,2,FALSE)</f>
        <v>Macarling, Federico Jr Romano</v>
      </c>
      <c r="V254" s="3">
        <v>44145.501261574071</v>
      </c>
    </row>
    <row r="255" spans="1:22" x14ac:dyDescent="0.25">
      <c r="A255" s="1" t="s">
        <v>556</v>
      </c>
      <c r="B255" s="1" t="s">
        <v>19</v>
      </c>
      <c r="C255" s="1" t="s">
        <v>20</v>
      </c>
      <c r="D255" s="1" t="s">
        <v>767</v>
      </c>
      <c r="E255" s="2">
        <v>44145</v>
      </c>
      <c r="F255" s="1" t="s">
        <v>558</v>
      </c>
      <c r="G255" s="1" t="s">
        <v>768</v>
      </c>
      <c r="H255" s="1" t="s">
        <v>726</v>
      </c>
      <c r="I255" s="1" t="s">
        <v>41</v>
      </c>
      <c r="J255" s="1" t="s">
        <v>652</v>
      </c>
      <c r="K255" s="1">
        <v>0</v>
      </c>
      <c r="L255" s="1"/>
      <c r="M255" s="1" t="s">
        <v>542</v>
      </c>
      <c r="N255" s="1"/>
      <c r="O255" s="1" t="s">
        <v>543</v>
      </c>
      <c r="P255" s="2">
        <v>44145</v>
      </c>
      <c r="Q255" s="8" t="str">
        <f t="shared" si="3"/>
        <v>SUPPORTED WITHIN 2DAYS</v>
      </c>
      <c r="R255" s="8" t="s">
        <v>1272</v>
      </c>
      <c r="S255" s="1">
        <v>0</v>
      </c>
      <c r="T255" s="1" t="s">
        <v>544</v>
      </c>
      <c r="U255" s="1" t="str">
        <f>VLOOKUP(T255,personnel!A$1:B$4,2,FALSE)</f>
        <v>Velasquez, Jayson Alon</v>
      </c>
      <c r="V255" s="3">
        <v>44145.550138888888</v>
      </c>
    </row>
    <row r="256" spans="1:22" x14ac:dyDescent="0.25">
      <c r="A256" s="1" t="s">
        <v>18</v>
      </c>
      <c r="B256" s="1" t="s">
        <v>19</v>
      </c>
      <c r="C256" s="1" t="s">
        <v>20</v>
      </c>
      <c r="D256" s="1" t="s">
        <v>769</v>
      </c>
      <c r="E256" s="2">
        <v>44145</v>
      </c>
      <c r="F256" s="1" t="s">
        <v>22</v>
      </c>
      <c r="G256" s="1" t="s">
        <v>770</v>
      </c>
      <c r="H256" s="1" t="s">
        <v>629</v>
      </c>
      <c r="I256" s="1" t="s">
        <v>95</v>
      </c>
      <c r="J256" s="1" t="s">
        <v>552</v>
      </c>
      <c r="K256" s="1">
        <v>0</v>
      </c>
      <c r="L256" s="1"/>
      <c r="M256" s="1" t="s">
        <v>542</v>
      </c>
      <c r="N256" s="1"/>
      <c r="O256" s="1" t="s">
        <v>543</v>
      </c>
      <c r="P256" s="2">
        <v>44145</v>
      </c>
      <c r="Q256" s="8" t="str">
        <f t="shared" si="3"/>
        <v>SUPPORTED WITHIN 2DAYS</v>
      </c>
      <c r="R256" s="8" t="s">
        <v>1272</v>
      </c>
      <c r="S256" s="1">
        <v>0</v>
      </c>
      <c r="T256" s="1" t="s">
        <v>544</v>
      </c>
      <c r="U256" s="1" t="str">
        <f>VLOOKUP(T256,personnel!A$1:B$4,2,FALSE)</f>
        <v>Velasquez, Jayson Alon</v>
      </c>
      <c r="V256" s="3">
        <v>44145.622835648152</v>
      </c>
    </row>
    <row r="257" spans="1:22" x14ac:dyDescent="0.25">
      <c r="A257" s="1" t="s">
        <v>734</v>
      </c>
      <c r="B257" s="1" t="s">
        <v>19</v>
      </c>
      <c r="C257" s="1" t="s">
        <v>20</v>
      </c>
      <c r="D257" s="1" t="s">
        <v>771</v>
      </c>
      <c r="E257" s="2">
        <v>44145</v>
      </c>
      <c r="F257" s="1" t="s">
        <v>736</v>
      </c>
      <c r="G257" s="1" t="s">
        <v>772</v>
      </c>
      <c r="H257" s="1" t="s">
        <v>773</v>
      </c>
      <c r="I257" s="1" t="s">
        <v>41</v>
      </c>
      <c r="J257" s="1" t="s">
        <v>272</v>
      </c>
      <c r="K257" s="1">
        <v>0</v>
      </c>
      <c r="L257" s="1"/>
      <c r="M257" s="1" t="s">
        <v>542</v>
      </c>
      <c r="N257" s="1"/>
      <c r="O257" s="1" t="s">
        <v>543</v>
      </c>
      <c r="P257" s="2">
        <v>44145</v>
      </c>
      <c r="Q257" s="8" t="str">
        <f t="shared" si="3"/>
        <v>SUPPORTED WITHIN 2DAYS</v>
      </c>
      <c r="R257" s="8" t="s">
        <v>1272</v>
      </c>
      <c r="S257" s="1">
        <v>0</v>
      </c>
      <c r="T257" s="1" t="s">
        <v>544</v>
      </c>
      <c r="U257" s="1" t="str">
        <f>VLOOKUP(T257,personnel!A$1:B$4,2,FALSE)</f>
        <v>Velasquez, Jayson Alon</v>
      </c>
      <c r="V257" s="3">
        <v>44145.680405092593</v>
      </c>
    </row>
    <row r="258" spans="1:22" x14ac:dyDescent="0.25">
      <c r="A258" s="1" t="s">
        <v>774</v>
      </c>
      <c r="B258" s="1" t="s">
        <v>19</v>
      </c>
      <c r="C258" s="1" t="s">
        <v>20</v>
      </c>
      <c r="D258" s="1" t="s">
        <v>775</v>
      </c>
      <c r="E258" s="2">
        <v>44145</v>
      </c>
      <c r="F258" s="1" t="s">
        <v>776</v>
      </c>
      <c r="G258" s="1" t="s">
        <v>777</v>
      </c>
      <c r="H258" s="1" t="s">
        <v>778</v>
      </c>
      <c r="I258" s="1" t="s">
        <v>95</v>
      </c>
      <c r="J258" s="1" t="s">
        <v>552</v>
      </c>
      <c r="K258" s="1">
        <v>0</v>
      </c>
      <c r="L258" s="1"/>
      <c r="M258" s="1" t="s">
        <v>542</v>
      </c>
      <c r="N258" s="1"/>
      <c r="O258" s="1" t="s">
        <v>543</v>
      </c>
      <c r="P258" s="2">
        <v>44145</v>
      </c>
      <c r="Q258" s="8" t="str">
        <f t="shared" si="3"/>
        <v>SUPPORTED WITHIN 2DAYS</v>
      </c>
      <c r="R258" s="8" t="s">
        <v>1272</v>
      </c>
      <c r="S258" s="1">
        <v>0</v>
      </c>
      <c r="T258" s="1" t="s">
        <v>544</v>
      </c>
      <c r="U258" s="1" t="str">
        <f>VLOOKUP(T258,personnel!A$1:B$4,2,FALSE)</f>
        <v>Velasquez, Jayson Alon</v>
      </c>
      <c r="V258" s="3">
        <v>44145.694432870368</v>
      </c>
    </row>
    <row r="259" spans="1:22" x14ac:dyDescent="0.25">
      <c r="A259" s="1" t="s">
        <v>779</v>
      </c>
      <c r="B259" s="1" t="s">
        <v>19</v>
      </c>
      <c r="C259" s="1" t="s">
        <v>20</v>
      </c>
      <c r="D259" s="1" t="s">
        <v>780</v>
      </c>
      <c r="E259" s="2">
        <v>44146</v>
      </c>
      <c r="F259" s="1" t="s">
        <v>781</v>
      </c>
      <c r="G259" s="1" t="s">
        <v>782</v>
      </c>
      <c r="H259" s="1" t="s">
        <v>783</v>
      </c>
      <c r="I259" s="1" t="s">
        <v>36</v>
      </c>
      <c r="J259" s="1" t="s">
        <v>171</v>
      </c>
      <c r="K259" s="1">
        <v>0</v>
      </c>
      <c r="L259" s="1"/>
      <c r="M259" s="1" t="s">
        <v>542</v>
      </c>
      <c r="N259" s="1"/>
      <c r="O259" s="1" t="s">
        <v>543</v>
      </c>
      <c r="P259" s="2">
        <v>44146</v>
      </c>
      <c r="Q259" s="8" t="str">
        <f t="shared" ref="Q259:Q322" si="4">IF((P259-E259)&gt;2,"NOT SUPPORTED WITHIN 2DAYS","SUPPORTED WITHIN 2DAYS")</f>
        <v>SUPPORTED WITHIN 2DAYS</v>
      </c>
      <c r="R259" s="8" t="s">
        <v>1272</v>
      </c>
      <c r="S259" s="1">
        <v>0</v>
      </c>
      <c r="T259" s="1" t="s">
        <v>544</v>
      </c>
      <c r="U259" s="1" t="str">
        <f>VLOOKUP(T259,personnel!A$1:B$4,2,FALSE)</f>
        <v>Velasquez, Jayson Alon</v>
      </c>
      <c r="V259" s="3">
        <v>44146.409780092596</v>
      </c>
    </row>
    <row r="260" spans="1:22" x14ac:dyDescent="0.25">
      <c r="A260" s="1" t="s">
        <v>18</v>
      </c>
      <c r="B260" s="1" t="s">
        <v>19</v>
      </c>
      <c r="C260" s="1" t="s">
        <v>20</v>
      </c>
      <c r="D260" s="1" t="s">
        <v>784</v>
      </c>
      <c r="E260" s="2">
        <v>44146</v>
      </c>
      <c r="F260" s="1" t="s">
        <v>22</v>
      </c>
      <c r="G260" s="1" t="s">
        <v>785</v>
      </c>
      <c r="H260" s="1" t="s">
        <v>786</v>
      </c>
      <c r="I260" s="1" t="s">
        <v>36</v>
      </c>
      <c r="J260" s="1" t="s">
        <v>171</v>
      </c>
      <c r="K260" s="1">
        <v>0</v>
      </c>
      <c r="L260" s="1"/>
      <c r="M260" s="1" t="s">
        <v>542</v>
      </c>
      <c r="N260" s="1"/>
      <c r="O260" s="1" t="s">
        <v>543</v>
      </c>
      <c r="P260" s="2">
        <v>44146</v>
      </c>
      <c r="Q260" s="8" t="str">
        <f t="shared" si="4"/>
        <v>SUPPORTED WITHIN 2DAYS</v>
      </c>
      <c r="R260" s="8" t="s">
        <v>1272</v>
      </c>
      <c r="S260" s="1">
        <v>0</v>
      </c>
      <c r="T260" s="1" t="s">
        <v>544</v>
      </c>
      <c r="U260" s="1" t="str">
        <f>VLOOKUP(T260,personnel!A$1:B$4,2,FALSE)</f>
        <v>Velasquez, Jayson Alon</v>
      </c>
      <c r="V260" s="3">
        <v>44146.41033564815</v>
      </c>
    </row>
    <row r="261" spans="1:22" x14ac:dyDescent="0.25">
      <c r="A261" s="1" t="s">
        <v>18</v>
      </c>
      <c r="B261" s="1" t="s">
        <v>19</v>
      </c>
      <c r="C261" s="1" t="s">
        <v>166</v>
      </c>
      <c r="D261" s="1" t="s">
        <v>787</v>
      </c>
      <c r="E261" s="2">
        <v>44146</v>
      </c>
      <c r="F261" s="1" t="s">
        <v>22</v>
      </c>
      <c r="G261" s="1" t="s">
        <v>788</v>
      </c>
      <c r="H261" s="1"/>
      <c r="I261" s="1" t="s">
        <v>95</v>
      </c>
      <c r="J261" s="1" t="s">
        <v>42</v>
      </c>
      <c r="K261" s="1">
        <v>0</v>
      </c>
      <c r="L261" s="1"/>
      <c r="M261" s="1"/>
      <c r="N261" s="1"/>
      <c r="O261" s="1"/>
      <c r="P261" s="2">
        <v>44146</v>
      </c>
      <c r="Q261" s="8" t="str">
        <f t="shared" si="4"/>
        <v>SUPPORTED WITHIN 2DAYS</v>
      </c>
      <c r="R261" s="8" t="s">
        <v>1272</v>
      </c>
      <c r="S261" s="1">
        <v>0</v>
      </c>
      <c r="T261" s="1" t="s">
        <v>544</v>
      </c>
      <c r="U261" s="1" t="str">
        <f>VLOOKUP(T261,personnel!A$1:B$4,2,FALSE)</f>
        <v>Velasquez, Jayson Alon</v>
      </c>
      <c r="V261" s="3">
        <v>44146.474340277775</v>
      </c>
    </row>
    <row r="262" spans="1:22" x14ac:dyDescent="0.25">
      <c r="A262" s="1" t="s">
        <v>468</v>
      </c>
      <c r="B262" s="1" t="s">
        <v>19</v>
      </c>
      <c r="C262" s="1" t="s">
        <v>166</v>
      </c>
      <c r="D262" s="1" t="s">
        <v>789</v>
      </c>
      <c r="E262" s="2">
        <v>44146</v>
      </c>
      <c r="F262" s="1" t="s">
        <v>470</v>
      </c>
      <c r="G262" s="1" t="s">
        <v>790</v>
      </c>
      <c r="H262" s="1"/>
      <c r="I262" s="1" t="s">
        <v>25</v>
      </c>
      <c r="J262" s="1" t="s">
        <v>42</v>
      </c>
      <c r="K262" s="1">
        <v>0</v>
      </c>
      <c r="L262" s="1"/>
      <c r="M262" s="1"/>
      <c r="N262" s="1"/>
      <c r="O262" s="1"/>
      <c r="P262" s="2">
        <v>44146</v>
      </c>
      <c r="Q262" s="8" t="str">
        <f t="shared" si="4"/>
        <v>SUPPORTED WITHIN 2DAYS</v>
      </c>
      <c r="R262" s="8" t="s">
        <v>1272</v>
      </c>
      <c r="S262" s="1">
        <v>0</v>
      </c>
      <c r="T262" s="1" t="s">
        <v>246</v>
      </c>
      <c r="U262" s="1" t="str">
        <f>VLOOKUP(T262,personnel!A$1:B$4,2,FALSE)</f>
        <v>Macarling, Federico Jr Romano</v>
      </c>
      <c r="V262" s="3">
        <v>44146.592997685184</v>
      </c>
    </row>
    <row r="263" spans="1:22" x14ac:dyDescent="0.25">
      <c r="A263" s="1" t="s">
        <v>247</v>
      </c>
      <c r="B263" s="1" t="s">
        <v>19</v>
      </c>
      <c r="C263" s="1" t="s">
        <v>166</v>
      </c>
      <c r="D263" s="1" t="s">
        <v>791</v>
      </c>
      <c r="E263" s="2">
        <v>44146</v>
      </c>
      <c r="F263" s="1" t="s">
        <v>249</v>
      </c>
      <c r="G263" s="1" t="s">
        <v>792</v>
      </c>
      <c r="H263" s="1"/>
      <c r="I263" s="1" t="s">
        <v>25</v>
      </c>
      <c r="J263" s="1" t="s">
        <v>26</v>
      </c>
      <c r="K263" s="1">
        <v>1</v>
      </c>
      <c r="L263" s="1"/>
      <c r="M263" s="1"/>
      <c r="N263" s="1"/>
      <c r="O263" s="1"/>
      <c r="P263" s="2">
        <v>44146</v>
      </c>
      <c r="Q263" s="8" t="str">
        <f t="shared" si="4"/>
        <v>SUPPORTED WITHIN 2DAYS</v>
      </c>
      <c r="R263" s="8" t="s">
        <v>1272</v>
      </c>
      <c r="S263" s="1">
        <v>0</v>
      </c>
      <c r="T263" s="1" t="s">
        <v>246</v>
      </c>
      <c r="U263" s="1" t="str">
        <f>VLOOKUP(T263,personnel!A$1:B$4,2,FALSE)</f>
        <v>Macarling, Federico Jr Romano</v>
      </c>
      <c r="V263" s="3">
        <v>44146.609166666669</v>
      </c>
    </row>
    <row r="264" spans="1:22" x14ac:dyDescent="0.25">
      <c r="A264" s="1" t="s">
        <v>37</v>
      </c>
      <c r="B264" s="1" t="s">
        <v>19</v>
      </c>
      <c r="C264" s="1" t="s">
        <v>20</v>
      </c>
      <c r="D264" s="1" t="s">
        <v>793</v>
      </c>
      <c r="E264" s="2">
        <v>44146</v>
      </c>
      <c r="F264" s="1" t="s">
        <v>39</v>
      </c>
      <c r="G264" s="1" t="s">
        <v>794</v>
      </c>
      <c r="H264" s="1" t="s">
        <v>244</v>
      </c>
      <c r="I264" s="1" t="s">
        <v>41</v>
      </c>
      <c r="J264" s="1" t="s">
        <v>287</v>
      </c>
      <c r="K264" s="1">
        <v>0</v>
      </c>
      <c r="L264" s="1"/>
      <c r="M264" s="1" t="s">
        <v>244</v>
      </c>
      <c r="N264" s="1"/>
      <c r="O264" s="1" t="s">
        <v>245</v>
      </c>
      <c r="P264" s="2">
        <v>44146</v>
      </c>
      <c r="Q264" s="8" t="str">
        <f t="shared" si="4"/>
        <v>SUPPORTED WITHIN 2DAYS</v>
      </c>
      <c r="R264" s="8" t="s">
        <v>1272</v>
      </c>
      <c r="S264" s="1">
        <v>0</v>
      </c>
      <c r="T264" s="1" t="s">
        <v>246</v>
      </c>
      <c r="U264" s="1" t="str">
        <f>VLOOKUP(T264,personnel!A$1:B$4,2,FALSE)</f>
        <v>Macarling, Federico Jr Romano</v>
      </c>
      <c r="V264" s="3">
        <v>44146.609479166669</v>
      </c>
    </row>
    <row r="265" spans="1:22" x14ac:dyDescent="0.25">
      <c r="A265" s="1" t="s">
        <v>37</v>
      </c>
      <c r="B265" s="1" t="s">
        <v>19</v>
      </c>
      <c r="C265" s="1" t="s">
        <v>166</v>
      </c>
      <c r="D265" s="1" t="s">
        <v>795</v>
      </c>
      <c r="E265" s="2">
        <v>44146</v>
      </c>
      <c r="F265" s="1" t="s">
        <v>39</v>
      </c>
      <c r="G265" s="1" t="s">
        <v>796</v>
      </c>
      <c r="H265" s="1"/>
      <c r="I265" s="1" t="s">
        <v>797</v>
      </c>
      <c r="J265" s="1" t="s">
        <v>287</v>
      </c>
      <c r="K265" s="1">
        <v>0</v>
      </c>
      <c r="L265" s="1"/>
      <c r="M265" s="1"/>
      <c r="N265" s="1"/>
      <c r="O265" s="1"/>
      <c r="P265" s="2">
        <v>44146</v>
      </c>
      <c r="Q265" s="8" t="str">
        <f t="shared" si="4"/>
        <v>SUPPORTED WITHIN 2DAYS</v>
      </c>
      <c r="R265" s="8" t="s">
        <v>1272</v>
      </c>
      <c r="S265" s="1">
        <v>0</v>
      </c>
      <c r="T265" s="1" t="s">
        <v>246</v>
      </c>
      <c r="U265" s="1" t="str">
        <f>VLOOKUP(T265,personnel!A$1:B$4,2,FALSE)</f>
        <v>Macarling, Federico Jr Romano</v>
      </c>
      <c r="V265" s="3">
        <v>44146.609930555554</v>
      </c>
    </row>
    <row r="266" spans="1:22" x14ac:dyDescent="0.25">
      <c r="A266" s="1" t="s">
        <v>78</v>
      </c>
      <c r="B266" s="1" t="s">
        <v>19</v>
      </c>
      <c r="C266" s="1" t="s">
        <v>166</v>
      </c>
      <c r="D266" s="1" t="s">
        <v>798</v>
      </c>
      <c r="E266" s="2">
        <v>44146</v>
      </c>
      <c r="F266" s="1" t="s">
        <v>80</v>
      </c>
      <c r="G266" s="1" t="s">
        <v>799</v>
      </c>
      <c r="H266" s="1"/>
      <c r="I266" s="1" t="s">
        <v>41</v>
      </c>
      <c r="J266" s="1" t="s">
        <v>287</v>
      </c>
      <c r="K266" s="1">
        <v>0</v>
      </c>
      <c r="L266" s="1"/>
      <c r="M266" s="1"/>
      <c r="N266" s="1"/>
      <c r="O266" s="1"/>
      <c r="P266" s="2">
        <v>44146</v>
      </c>
      <c r="Q266" s="8" t="str">
        <f t="shared" si="4"/>
        <v>SUPPORTED WITHIN 2DAYS</v>
      </c>
      <c r="R266" s="8" t="s">
        <v>1272</v>
      </c>
      <c r="S266" s="1">
        <v>0</v>
      </c>
      <c r="T266" s="1" t="s">
        <v>246</v>
      </c>
      <c r="U266" s="1" t="str">
        <f>VLOOKUP(T266,personnel!A$1:B$4,2,FALSE)</f>
        <v>Macarling, Federico Jr Romano</v>
      </c>
      <c r="V266" s="3">
        <v>44146.610891203702</v>
      </c>
    </row>
    <row r="267" spans="1:22" x14ac:dyDescent="0.25">
      <c r="A267" s="1" t="s">
        <v>468</v>
      </c>
      <c r="B267" s="1" t="s">
        <v>19</v>
      </c>
      <c r="C267" s="1" t="s">
        <v>166</v>
      </c>
      <c r="D267" s="1" t="s">
        <v>800</v>
      </c>
      <c r="E267" s="2">
        <v>44146</v>
      </c>
      <c r="F267" s="1" t="s">
        <v>470</v>
      </c>
      <c r="G267" s="1" t="s">
        <v>801</v>
      </c>
      <c r="H267" s="1"/>
      <c r="I267" s="1" t="s">
        <v>36</v>
      </c>
      <c r="J267" s="1" t="s">
        <v>171</v>
      </c>
      <c r="K267" s="1">
        <v>0</v>
      </c>
      <c r="L267" s="1"/>
      <c r="M267" s="1"/>
      <c r="N267" s="1"/>
      <c r="O267" s="1"/>
      <c r="P267" s="2">
        <v>44146</v>
      </c>
      <c r="Q267" s="8" t="str">
        <f t="shared" si="4"/>
        <v>SUPPORTED WITHIN 2DAYS</v>
      </c>
      <c r="R267" s="8" t="s">
        <v>1272</v>
      </c>
      <c r="S267" s="1">
        <v>0</v>
      </c>
      <c r="T267" s="1" t="s">
        <v>246</v>
      </c>
      <c r="U267" s="1" t="str">
        <f>VLOOKUP(T267,personnel!A$1:B$4,2,FALSE)</f>
        <v>Macarling, Federico Jr Romano</v>
      </c>
      <c r="V267" s="3">
        <v>44146.612662037034</v>
      </c>
    </row>
    <row r="268" spans="1:22" x14ac:dyDescent="0.25">
      <c r="A268" s="1" t="s">
        <v>468</v>
      </c>
      <c r="B268" s="1" t="s">
        <v>19</v>
      </c>
      <c r="C268" s="1" t="s">
        <v>166</v>
      </c>
      <c r="D268" s="1" t="s">
        <v>802</v>
      </c>
      <c r="E268" s="2">
        <v>44146</v>
      </c>
      <c r="F268" s="1" t="s">
        <v>470</v>
      </c>
      <c r="G268" s="1" t="s">
        <v>803</v>
      </c>
      <c r="H268" s="1"/>
      <c r="I268" s="1" t="s">
        <v>36</v>
      </c>
      <c r="J268" s="1" t="s">
        <v>171</v>
      </c>
      <c r="K268" s="1">
        <v>0</v>
      </c>
      <c r="L268" s="1"/>
      <c r="M268" s="1"/>
      <c r="N268" s="1"/>
      <c r="O268" s="1"/>
      <c r="P268" s="2">
        <v>44146</v>
      </c>
      <c r="Q268" s="8" t="str">
        <f t="shared" si="4"/>
        <v>SUPPORTED WITHIN 2DAYS</v>
      </c>
      <c r="R268" s="8" t="s">
        <v>1272</v>
      </c>
      <c r="S268" s="1">
        <v>0</v>
      </c>
      <c r="T268" s="1" t="s">
        <v>246</v>
      </c>
      <c r="U268" s="1" t="str">
        <f>VLOOKUP(T268,personnel!A$1:B$4,2,FALSE)</f>
        <v>Macarling, Federico Jr Romano</v>
      </c>
      <c r="V268" s="3">
        <v>44146.612974537034</v>
      </c>
    </row>
    <row r="269" spans="1:22" x14ac:dyDescent="0.25">
      <c r="A269" s="1" t="s">
        <v>161</v>
      </c>
      <c r="B269" s="1" t="s">
        <v>19</v>
      </c>
      <c r="C269" s="1" t="s">
        <v>20</v>
      </c>
      <c r="D269" s="1" t="s">
        <v>804</v>
      </c>
      <c r="E269" s="2">
        <v>44146</v>
      </c>
      <c r="F269" s="1" t="s">
        <v>163</v>
      </c>
      <c r="G269" s="1" t="s">
        <v>805</v>
      </c>
      <c r="H269" s="1" t="s">
        <v>244</v>
      </c>
      <c r="I269" s="1" t="s">
        <v>25</v>
      </c>
      <c r="J269" s="1" t="s">
        <v>563</v>
      </c>
      <c r="K269" s="1">
        <v>0</v>
      </c>
      <c r="L269" s="1"/>
      <c r="M269" s="1" t="s">
        <v>244</v>
      </c>
      <c r="N269" s="1"/>
      <c r="O269" s="1" t="s">
        <v>245</v>
      </c>
      <c r="P269" s="2">
        <v>44148</v>
      </c>
      <c r="Q269" s="8" t="str">
        <f t="shared" si="4"/>
        <v>SUPPORTED WITHIN 2DAYS</v>
      </c>
      <c r="R269" s="8" t="s">
        <v>1272</v>
      </c>
      <c r="S269" s="1">
        <v>0</v>
      </c>
      <c r="T269" s="1" t="s">
        <v>246</v>
      </c>
      <c r="U269" s="1" t="str">
        <f>VLOOKUP(T269,personnel!A$1:B$4,2,FALSE)</f>
        <v>Macarling, Federico Jr Romano</v>
      </c>
      <c r="V269" s="3">
        <v>44146.614548611113</v>
      </c>
    </row>
    <row r="270" spans="1:22" x14ac:dyDescent="0.25">
      <c r="A270" s="1" t="s">
        <v>806</v>
      </c>
      <c r="B270" s="1" t="s">
        <v>19</v>
      </c>
      <c r="C270" s="1" t="s">
        <v>20</v>
      </c>
      <c r="D270" s="1" t="s">
        <v>807</v>
      </c>
      <c r="E270" s="2">
        <v>44146</v>
      </c>
      <c r="F270" s="1" t="s">
        <v>808</v>
      </c>
      <c r="G270" s="1" t="s">
        <v>548</v>
      </c>
      <c r="H270" s="1" t="s">
        <v>541</v>
      </c>
      <c r="I270" s="1" t="s">
        <v>41</v>
      </c>
      <c r="J270" s="1" t="s">
        <v>42</v>
      </c>
      <c r="K270" s="1">
        <v>0</v>
      </c>
      <c r="L270" s="1"/>
      <c r="M270" s="1" t="s">
        <v>542</v>
      </c>
      <c r="N270" s="1"/>
      <c r="O270" s="1" t="s">
        <v>543</v>
      </c>
      <c r="P270" s="2">
        <v>44146</v>
      </c>
      <c r="Q270" s="8" t="str">
        <f t="shared" si="4"/>
        <v>SUPPORTED WITHIN 2DAYS</v>
      </c>
      <c r="R270" s="8" t="s">
        <v>1272</v>
      </c>
      <c r="S270" s="1">
        <v>0</v>
      </c>
      <c r="T270" s="1" t="s">
        <v>544</v>
      </c>
      <c r="U270" s="1" t="str">
        <f>VLOOKUP(T270,personnel!A$1:B$4,2,FALSE)</f>
        <v>Velasquez, Jayson Alon</v>
      </c>
      <c r="V270" s="3">
        <v>44146.671909722223</v>
      </c>
    </row>
    <row r="271" spans="1:22" x14ac:dyDescent="0.25">
      <c r="A271" s="1" t="s">
        <v>18</v>
      </c>
      <c r="B271" s="1" t="s">
        <v>19</v>
      </c>
      <c r="C271" s="1" t="s">
        <v>20</v>
      </c>
      <c r="D271" s="1" t="s">
        <v>809</v>
      </c>
      <c r="E271" s="2">
        <v>44146</v>
      </c>
      <c r="F271" s="1" t="s">
        <v>22</v>
      </c>
      <c r="G271" s="1" t="s">
        <v>810</v>
      </c>
      <c r="H271" s="1" t="s">
        <v>811</v>
      </c>
      <c r="I271" s="1" t="s">
        <v>36</v>
      </c>
      <c r="J271" s="1" t="s">
        <v>171</v>
      </c>
      <c r="K271" s="1">
        <v>0</v>
      </c>
      <c r="L271" s="1"/>
      <c r="M271" s="1" t="s">
        <v>542</v>
      </c>
      <c r="N271" s="1"/>
      <c r="O271" s="1" t="s">
        <v>543</v>
      </c>
      <c r="P271" s="2">
        <v>44146</v>
      </c>
      <c r="Q271" s="8" t="str">
        <f t="shared" si="4"/>
        <v>SUPPORTED WITHIN 2DAYS</v>
      </c>
      <c r="R271" s="8" t="s">
        <v>1272</v>
      </c>
      <c r="S271" s="1">
        <v>0</v>
      </c>
      <c r="T271" s="1" t="s">
        <v>544</v>
      </c>
      <c r="U271" s="1" t="str">
        <f>VLOOKUP(T271,personnel!A$1:B$4,2,FALSE)</f>
        <v>Velasquez, Jayson Alon</v>
      </c>
      <c r="V271" s="3">
        <v>44146.679305555554</v>
      </c>
    </row>
    <row r="272" spans="1:22" x14ac:dyDescent="0.25">
      <c r="A272" s="1" t="s">
        <v>734</v>
      </c>
      <c r="B272" s="1" t="s">
        <v>19</v>
      </c>
      <c r="C272" s="1" t="s">
        <v>20</v>
      </c>
      <c r="D272" s="1" t="s">
        <v>812</v>
      </c>
      <c r="E272" s="2">
        <v>44146</v>
      </c>
      <c r="F272" s="1" t="s">
        <v>736</v>
      </c>
      <c r="G272" s="1" t="s">
        <v>813</v>
      </c>
      <c r="H272" s="1" t="s">
        <v>814</v>
      </c>
      <c r="I272" s="1" t="s">
        <v>41</v>
      </c>
      <c r="J272" s="1" t="s">
        <v>272</v>
      </c>
      <c r="K272" s="1">
        <v>0</v>
      </c>
      <c r="L272" s="1"/>
      <c r="M272" s="1" t="s">
        <v>542</v>
      </c>
      <c r="N272" s="1"/>
      <c r="O272" s="1" t="s">
        <v>543</v>
      </c>
      <c r="P272" s="2">
        <v>44146</v>
      </c>
      <c r="Q272" s="8" t="str">
        <f t="shared" si="4"/>
        <v>SUPPORTED WITHIN 2DAYS</v>
      </c>
      <c r="R272" s="8" t="s">
        <v>1272</v>
      </c>
      <c r="S272" s="1">
        <v>0</v>
      </c>
      <c r="T272" s="1" t="s">
        <v>544</v>
      </c>
      <c r="U272" s="1" t="str">
        <f>VLOOKUP(T272,personnel!A$1:B$4,2,FALSE)</f>
        <v>Velasquez, Jayson Alon</v>
      </c>
      <c r="V272" s="3">
        <v>44146.682881944442</v>
      </c>
    </row>
    <row r="273" spans="1:22" x14ac:dyDescent="0.25">
      <c r="A273" s="1" t="s">
        <v>815</v>
      </c>
      <c r="B273" s="1" t="s">
        <v>19</v>
      </c>
      <c r="C273" s="1" t="s">
        <v>166</v>
      </c>
      <c r="D273" s="1" t="s">
        <v>816</v>
      </c>
      <c r="E273" s="2">
        <v>44147</v>
      </c>
      <c r="F273" s="1" t="s">
        <v>817</v>
      </c>
      <c r="G273" s="1" t="s">
        <v>818</v>
      </c>
      <c r="H273" s="1"/>
      <c r="I273" s="1" t="s">
        <v>41</v>
      </c>
      <c r="J273" s="1" t="s">
        <v>272</v>
      </c>
      <c r="K273" s="1">
        <v>0</v>
      </c>
      <c r="L273" s="1"/>
      <c r="M273" s="1"/>
      <c r="N273" s="1"/>
      <c r="O273" s="1"/>
      <c r="P273" s="2">
        <v>44147</v>
      </c>
      <c r="Q273" s="8" t="str">
        <f t="shared" si="4"/>
        <v>SUPPORTED WITHIN 2DAYS</v>
      </c>
      <c r="R273" s="8" t="s">
        <v>1272</v>
      </c>
      <c r="S273" s="1">
        <v>0</v>
      </c>
      <c r="T273" s="1" t="s">
        <v>246</v>
      </c>
      <c r="U273" s="1" t="str">
        <f>VLOOKUP(T273,personnel!A$1:B$4,2,FALSE)</f>
        <v>Macarling, Federico Jr Romano</v>
      </c>
      <c r="V273" s="3">
        <v>44147.456400462965</v>
      </c>
    </row>
    <row r="274" spans="1:22" x14ac:dyDescent="0.25">
      <c r="A274" s="1" t="s">
        <v>18</v>
      </c>
      <c r="B274" s="1" t="s">
        <v>32</v>
      </c>
      <c r="C274" s="1" t="s">
        <v>20</v>
      </c>
      <c r="D274" s="1" t="s">
        <v>819</v>
      </c>
      <c r="E274" s="2">
        <v>44147</v>
      </c>
      <c r="F274" s="1" t="s">
        <v>22</v>
      </c>
      <c r="G274" s="1" t="s">
        <v>820</v>
      </c>
      <c r="H274" s="1" t="s">
        <v>244</v>
      </c>
      <c r="I274" s="1" t="s">
        <v>25</v>
      </c>
      <c r="J274" s="1" t="s">
        <v>563</v>
      </c>
      <c r="K274" s="1">
        <v>0</v>
      </c>
      <c r="L274" s="1"/>
      <c r="M274" s="1" t="s">
        <v>244</v>
      </c>
      <c r="N274" s="1" t="s">
        <v>821</v>
      </c>
      <c r="O274" s="1" t="s">
        <v>245</v>
      </c>
      <c r="P274" s="2">
        <v>44148</v>
      </c>
      <c r="Q274" s="8" t="str">
        <f t="shared" si="4"/>
        <v>SUPPORTED WITHIN 2DAYS</v>
      </c>
      <c r="R274" s="8" t="s">
        <v>1272</v>
      </c>
      <c r="S274" s="1">
        <v>4</v>
      </c>
      <c r="T274" s="1" t="s">
        <v>246</v>
      </c>
      <c r="U274" s="1" t="str">
        <f>VLOOKUP(T274,personnel!A$1:B$4,2,FALSE)</f>
        <v>Macarling, Federico Jr Romano</v>
      </c>
      <c r="V274" s="3">
        <v>44147.456770833334</v>
      </c>
    </row>
    <row r="275" spans="1:22" x14ac:dyDescent="0.25">
      <c r="A275" s="1" t="s">
        <v>18</v>
      </c>
      <c r="B275" s="1" t="s">
        <v>50</v>
      </c>
      <c r="C275" s="1" t="s">
        <v>20</v>
      </c>
      <c r="D275" s="1" t="s">
        <v>822</v>
      </c>
      <c r="E275" s="2">
        <v>44147</v>
      </c>
      <c r="F275" s="1" t="s">
        <v>22</v>
      </c>
      <c r="G275" s="1" t="s">
        <v>823</v>
      </c>
      <c r="H275" s="1" t="s">
        <v>824</v>
      </c>
      <c r="I275" s="1" t="s">
        <v>25</v>
      </c>
      <c r="J275" s="1" t="s">
        <v>563</v>
      </c>
      <c r="K275" s="1">
        <v>0</v>
      </c>
      <c r="L275" s="1"/>
      <c r="M275" s="1" t="s">
        <v>244</v>
      </c>
      <c r="N275" s="1" t="s">
        <v>821</v>
      </c>
      <c r="O275" s="1" t="s">
        <v>245</v>
      </c>
      <c r="P275" s="2">
        <v>44148</v>
      </c>
      <c r="Q275" s="8" t="str">
        <f t="shared" si="4"/>
        <v>SUPPORTED WITHIN 2DAYS</v>
      </c>
      <c r="R275" s="8" t="s">
        <v>1272</v>
      </c>
      <c r="S275" s="1">
        <v>3</v>
      </c>
      <c r="T275" s="1" t="s">
        <v>246</v>
      </c>
      <c r="U275" s="1" t="str">
        <f>VLOOKUP(T275,personnel!A$1:B$4,2,FALSE)</f>
        <v>Macarling, Federico Jr Romano</v>
      </c>
      <c r="V275" s="3">
        <v>44147.457280092596</v>
      </c>
    </row>
    <row r="276" spans="1:22" x14ac:dyDescent="0.25">
      <c r="A276" s="1" t="s">
        <v>18</v>
      </c>
      <c r="B276" s="1" t="s">
        <v>50</v>
      </c>
      <c r="C276" s="1" t="s">
        <v>20</v>
      </c>
      <c r="D276" s="1" t="s">
        <v>825</v>
      </c>
      <c r="E276" s="2">
        <v>44147</v>
      </c>
      <c r="F276" s="1" t="s">
        <v>22</v>
      </c>
      <c r="G276" s="1" t="s">
        <v>826</v>
      </c>
      <c r="H276" s="1" t="s">
        <v>827</v>
      </c>
      <c r="I276" s="1" t="s">
        <v>25</v>
      </c>
      <c r="J276" s="1" t="s">
        <v>563</v>
      </c>
      <c r="K276" s="1">
        <v>0</v>
      </c>
      <c r="L276" s="1"/>
      <c r="M276" s="1" t="s">
        <v>828</v>
      </c>
      <c r="N276" s="1" t="s">
        <v>681</v>
      </c>
      <c r="O276" s="1" t="s">
        <v>245</v>
      </c>
      <c r="P276" s="2">
        <v>44148</v>
      </c>
      <c r="Q276" s="8" t="str">
        <f t="shared" si="4"/>
        <v>SUPPORTED WITHIN 2DAYS</v>
      </c>
      <c r="R276" s="8" t="s">
        <v>1272</v>
      </c>
      <c r="S276" s="1">
        <v>3</v>
      </c>
      <c r="T276" s="1" t="s">
        <v>246</v>
      </c>
      <c r="U276" s="1" t="str">
        <f>VLOOKUP(T276,personnel!A$1:B$4,2,FALSE)</f>
        <v>Macarling, Federico Jr Romano</v>
      </c>
      <c r="V276" s="3">
        <v>44147.458020833335</v>
      </c>
    </row>
    <row r="277" spans="1:22" x14ac:dyDescent="0.25">
      <c r="A277" s="1" t="s">
        <v>172</v>
      </c>
      <c r="B277" s="1" t="s">
        <v>50</v>
      </c>
      <c r="C277" s="1" t="s">
        <v>20</v>
      </c>
      <c r="D277" s="1" t="s">
        <v>829</v>
      </c>
      <c r="E277" s="2">
        <v>44148</v>
      </c>
      <c r="F277" s="1" t="s">
        <v>174</v>
      </c>
      <c r="G277" s="1" t="s">
        <v>830</v>
      </c>
      <c r="H277" s="1" t="s">
        <v>831</v>
      </c>
      <c r="I277" s="1" t="s">
        <v>25</v>
      </c>
      <c r="J277" s="1" t="s">
        <v>563</v>
      </c>
      <c r="K277" s="1">
        <v>0</v>
      </c>
      <c r="L277" s="1"/>
      <c r="M277" s="1" t="s">
        <v>244</v>
      </c>
      <c r="N277" s="1"/>
      <c r="O277" s="1" t="s">
        <v>245</v>
      </c>
      <c r="P277" s="2">
        <v>44148</v>
      </c>
      <c r="Q277" s="8" t="str">
        <f t="shared" si="4"/>
        <v>SUPPORTED WITHIN 2DAYS</v>
      </c>
      <c r="R277" s="8" t="s">
        <v>1272</v>
      </c>
      <c r="S277" s="1">
        <v>3</v>
      </c>
      <c r="T277" s="1" t="s">
        <v>246</v>
      </c>
      <c r="U277" s="1" t="str">
        <f>VLOOKUP(T277,personnel!A$1:B$4,2,FALSE)</f>
        <v>Macarling, Federico Jr Romano</v>
      </c>
      <c r="V277" s="3">
        <v>44148.354085648149</v>
      </c>
    </row>
    <row r="278" spans="1:22" x14ac:dyDescent="0.25">
      <c r="A278" s="1" t="s">
        <v>61</v>
      </c>
      <c r="B278" s="1" t="s">
        <v>50</v>
      </c>
      <c r="C278" s="1" t="s">
        <v>20</v>
      </c>
      <c r="D278" s="1" t="s">
        <v>832</v>
      </c>
      <c r="E278" s="2">
        <v>44147</v>
      </c>
      <c r="F278" s="1" t="s">
        <v>63</v>
      </c>
      <c r="G278" s="1" t="s">
        <v>833</v>
      </c>
      <c r="H278" s="1" t="s">
        <v>828</v>
      </c>
      <c r="I278" s="1" t="s">
        <v>25</v>
      </c>
      <c r="J278" s="1" t="s">
        <v>563</v>
      </c>
      <c r="K278" s="1">
        <v>0</v>
      </c>
      <c r="L278" s="1"/>
      <c r="M278" s="1" t="s">
        <v>244</v>
      </c>
      <c r="N278" s="1"/>
      <c r="O278" s="1" t="s">
        <v>245</v>
      </c>
      <c r="P278" s="2">
        <v>44148</v>
      </c>
      <c r="Q278" s="8" t="str">
        <f t="shared" si="4"/>
        <v>SUPPORTED WITHIN 2DAYS</v>
      </c>
      <c r="R278" s="8" t="s">
        <v>1272</v>
      </c>
      <c r="S278" s="1">
        <v>3</v>
      </c>
      <c r="T278" s="1" t="s">
        <v>246</v>
      </c>
      <c r="U278" s="1" t="str">
        <f>VLOOKUP(T278,personnel!A$1:B$4,2,FALSE)</f>
        <v>Macarling, Federico Jr Romano</v>
      </c>
      <c r="V278" s="3">
        <v>44148.354583333334</v>
      </c>
    </row>
    <row r="279" spans="1:22" x14ac:dyDescent="0.25">
      <c r="A279" s="1" t="s">
        <v>18</v>
      </c>
      <c r="B279" s="1" t="s">
        <v>19</v>
      </c>
      <c r="C279" s="1" t="s">
        <v>20</v>
      </c>
      <c r="D279" s="1" t="s">
        <v>834</v>
      </c>
      <c r="E279" s="2">
        <v>44148</v>
      </c>
      <c r="F279" s="1" t="s">
        <v>22</v>
      </c>
      <c r="G279" s="1" t="s">
        <v>835</v>
      </c>
      <c r="H279" s="1" t="s">
        <v>836</v>
      </c>
      <c r="I279" s="1" t="s">
        <v>25</v>
      </c>
      <c r="J279" s="1" t="s">
        <v>652</v>
      </c>
      <c r="K279" s="1">
        <v>0</v>
      </c>
      <c r="L279" s="1"/>
      <c r="M279" s="1" t="s">
        <v>542</v>
      </c>
      <c r="N279" s="1"/>
      <c r="O279" s="1" t="s">
        <v>543</v>
      </c>
      <c r="P279" s="2">
        <v>44148</v>
      </c>
      <c r="Q279" s="8" t="str">
        <f t="shared" si="4"/>
        <v>SUPPORTED WITHIN 2DAYS</v>
      </c>
      <c r="R279" s="8" t="s">
        <v>1272</v>
      </c>
      <c r="S279" s="1">
        <v>0</v>
      </c>
      <c r="T279" s="1" t="s">
        <v>544</v>
      </c>
      <c r="U279" s="1" t="str">
        <f>VLOOKUP(T279,personnel!A$1:B$4,2,FALSE)</f>
        <v>Velasquez, Jayson Alon</v>
      </c>
      <c r="V279" s="3">
        <v>44148.415844907409</v>
      </c>
    </row>
    <row r="280" spans="1:22" x14ac:dyDescent="0.25">
      <c r="A280" s="1" t="s">
        <v>18</v>
      </c>
      <c r="B280" s="1" t="s">
        <v>19</v>
      </c>
      <c r="C280" s="1" t="s">
        <v>20</v>
      </c>
      <c r="D280" s="1" t="s">
        <v>837</v>
      </c>
      <c r="E280" s="2">
        <v>44148</v>
      </c>
      <c r="F280" s="1" t="s">
        <v>22</v>
      </c>
      <c r="G280" s="1" t="s">
        <v>838</v>
      </c>
      <c r="H280" s="1" t="s">
        <v>839</v>
      </c>
      <c r="I280" s="1" t="s">
        <v>41</v>
      </c>
      <c r="J280" s="1" t="s">
        <v>563</v>
      </c>
      <c r="K280" s="1">
        <v>0</v>
      </c>
      <c r="L280" s="1"/>
      <c r="M280" s="1" t="s">
        <v>542</v>
      </c>
      <c r="N280" s="1"/>
      <c r="O280" s="1" t="s">
        <v>543</v>
      </c>
      <c r="P280" s="2">
        <v>44148</v>
      </c>
      <c r="Q280" s="8" t="str">
        <f t="shared" si="4"/>
        <v>SUPPORTED WITHIN 2DAYS</v>
      </c>
      <c r="R280" s="8" t="s">
        <v>1272</v>
      </c>
      <c r="S280" s="1">
        <v>0</v>
      </c>
      <c r="T280" s="1" t="s">
        <v>544</v>
      </c>
      <c r="U280" s="1" t="str">
        <f>VLOOKUP(T280,personnel!A$1:B$4,2,FALSE)</f>
        <v>Velasquez, Jayson Alon</v>
      </c>
      <c r="V280" s="3">
        <v>44148.416990740741</v>
      </c>
    </row>
    <row r="281" spans="1:22" x14ac:dyDescent="0.25">
      <c r="A281" s="1" t="s">
        <v>18</v>
      </c>
      <c r="B281" s="1" t="s">
        <v>50</v>
      </c>
      <c r="C281" s="1" t="s">
        <v>20</v>
      </c>
      <c r="D281" s="1" t="s">
        <v>840</v>
      </c>
      <c r="E281" s="2">
        <v>44147</v>
      </c>
      <c r="F281" s="1" t="s">
        <v>22</v>
      </c>
      <c r="G281" s="1" t="s">
        <v>841</v>
      </c>
      <c r="H281" s="1" t="s">
        <v>842</v>
      </c>
      <c r="I281" s="1" t="s">
        <v>25</v>
      </c>
      <c r="J281" s="1" t="s">
        <v>563</v>
      </c>
      <c r="K281" s="1">
        <v>0</v>
      </c>
      <c r="L281" s="1"/>
      <c r="M281" s="1" t="s">
        <v>244</v>
      </c>
      <c r="N281" s="1" t="s">
        <v>843</v>
      </c>
      <c r="O281" s="1" t="s">
        <v>245</v>
      </c>
      <c r="P281" s="2">
        <v>44148</v>
      </c>
      <c r="Q281" s="8" t="str">
        <f t="shared" si="4"/>
        <v>SUPPORTED WITHIN 2DAYS</v>
      </c>
      <c r="R281" s="8" t="s">
        <v>1272</v>
      </c>
      <c r="S281" s="1">
        <v>3</v>
      </c>
      <c r="T281" s="1" t="s">
        <v>246</v>
      </c>
      <c r="U281" s="1" t="str">
        <f>VLOOKUP(T281,personnel!A$1:B$4,2,FALSE)</f>
        <v>Macarling, Federico Jr Romano</v>
      </c>
      <c r="V281" s="3">
        <v>44148.423148148147</v>
      </c>
    </row>
    <row r="282" spans="1:22" x14ac:dyDescent="0.25">
      <c r="A282" s="1" t="s">
        <v>18</v>
      </c>
      <c r="B282" s="1" t="s">
        <v>50</v>
      </c>
      <c r="C282" s="1" t="s">
        <v>20</v>
      </c>
      <c r="D282" s="1" t="s">
        <v>844</v>
      </c>
      <c r="E282" s="2">
        <v>44147</v>
      </c>
      <c r="F282" s="1" t="s">
        <v>22</v>
      </c>
      <c r="G282" s="1" t="s">
        <v>845</v>
      </c>
      <c r="H282" s="1" t="s">
        <v>244</v>
      </c>
      <c r="I282" s="1" t="s">
        <v>25</v>
      </c>
      <c r="J282" s="1" t="s">
        <v>563</v>
      </c>
      <c r="K282" s="1">
        <v>0</v>
      </c>
      <c r="L282" s="1"/>
      <c r="M282" s="1" t="s">
        <v>244</v>
      </c>
      <c r="N282" s="1" t="s">
        <v>467</v>
      </c>
      <c r="O282" s="1" t="s">
        <v>245</v>
      </c>
      <c r="P282" s="2">
        <v>44148</v>
      </c>
      <c r="Q282" s="8" t="str">
        <f t="shared" si="4"/>
        <v>SUPPORTED WITHIN 2DAYS</v>
      </c>
      <c r="R282" s="8" t="s">
        <v>1272</v>
      </c>
      <c r="S282" s="1">
        <v>3</v>
      </c>
      <c r="T282" s="1" t="s">
        <v>246</v>
      </c>
      <c r="U282" s="1" t="str">
        <f>VLOOKUP(T282,personnel!A$1:B$4,2,FALSE)</f>
        <v>Macarling, Federico Jr Romano</v>
      </c>
      <c r="V282" s="3">
        <v>44148.423587962963</v>
      </c>
    </row>
    <row r="283" spans="1:22" x14ac:dyDescent="0.25">
      <c r="A283" s="1" t="s">
        <v>18</v>
      </c>
      <c r="B283" s="1" t="s">
        <v>50</v>
      </c>
      <c r="C283" s="1" t="s">
        <v>20</v>
      </c>
      <c r="D283" s="1" t="s">
        <v>846</v>
      </c>
      <c r="E283" s="2">
        <v>44148</v>
      </c>
      <c r="F283" s="1" t="s">
        <v>22</v>
      </c>
      <c r="G283" s="1" t="s">
        <v>847</v>
      </c>
      <c r="H283" s="1" t="s">
        <v>848</v>
      </c>
      <c r="I283" s="1" t="s">
        <v>25</v>
      </c>
      <c r="J283" s="1" t="s">
        <v>563</v>
      </c>
      <c r="K283" s="1">
        <v>0</v>
      </c>
      <c r="L283" s="1"/>
      <c r="M283" s="1" t="s">
        <v>244</v>
      </c>
      <c r="N283" s="1" t="s">
        <v>849</v>
      </c>
      <c r="O283" s="1" t="s">
        <v>245</v>
      </c>
      <c r="P283" s="2">
        <v>44148</v>
      </c>
      <c r="Q283" s="8" t="str">
        <f t="shared" si="4"/>
        <v>SUPPORTED WITHIN 2DAYS</v>
      </c>
      <c r="R283" s="8" t="s">
        <v>1272</v>
      </c>
      <c r="S283" s="1">
        <v>3</v>
      </c>
      <c r="T283" s="1" t="s">
        <v>246</v>
      </c>
      <c r="U283" s="1" t="str">
        <f>VLOOKUP(T283,personnel!A$1:B$4,2,FALSE)</f>
        <v>Macarling, Federico Jr Romano</v>
      </c>
      <c r="V283" s="3">
        <v>44148.423981481479</v>
      </c>
    </row>
    <row r="284" spans="1:22" x14ac:dyDescent="0.25">
      <c r="A284" s="1" t="s">
        <v>18</v>
      </c>
      <c r="B284" s="1" t="s">
        <v>50</v>
      </c>
      <c r="C284" s="1" t="s">
        <v>20</v>
      </c>
      <c r="D284" s="1" t="s">
        <v>850</v>
      </c>
      <c r="E284" s="2">
        <v>44147</v>
      </c>
      <c r="F284" s="1" t="s">
        <v>22</v>
      </c>
      <c r="G284" s="1" t="s">
        <v>851</v>
      </c>
      <c r="H284" s="1" t="s">
        <v>848</v>
      </c>
      <c r="I284" s="1" t="s">
        <v>25</v>
      </c>
      <c r="J284" s="1" t="s">
        <v>563</v>
      </c>
      <c r="K284" s="1">
        <v>0</v>
      </c>
      <c r="L284" s="1"/>
      <c r="M284" s="1" t="s">
        <v>244</v>
      </c>
      <c r="N284" s="1" t="s">
        <v>852</v>
      </c>
      <c r="O284" s="1" t="s">
        <v>245</v>
      </c>
      <c r="P284" s="2">
        <v>44148</v>
      </c>
      <c r="Q284" s="8" t="str">
        <f t="shared" si="4"/>
        <v>SUPPORTED WITHIN 2DAYS</v>
      </c>
      <c r="R284" s="8" t="s">
        <v>1272</v>
      </c>
      <c r="S284" s="1">
        <v>3</v>
      </c>
      <c r="T284" s="1" t="s">
        <v>246</v>
      </c>
      <c r="U284" s="1" t="str">
        <f>VLOOKUP(T284,personnel!A$1:B$4,2,FALSE)</f>
        <v>Macarling, Federico Jr Romano</v>
      </c>
      <c r="V284" s="3">
        <v>44148.424351851849</v>
      </c>
    </row>
    <row r="285" spans="1:22" x14ac:dyDescent="0.25">
      <c r="A285" s="1" t="s">
        <v>18</v>
      </c>
      <c r="B285" s="1" t="s">
        <v>32</v>
      </c>
      <c r="C285" s="1" t="s">
        <v>166</v>
      </c>
      <c r="D285" s="1" t="s">
        <v>853</v>
      </c>
      <c r="E285" s="2">
        <v>44148</v>
      </c>
      <c r="F285" s="1" t="s">
        <v>22</v>
      </c>
      <c r="G285" s="1" t="s">
        <v>854</v>
      </c>
      <c r="H285" s="1" t="s">
        <v>855</v>
      </c>
      <c r="I285" s="1" t="s">
        <v>25</v>
      </c>
      <c r="J285" s="1" t="s">
        <v>563</v>
      </c>
      <c r="K285" s="1">
        <v>0</v>
      </c>
      <c r="L285" s="1"/>
      <c r="M285" s="1" t="s">
        <v>244</v>
      </c>
      <c r="N285" s="1" t="s">
        <v>145</v>
      </c>
      <c r="O285" s="1" t="s">
        <v>245</v>
      </c>
      <c r="P285" s="2">
        <v>44148</v>
      </c>
      <c r="Q285" s="8" t="str">
        <f t="shared" si="4"/>
        <v>SUPPORTED WITHIN 2DAYS</v>
      </c>
      <c r="R285" s="8" t="s">
        <v>1272</v>
      </c>
      <c r="S285" s="1">
        <v>4</v>
      </c>
      <c r="T285" s="1" t="s">
        <v>246</v>
      </c>
      <c r="U285" s="1" t="str">
        <f>VLOOKUP(T285,personnel!A$1:B$4,2,FALSE)</f>
        <v>Macarling, Federico Jr Romano</v>
      </c>
      <c r="V285" s="3">
        <v>44148.440335648149</v>
      </c>
    </row>
    <row r="286" spans="1:22" x14ac:dyDescent="0.25">
      <c r="A286" s="1" t="s">
        <v>18</v>
      </c>
      <c r="B286" s="1" t="s">
        <v>19</v>
      </c>
      <c r="C286" s="1" t="s">
        <v>166</v>
      </c>
      <c r="D286" s="1" t="s">
        <v>856</v>
      </c>
      <c r="E286" s="2">
        <v>44147</v>
      </c>
      <c r="F286" s="1" t="s">
        <v>22</v>
      </c>
      <c r="G286" s="1" t="s">
        <v>857</v>
      </c>
      <c r="H286" s="1" t="s">
        <v>858</v>
      </c>
      <c r="I286" s="1" t="s">
        <v>25</v>
      </c>
      <c r="J286" s="1" t="s">
        <v>563</v>
      </c>
      <c r="K286" s="1">
        <v>0</v>
      </c>
      <c r="L286" s="1"/>
      <c r="M286" s="1" t="s">
        <v>859</v>
      </c>
      <c r="N286" s="1" t="s">
        <v>136</v>
      </c>
      <c r="O286" s="1" t="s">
        <v>543</v>
      </c>
      <c r="P286" s="2">
        <v>44148</v>
      </c>
      <c r="Q286" s="8" t="str">
        <f t="shared" si="4"/>
        <v>SUPPORTED WITHIN 2DAYS</v>
      </c>
      <c r="R286" s="8" t="s">
        <v>1272</v>
      </c>
      <c r="S286" s="1">
        <v>0</v>
      </c>
      <c r="T286" s="1" t="s">
        <v>246</v>
      </c>
      <c r="U286" s="1" t="str">
        <f>VLOOKUP(T286,personnel!A$1:B$4,2,FALSE)</f>
        <v>Macarling, Federico Jr Romano</v>
      </c>
      <c r="V286" s="3">
        <v>44148.447280092594</v>
      </c>
    </row>
    <row r="287" spans="1:22" x14ac:dyDescent="0.25">
      <c r="A287" s="1" t="s">
        <v>265</v>
      </c>
      <c r="B287" s="1" t="s">
        <v>19</v>
      </c>
      <c r="C287" s="1" t="s">
        <v>166</v>
      </c>
      <c r="D287" s="1" t="s">
        <v>860</v>
      </c>
      <c r="E287" s="2">
        <v>44148</v>
      </c>
      <c r="F287" s="1" t="s">
        <v>267</v>
      </c>
      <c r="G287" s="1" t="s">
        <v>861</v>
      </c>
      <c r="H287" s="1"/>
      <c r="I287" s="1" t="s">
        <v>41</v>
      </c>
      <c r="J287" s="1" t="s">
        <v>287</v>
      </c>
      <c r="K287" s="1">
        <v>0</v>
      </c>
      <c r="L287" s="1"/>
      <c r="M287" s="1"/>
      <c r="N287" s="1" t="s">
        <v>862</v>
      </c>
      <c r="O287" s="1"/>
      <c r="P287" s="2">
        <v>44148</v>
      </c>
      <c r="Q287" s="8" t="str">
        <f t="shared" si="4"/>
        <v>SUPPORTED WITHIN 2DAYS</v>
      </c>
      <c r="R287" s="8" t="s">
        <v>1272</v>
      </c>
      <c r="S287" s="1">
        <v>0</v>
      </c>
      <c r="T287" s="1" t="s">
        <v>246</v>
      </c>
      <c r="U287" s="1" t="str">
        <f>VLOOKUP(T287,personnel!A$1:B$4,2,FALSE)</f>
        <v>Macarling, Federico Jr Romano</v>
      </c>
      <c r="V287" s="3">
        <v>44148.453518518516</v>
      </c>
    </row>
    <row r="288" spans="1:22" x14ac:dyDescent="0.25">
      <c r="A288" s="1" t="s">
        <v>18</v>
      </c>
      <c r="B288" s="1" t="s">
        <v>19</v>
      </c>
      <c r="C288" s="1" t="s">
        <v>20</v>
      </c>
      <c r="D288" s="1" t="s">
        <v>863</v>
      </c>
      <c r="E288" s="2">
        <v>44148</v>
      </c>
      <c r="F288" s="1" t="s">
        <v>22</v>
      </c>
      <c r="G288" s="1" t="s">
        <v>864</v>
      </c>
      <c r="H288" s="1" t="s">
        <v>865</v>
      </c>
      <c r="I288" s="1" t="s">
        <v>797</v>
      </c>
      <c r="J288" s="1" t="s">
        <v>652</v>
      </c>
      <c r="K288" s="1">
        <v>0</v>
      </c>
      <c r="L288" s="1"/>
      <c r="M288" s="1" t="s">
        <v>542</v>
      </c>
      <c r="N288" s="1"/>
      <c r="O288" s="1" t="s">
        <v>543</v>
      </c>
      <c r="P288" s="2">
        <v>44148</v>
      </c>
      <c r="Q288" s="8" t="str">
        <f t="shared" si="4"/>
        <v>SUPPORTED WITHIN 2DAYS</v>
      </c>
      <c r="R288" s="8" t="s">
        <v>1272</v>
      </c>
      <c r="S288" s="1">
        <v>0</v>
      </c>
      <c r="T288" s="1" t="s">
        <v>544</v>
      </c>
      <c r="U288" s="1" t="str">
        <f>VLOOKUP(T288,personnel!A$1:B$4,2,FALSE)</f>
        <v>Velasquez, Jayson Alon</v>
      </c>
      <c r="V288" s="3">
        <v>44148.61614583333</v>
      </c>
    </row>
    <row r="289" spans="1:22" x14ac:dyDescent="0.25">
      <c r="A289" s="1" t="s">
        <v>194</v>
      </c>
      <c r="B289" s="1" t="s">
        <v>19</v>
      </c>
      <c r="C289" s="1" t="s">
        <v>166</v>
      </c>
      <c r="D289" s="1" t="s">
        <v>866</v>
      </c>
      <c r="E289" s="2">
        <v>44148</v>
      </c>
      <c r="F289" s="1" t="s">
        <v>196</v>
      </c>
      <c r="G289" s="1" t="s">
        <v>867</v>
      </c>
      <c r="H289" s="1"/>
      <c r="I289" s="1" t="s">
        <v>95</v>
      </c>
      <c r="J289" s="1" t="s">
        <v>26</v>
      </c>
      <c r="K289" s="1">
        <v>0</v>
      </c>
      <c r="L289" s="1"/>
      <c r="M289" s="1"/>
      <c r="N289" s="1" t="s">
        <v>868</v>
      </c>
      <c r="O289" s="1"/>
      <c r="P289" s="2">
        <v>44148</v>
      </c>
      <c r="Q289" s="8" t="str">
        <f t="shared" si="4"/>
        <v>SUPPORTED WITHIN 2DAYS</v>
      </c>
      <c r="R289" s="8" t="s">
        <v>1272</v>
      </c>
      <c r="S289" s="1">
        <v>0</v>
      </c>
      <c r="T289" s="1" t="s">
        <v>246</v>
      </c>
      <c r="U289" s="1" t="str">
        <f>VLOOKUP(T289,personnel!A$1:B$4,2,FALSE)</f>
        <v>Macarling, Federico Jr Romano</v>
      </c>
      <c r="V289" s="3">
        <v>44148.622615740744</v>
      </c>
    </row>
    <row r="290" spans="1:22" x14ac:dyDescent="0.25">
      <c r="A290" s="1" t="s">
        <v>194</v>
      </c>
      <c r="B290" s="1" t="s">
        <v>19</v>
      </c>
      <c r="C290" s="1" t="s">
        <v>166</v>
      </c>
      <c r="D290" s="1" t="s">
        <v>869</v>
      </c>
      <c r="E290" s="2">
        <v>44148</v>
      </c>
      <c r="F290" s="1" t="s">
        <v>196</v>
      </c>
      <c r="G290" s="1" t="s">
        <v>870</v>
      </c>
      <c r="H290" s="1"/>
      <c r="I290" s="1" t="s">
        <v>95</v>
      </c>
      <c r="J290" s="1" t="s">
        <v>26</v>
      </c>
      <c r="K290" s="1">
        <v>0</v>
      </c>
      <c r="L290" s="1"/>
      <c r="M290" s="1"/>
      <c r="N290" s="1" t="s">
        <v>868</v>
      </c>
      <c r="O290" s="1"/>
      <c r="P290" s="2">
        <v>44148</v>
      </c>
      <c r="Q290" s="8" t="str">
        <f t="shared" si="4"/>
        <v>SUPPORTED WITHIN 2DAYS</v>
      </c>
      <c r="R290" s="8" t="s">
        <v>1272</v>
      </c>
      <c r="S290" s="1">
        <v>0</v>
      </c>
      <c r="T290" s="1" t="s">
        <v>246</v>
      </c>
      <c r="U290" s="1" t="str">
        <f>VLOOKUP(T290,personnel!A$1:B$4,2,FALSE)</f>
        <v>Macarling, Federico Jr Romano</v>
      </c>
      <c r="V290" s="3">
        <v>44148.622847222221</v>
      </c>
    </row>
    <row r="291" spans="1:22" x14ac:dyDescent="0.25">
      <c r="A291" s="1" t="s">
        <v>250</v>
      </c>
      <c r="B291" s="1" t="s">
        <v>19</v>
      </c>
      <c r="C291" s="1" t="s">
        <v>166</v>
      </c>
      <c r="D291" s="1" t="s">
        <v>871</v>
      </c>
      <c r="E291" s="2">
        <v>44148</v>
      </c>
      <c r="F291" s="1" t="s">
        <v>252</v>
      </c>
      <c r="G291" s="1" t="s">
        <v>872</v>
      </c>
      <c r="H291" s="1"/>
      <c r="I291" s="1" t="s">
        <v>25</v>
      </c>
      <c r="J291" s="1" t="s">
        <v>26</v>
      </c>
      <c r="K291" s="1">
        <v>1</v>
      </c>
      <c r="L291" s="1"/>
      <c r="M291" s="1"/>
      <c r="N291" s="1" t="s">
        <v>868</v>
      </c>
      <c r="O291" s="1"/>
      <c r="P291" s="2">
        <v>44148</v>
      </c>
      <c r="Q291" s="8" t="str">
        <f t="shared" si="4"/>
        <v>SUPPORTED WITHIN 2DAYS</v>
      </c>
      <c r="R291" s="8" t="s">
        <v>1272</v>
      </c>
      <c r="S291" s="1">
        <v>0</v>
      </c>
      <c r="T291" s="1" t="s">
        <v>246</v>
      </c>
      <c r="U291" s="1" t="str">
        <f>VLOOKUP(T291,personnel!A$1:B$4,2,FALSE)</f>
        <v>Macarling, Federico Jr Romano</v>
      </c>
      <c r="V291" s="3">
        <v>44148.624201388891</v>
      </c>
    </row>
    <row r="292" spans="1:22" x14ac:dyDescent="0.25">
      <c r="A292" s="1" t="s">
        <v>18</v>
      </c>
      <c r="B292" s="1" t="s">
        <v>19</v>
      </c>
      <c r="C292" s="1" t="s">
        <v>20</v>
      </c>
      <c r="D292" s="1" t="s">
        <v>873</v>
      </c>
      <c r="E292" s="2">
        <v>44149</v>
      </c>
      <c r="F292" s="1" t="s">
        <v>22</v>
      </c>
      <c r="G292" s="1" t="s">
        <v>874</v>
      </c>
      <c r="H292" s="1" t="s">
        <v>875</v>
      </c>
      <c r="I292" s="1" t="s">
        <v>95</v>
      </c>
      <c r="J292" s="1" t="s">
        <v>171</v>
      </c>
      <c r="K292" s="1">
        <v>0</v>
      </c>
      <c r="L292" s="1"/>
      <c r="M292" s="1" t="s">
        <v>542</v>
      </c>
      <c r="N292" s="1"/>
      <c r="O292" s="1" t="s">
        <v>543</v>
      </c>
      <c r="P292" s="2">
        <v>44149</v>
      </c>
      <c r="Q292" s="8" t="str">
        <f t="shared" si="4"/>
        <v>SUPPORTED WITHIN 2DAYS</v>
      </c>
      <c r="R292" s="8" t="s">
        <v>1272</v>
      </c>
      <c r="S292" s="1">
        <v>0</v>
      </c>
      <c r="T292" s="1" t="s">
        <v>544</v>
      </c>
      <c r="U292" s="1" t="str">
        <f>VLOOKUP(T292,personnel!A$1:B$4,2,FALSE)</f>
        <v>Velasquez, Jayson Alon</v>
      </c>
      <c r="V292" s="3">
        <v>44149.380023148151</v>
      </c>
    </row>
    <row r="293" spans="1:22" x14ac:dyDescent="0.25">
      <c r="A293" s="1" t="s">
        <v>18</v>
      </c>
      <c r="B293" s="1" t="s">
        <v>19</v>
      </c>
      <c r="C293" s="1" t="s">
        <v>20</v>
      </c>
      <c r="D293" s="1" t="s">
        <v>876</v>
      </c>
      <c r="E293" s="2">
        <v>44149</v>
      </c>
      <c r="F293" s="1" t="s">
        <v>22</v>
      </c>
      <c r="G293" s="1" t="s">
        <v>877</v>
      </c>
      <c r="H293" s="1" t="s">
        <v>878</v>
      </c>
      <c r="I293" s="1" t="s">
        <v>36</v>
      </c>
      <c r="J293" s="1" t="s">
        <v>171</v>
      </c>
      <c r="K293" s="1">
        <v>0</v>
      </c>
      <c r="L293" s="1"/>
      <c r="M293" s="1" t="s">
        <v>542</v>
      </c>
      <c r="N293" s="1"/>
      <c r="O293" s="1" t="s">
        <v>543</v>
      </c>
      <c r="P293" s="2">
        <v>44149</v>
      </c>
      <c r="Q293" s="8" t="str">
        <f t="shared" si="4"/>
        <v>SUPPORTED WITHIN 2DAYS</v>
      </c>
      <c r="R293" s="8" t="s">
        <v>1272</v>
      </c>
      <c r="S293" s="1">
        <v>0</v>
      </c>
      <c r="T293" s="1" t="s">
        <v>544</v>
      </c>
      <c r="U293" s="1" t="str">
        <f>VLOOKUP(T293,personnel!A$1:B$4,2,FALSE)</f>
        <v>Velasquez, Jayson Alon</v>
      </c>
      <c r="V293" s="3">
        <v>44149.386018518519</v>
      </c>
    </row>
    <row r="294" spans="1:22" x14ac:dyDescent="0.25">
      <c r="A294" s="1" t="s">
        <v>18</v>
      </c>
      <c r="B294" s="1" t="s">
        <v>19</v>
      </c>
      <c r="C294" s="1" t="s">
        <v>166</v>
      </c>
      <c r="D294" s="1" t="s">
        <v>879</v>
      </c>
      <c r="E294" s="2">
        <v>44149</v>
      </c>
      <c r="F294" s="1" t="s">
        <v>22</v>
      </c>
      <c r="G294" s="1" t="s">
        <v>880</v>
      </c>
      <c r="H294" s="1"/>
      <c r="I294" s="1" t="s">
        <v>95</v>
      </c>
      <c r="J294" s="1" t="s">
        <v>26</v>
      </c>
      <c r="K294" s="1">
        <v>0</v>
      </c>
      <c r="L294" s="1"/>
      <c r="M294" s="1"/>
      <c r="N294" s="1"/>
      <c r="O294" s="1"/>
      <c r="P294" s="2">
        <v>44149</v>
      </c>
      <c r="Q294" s="8" t="str">
        <f t="shared" si="4"/>
        <v>SUPPORTED WITHIN 2DAYS</v>
      </c>
      <c r="R294" s="8" t="s">
        <v>1272</v>
      </c>
      <c r="S294" s="1">
        <v>0</v>
      </c>
      <c r="T294" s="1" t="s">
        <v>246</v>
      </c>
      <c r="U294" s="1" t="str">
        <f>VLOOKUP(T294,personnel!A$1:B$4,2,FALSE)</f>
        <v>Macarling, Federico Jr Romano</v>
      </c>
      <c r="V294" s="3">
        <v>44149.438773148147</v>
      </c>
    </row>
    <row r="295" spans="1:22" x14ac:dyDescent="0.25">
      <c r="A295" s="1" t="s">
        <v>18</v>
      </c>
      <c r="B295" s="1" t="s">
        <v>19</v>
      </c>
      <c r="C295" s="1" t="s">
        <v>166</v>
      </c>
      <c r="D295" s="1" t="s">
        <v>881</v>
      </c>
      <c r="E295" s="2">
        <v>44149</v>
      </c>
      <c r="F295" s="1" t="s">
        <v>22</v>
      </c>
      <c r="G295" s="1" t="s">
        <v>882</v>
      </c>
      <c r="H295" s="1"/>
      <c r="I295" s="1" t="s">
        <v>95</v>
      </c>
      <c r="J295" s="1" t="s">
        <v>26</v>
      </c>
      <c r="K295" s="1">
        <v>0</v>
      </c>
      <c r="L295" s="1"/>
      <c r="M295" s="1"/>
      <c r="N295" s="1"/>
      <c r="O295" s="1"/>
      <c r="P295" s="2">
        <v>44149</v>
      </c>
      <c r="Q295" s="8" t="str">
        <f t="shared" si="4"/>
        <v>SUPPORTED WITHIN 2DAYS</v>
      </c>
      <c r="R295" s="8" t="s">
        <v>1272</v>
      </c>
      <c r="S295" s="1">
        <v>0</v>
      </c>
      <c r="T295" s="1" t="s">
        <v>246</v>
      </c>
      <c r="U295" s="1" t="str">
        <f>VLOOKUP(T295,personnel!A$1:B$4,2,FALSE)</f>
        <v>Macarling, Federico Jr Romano</v>
      </c>
      <c r="V295" s="3">
        <v>44149.43891203704</v>
      </c>
    </row>
    <row r="296" spans="1:22" x14ac:dyDescent="0.25">
      <c r="A296" s="1" t="s">
        <v>265</v>
      </c>
      <c r="B296" s="1" t="s">
        <v>19</v>
      </c>
      <c r="C296" s="1" t="s">
        <v>20</v>
      </c>
      <c r="D296" s="1" t="s">
        <v>883</v>
      </c>
      <c r="E296" s="2">
        <v>44149</v>
      </c>
      <c r="F296" s="1" t="s">
        <v>267</v>
      </c>
      <c r="G296" s="1" t="s">
        <v>884</v>
      </c>
      <c r="H296" s="1" t="s">
        <v>885</v>
      </c>
      <c r="I296" s="1" t="s">
        <v>41</v>
      </c>
      <c r="J296" s="1" t="s">
        <v>287</v>
      </c>
      <c r="K296" s="1">
        <v>0</v>
      </c>
      <c r="L296" s="1"/>
      <c r="M296" s="1" t="s">
        <v>244</v>
      </c>
      <c r="N296" s="1"/>
      <c r="O296" s="1" t="s">
        <v>245</v>
      </c>
      <c r="P296" s="2">
        <v>44151</v>
      </c>
      <c r="Q296" s="8" t="str">
        <f t="shared" si="4"/>
        <v>SUPPORTED WITHIN 2DAYS</v>
      </c>
      <c r="R296" s="8" t="s">
        <v>1272</v>
      </c>
      <c r="S296" s="1">
        <v>0</v>
      </c>
      <c r="T296" s="1" t="s">
        <v>246</v>
      </c>
      <c r="U296" s="1" t="str">
        <f>VLOOKUP(T296,personnel!A$1:B$4,2,FALSE)</f>
        <v>Macarling, Federico Jr Romano</v>
      </c>
      <c r="V296" s="3">
        <v>44149.462476851855</v>
      </c>
    </row>
    <row r="297" spans="1:22" x14ac:dyDescent="0.25">
      <c r="A297" s="1" t="s">
        <v>37</v>
      </c>
      <c r="B297" s="1" t="s">
        <v>19</v>
      </c>
      <c r="C297" s="1" t="s">
        <v>20</v>
      </c>
      <c r="D297" s="1" t="s">
        <v>886</v>
      </c>
      <c r="E297" s="2">
        <v>44149</v>
      </c>
      <c r="F297" s="1" t="s">
        <v>39</v>
      </c>
      <c r="G297" s="1" t="s">
        <v>887</v>
      </c>
      <c r="H297" s="1" t="s">
        <v>888</v>
      </c>
      <c r="I297" s="1" t="s">
        <v>41</v>
      </c>
      <c r="J297" s="1" t="s">
        <v>287</v>
      </c>
      <c r="K297" s="1">
        <v>0</v>
      </c>
      <c r="L297" s="1"/>
      <c r="M297" s="1" t="s">
        <v>244</v>
      </c>
      <c r="N297" s="1"/>
      <c r="O297" s="1" t="s">
        <v>245</v>
      </c>
      <c r="P297" s="2">
        <v>44151</v>
      </c>
      <c r="Q297" s="8" t="str">
        <f t="shared" si="4"/>
        <v>SUPPORTED WITHIN 2DAYS</v>
      </c>
      <c r="R297" s="8" t="s">
        <v>1272</v>
      </c>
      <c r="S297" s="1">
        <v>0</v>
      </c>
      <c r="T297" s="1" t="s">
        <v>246</v>
      </c>
      <c r="U297" s="1" t="str">
        <f>VLOOKUP(T297,personnel!A$1:B$4,2,FALSE)</f>
        <v>Macarling, Federico Jr Romano</v>
      </c>
      <c r="V297" s="3">
        <v>44149.489351851851</v>
      </c>
    </row>
    <row r="298" spans="1:22" x14ac:dyDescent="0.25">
      <c r="A298" s="1" t="s">
        <v>18</v>
      </c>
      <c r="B298" s="1" t="s">
        <v>50</v>
      </c>
      <c r="C298" s="1" t="s">
        <v>20</v>
      </c>
      <c r="D298" s="1" t="s">
        <v>889</v>
      </c>
      <c r="E298" s="2">
        <v>44149</v>
      </c>
      <c r="F298" s="1" t="s">
        <v>22</v>
      </c>
      <c r="G298" s="1" t="s">
        <v>890</v>
      </c>
      <c r="H298" s="1" t="s">
        <v>244</v>
      </c>
      <c r="I298" s="1" t="s">
        <v>41</v>
      </c>
      <c r="J298" s="1" t="s">
        <v>287</v>
      </c>
      <c r="K298" s="1">
        <v>0</v>
      </c>
      <c r="L298" s="1"/>
      <c r="M298" s="1" t="s">
        <v>244</v>
      </c>
      <c r="N298" s="1" t="s">
        <v>692</v>
      </c>
      <c r="O298" s="1" t="s">
        <v>245</v>
      </c>
      <c r="P298" s="2">
        <v>44151</v>
      </c>
      <c r="Q298" s="8" t="str">
        <f t="shared" si="4"/>
        <v>SUPPORTED WITHIN 2DAYS</v>
      </c>
      <c r="R298" s="8" t="s">
        <v>1272</v>
      </c>
      <c r="S298" s="1">
        <v>3</v>
      </c>
      <c r="T298" s="1" t="s">
        <v>246</v>
      </c>
      <c r="U298" s="1" t="str">
        <f>VLOOKUP(T298,personnel!A$1:B$4,2,FALSE)</f>
        <v>Macarling, Federico Jr Romano</v>
      </c>
      <c r="V298" s="3">
        <v>44149.490023148152</v>
      </c>
    </row>
    <row r="299" spans="1:22" x14ac:dyDescent="0.25">
      <c r="A299" s="1" t="s">
        <v>18</v>
      </c>
      <c r="B299" s="1" t="s">
        <v>50</v>
      </c>
      <c r="C299" s="1" t="s">
        <v>20</v>
      </c>
      <c r="D299" s="1" t="s">
        <v>891</v>
      </c>
      <c r="E299" s="2">
        <v>44149</v>
      </c>
      <c r="F299" s="1" t="s">
        <v>22</v>
      </c>
      <c r="G299" s="1" t="s">
        <v>892</v>
      </c>
      <c r="H299" s="1" t="s">
        <v>244</v>
      </c>
      <c r="I299" s="1" t="s">
        <v>41</v>
      </c>
      <c r="J299" s="1" t="s">
        <v>287</v>
      </c>
      <c r="K299" s="1">
        <v>0</v>
      </c>
      <c r="L299" s="1"/>
      <c r="M299" s="1" t="s">
        <v>244</v>
      </c>
      <c r="N299" s="1" t="s">
        <v>467</v>
      </c>
      <c r="O299" s="1" t="s">
        <v>245</v>
      </c>
      <c r="P299" s="2">
        <v>44151</v>
      </c>
      <c r="Q299" s="8" t="str">
        <f t="shared" si="4"/>
        <v>SUPPORTED WITHIN 2DAYS</v>
      </c>
      <c r="R299" s="8" t="s">
        <v>1272</v>
      </c>
      <c r="S299" s="1">
        <v>3</v>
      </c>
      <c r="T299" s="1" t="s">
        <v>246</v>
      </c>
      <c r="U299" s="1" t="str">
        <f>VLOOKUP(T299,personnel!A$1:B$4,2,FALSE)</f>
        <v>Macarling, Federico Jr Romano</v>
      </c>
      <c r="V299" s="3">
        <v>44149.544537037036</v>
      </c>
    </row>
    <row r="300" spans="1:22" x14ac:dyDescent="0.25">
      <c r="A300" s="1" t="s">
        <v>893</v>
      </c>
      <c r="B300" s="1" t="s">
        <v>19</v>
      </c>
      <c r="C300" s="1" t="s">
        <v>166</v>
      </c>
      <c r="D300" s="1" t="s">
        <v>894</v>
      </c>
      <c r="E300" s="2">
        <v>44149</v>
      </c>
      <c r="F300" s="1" t="s">
        <v>895</v>
      </c>
      <c r="G300" s="1" t="s">
        <v>896</v>
      </c>
      <c r="H300" s="1"/>
      <c r="I300" s="1" t="s">
        <v>25</v>
      </c>
      <c r="J300" s="1" t="s">
        <v>652</v>
      </c>
      <c r="K300" s="1">
        <v>0</v>
      </c>
      <c r="L300" s="1"/>
      <c r="M300" s="1"/>
      <c r="N300" s="1" t="s">
        <v>467</v>
      </c>
      <c r="O300" s="1"/>
      <c r="P300" s="2">
        <v>44149</v>
      </c>
      <c r="Q300" s="8" t="str">
        <f t="shared" si="4"/>
        <v>SUPPORTED WITHIN 2DAYS</v>
      </c>
      <c r="R300" s="8" t="s">
        <v>1272</v>
      </c>
      <c r="S300" s="1">
        <v>0</v>
      </c>
      <c r="T300" s="1" t="s">
        <v>246</v>
      </c>
      <c r="U300" s="1" t="str">
        <f>VLOOKUP(T300,personnel!A$1:B$4,2,FALSE)</f>
        <v>Macarling, Federico Jr Romano</v>
      </c>
      <c r="V300" s="3">
        <v>44149.568402777775</v>
      </c>
    </row>
    <row r="301" spans="1:22" x14ac:dyDescent="0.25">
      <c r="A301" s="1" t="s">
        <v>18</v>
      </c>
      <c r="B301" s="1" t="s">
        <v>19</v>
      </c>
      <c r="C301" s="1" t="s">
        <v>20</v>
      </c>
      <c r="D301" s="1" t="s">
        <v>897</v>
      </c>
      <c r="E301" s="2">
        <v>44149</v>
      </c>
      <c r="F301" s="1" t="s">
        <v>22</v>
      </c>
      <c r="G301" s="1" t="s">
        <v>898</v>
      </c>
      <c r="H301" s="1" t="s">
        <v>899</v>
      </c>
      <c r="I301" s="1" t="s">
        <v>41</v>
      </c>
      <c r="J301" s="1" t="s">
        <v>26</v>
      </c>
      <c r="K301" s="1">
        <v>0</v>
      </c>
      <c r="L301" s="1"/>
      <c r="M301" s="1" t="s">
        <v>542</v>
      </c>
      <c r="N301" s="1"/>
      <c r="O301" s="1" t="s">
        <v>543</v>
      </c>
      <c r="P301" s="2">
        <v>44149</v>
      </c>
      <c r="Q301" s="8" t="str">
        <f t="shared" si="4"/>
        <v>SUPPORTED WITHIN 2DAYS</v>
      </c>
      <c r="R301" s="8" t="s">
        <v>1272</v>
      </c>
      <c r="S301" s="1">
        <v>0</v>
      </c>
      <c r="T301" s="1" t="s">
        <v>544</v>
      </c>
      <c r="U301" s="1" t="str">
        <f>VLOOKUP(T301,personnel!A$1:B$4,2,FALSE)</f>
        <v>Velasquez, Jayson Alon</v>
      </c>
      <c r="V301" s="3">
        <v>44149.59165509259</v>
      </c>
    </row>
    <row r="302" spans="1:22" x14ac:dyDescent="0.25">
      <c r="A302" s="1" t="s">
        <v>18</v>
      </c>
      <c r="B302" s="1" t="s">
        <v>19</v>
      </c>
      <c r="C302" s="1" t="s">
        <v>20</v>
      </c>
      <c r="D302" s="1" t="s">
        <v>900</v>
      </c>
      <c r="E302" s="2">
        <v>44149</v>
      </c>
      <c r="F302" s="1" t="s">
        <v>22</v>
      </c>
      <c r="G302" s="1" t="s">
        <v>901</v>
      </c>
      <c r="H302" s="1" t="s">
        <v>902</v>
      </c>
      <c r="I302" s="1" t="s">
        <v>41</v>
      </c>
      <c r="J302" s="1" t="s">
        <v>42</v>
      </c>
      <c r="K302" s="1">
        <v>0</v>
      </c>
      <c r="L302" s="1"/>
      <c r="M302" s="1" t="s">
        <v>542</v>
      </c>
      <c r="N302" s="1"/>
      <c r="O302" s="1" t="s">
        <v>543</v>
      </c>
      <c r="P302" s="2">
        <v>44149</v>
      </c>
      <c r="Q302" s="8" t="str">
        <f t="shared" si="4"/>
        <v>SUPPORTED WITHIN 2DAYS</v>
      </c>
      <c r="R302" s="8" t="s">
        <v>1272</v>
      </c>
      <c r="S302" s="1">
        <v>0</v>
      </c>
      <c r="T302" s="1" t="s">
        <v>544</v>
      </c>
      <c r="U302" s="1" t="str">
        <f>VLOOKUP(T302,personnel!A$1:B$4,2,FALSE)</f>
        <v>Velasquez, Jayson Alon</v>
      </c>
      <c r="V302" s="3">
        <v>44149.591967592591</v>
      </c>
    </row>
    <row r="303" spans="1:22" x14ac:dyDescent="0.25">
      <c r="A303" s="1" t="s">
        <v>18</v>
      </c>
      <c r="B303" s="1" t="s">
        <v>19</v>
      </c>
      <c r="C303" s="1" t="s">
        <v>20</v>
      </c>
      <c r="D303" s="1" t="s">
        <v>903</v>
      </c>
      <c r="E303" s="2">
        <v>44149</v>
      </c>
      <c r="F303" s="1" t="s">
        <v>22</v>
      </c>
      <c r="G303" s="1" t="s">
        <v>904</v>
      </c>
      <c r="H303" s="1" t="s">
        <v>244</v>
      </c>
      <c r="I303" s="1" t="s">
        <v>41</v>
      </c>
      <c r="J303" s="1" t="s">
        <v>287</v>
      </c>
      <c r="K303" s="1">
        <v>0</v>
      </c>
      <c r="L303" s="1"/>
      <c r="M303" s="1" t="s">
        <v>244</v>
      </c>
      <c r="N303" s="1" t="s">
        <v>467</v>
      </c>
      <c r="O303" s="1" t="s">
        <v>245</v>
      </c>
      <c r="P303" s="2">
        <v>44151</v>
      </c>
      <c r="Q303" s="8" t="str">
        <f t="shared" si="4"/>
        <v>SUPPORTED WITHIN 2DAYS</v>
      </c>
      <c r="R303" s="8" t="s">
        <v>1272</v>
      </c>
      <c r="S303" s="1">
        <v>0</v>
      </c>
      <c r="T303" s="1" t="s">
        <v>246</v>
      </c>
      <c r="U303" s="1" t="str">
        <f>VLOOKUP(T303,personnel!A$1:B$4,2,FALSE)</f>
        <v>Macarling, Federico Jr Romano</v>
      </c>
      <c r="V303" s="3">
        <v>44149.689710648148</v>
      </c>
    </row>
    <row r="304" spans="1:22" x14ac:dyDescent="0.25">
      <c r="A304" s="1" t="s">
        <v>18</v>
      </c>
      <c r="B304" s="1" t="s">
        <v>19</v>
      </c>
      <c r="C304" s="1" t="s">
        <v>20</v>
      </c>
      <c r="D304" s="1" t="s">
        <v>905</v>
      </c>
      <c r="E304" s="2">
        <v>44151</v>
      </c>
      <c r="F304" s="1" t="s">
        <v>22</v>
      </c>
      <c r="G304" s="1" t="s">
        <v>906</v>
      </c>
      <c r="H304" s="1" t="s">
        <v>907</v>
      </c>
      <c r="I304" s="1" t="s">
        <v>41</v>
      </c>
      <c r="J304" s="1" t="s">
        <v>26</v>
      </c>
      <c r="K304" s="1">
        <v>0</v>
      </c>
      <c r="L304" s="1"/>
      <c r="M304" s="1" t="s">
        <v>542</v>
      </c>
      <c r="N304" s="1"/>
      <c r="O304" s="1" t="s">
        <v>543</v>
      </c>
      <c r="P304" s="2">
        <v>44151</v>
      </c>
      <c r="Q304" s="8" t="str">
        <f t="shared" si="4"/>
        <v>SUPPORTED WITHIN 2DAYS</v>
      </c>
      <c r="R304" s="8" t="s">
        <v>1272</v>
      </c>
      <c r="S304" s="1">
        <v>0</v>
      </c>
      <c r="T304" s="1" t="s">
        <v>544</v>
      </c>
      <c r="U304" s="1" t="str">
        <f>VLOOKUP(T304,personnel!A$1:B$4,2,FALSE)</f>
        <v>Velasquez, Jayson Alon</v>
      </c>
      <c r="V304" s="3">
        <v>44151.395092592589</v>
      </c>
    </row>
    <row r="305" spans="1:22" x14ac:dyDescent="0.25">
      <c r="A305" s="1" t="s">
        <v>18</v>
      </c>
      <c r="B305" s="1" t="s">
        <v>19</v>
      </c>
      <c r="C305" s="1" t="s">
        <v>20</v>
      </c>
      <c r="D305" s="1" t="s">
        <v>908</v>
      </c>
      <c r="E305" s="2">
        <v>44151</v>
      </c>
      <c r="F305" s="1" t="s">
        <v>22</v>
      </c>
      <c r="G305" s="1" t="s">
        <v>909</v>
      </c>
      <c r="H305" s="1" t="s">
        <v>910</v>
      </c>
      <c r="I305" s="1" t="s">
        <v>41</v>
      </c>
      <c r="J305" s="1" t="s">
        <v>26</v>
      </c>
      <c r="K305" s="1">
        <v>0</v>
      </c>
      <c r="L305" s="1"/>
      <c r="M305" s="1" t="s">
        <v>542</v>
      </c>
      <c r="N305" s="1"/>
      <c r="O305" s="1" t="s">
        <v>543</v>
      </c>
      <c r="P305" s="2">
        <v>44151</v>
      </c>
      <c r="Q305" s="8" t="str">
        <f t="shared" si="4"/>
        <v>SUPPORTED WITHIN 2DAYS</v>
      </c>
      <c r="R305" s="8" t="s">
        <v>1272</v>
      </c>
      <c r="S305" s="1">
        <v>0</v>
      </c>
      <c r="T305" s="1" t="s">
        <v>544</v>
      </c>
      <c r="U305" s="1" t="str">
        <f>VLOOKUP(T305,personnel!A$1:B$4,2,FALSE)</f>
        <v>Velasquez, Jayson Alon</v>
      </c>
      <c r="V305" s="3">
        <v>44151.39539351852</v>
      </c>
    </row>
    <row r="306" spans="1:22" x14ac:dyDescent="0.25">
      <c r="A306" s="1" t="s">
        <v>18</v>
      </c>
      <c r="B306" s="1" t="s">
        <v>50</v>
      </c>
      <c r="C306" s="1" t="s">
        <v>20</v>
      </c>
      <c r="D306" s="1" t="s">
        <v>911</v>
      </c>
      <c r="E306" s="2">
        <v>44151</v>
      </c>
      <c r="F306" s="1" t="s">
        <v>22</v>
      </c>
      <c r="G306" s="1" t="s">
        <v>912</v>
      </c>
      <c r="H306" s="1" t="s">
        <v>244</v>
      </c>
      <c r="I306" s="1" t="s">
        <v>41</v>
      </c>
      <c r="J306" s="1" t="s">
        <v>287</v>
      </c>
      <c r="K306" s="1">
        <v>0</v>
      </c>
      <c r="L306" s="1"/>
      <c r="M306" s="1" t="s">
        <v>244</v>
      </c>
      <c r="N306" s="1"/>
      <c r="O306" s="1" t="s">
        <v>245</v>
      </c>
      <c r="P306" s="2">
        <v>44151</v>
      </c>
      <c r="Q306" s="8" t="str">
        <f t="shared" si="4"/>
        <v>SUPPORTED WITHIN 2DAYS</v>
      </c>
      <c r="R306" s="8" t="s">
        <v>1272</v>
      </c>
      <c r="S306" s="1">
        <v>3</v>
      </c>
      <c r="T306" s="1" t="s">
        <v>246</v>
      </c>
      <c r="U306" s="1" t="str">
        <f>VLOOKUP(T306,personnel!A$1:B$4,2,FALSE)</f>
        <v>Macarling, Federico Jr Romano</v>
      </c>
      <c r="V306" s="3">
        <v>44151.430335648147</v>
      </c>
    </row>
    <row r="307" spans="1:22" x14ac:dyDescent="0.25">
      <c r="A307" s="1" t="s">
        <v>265</v>
      </c>
      <c r="B307" s="1" t="s">
        <v>19</v>
      </c>
      <c r="C307" s="1" t="s">
        <v>20</v>
      </c>
      <c r="D307" s="1" t="s">
        <v>913</v>
      </c>
      <c r="E307" s="2">
        <v>44151</v>
      </c>
      <c r="F307" s="1" t="s">
        <v>267</v>
      </c>
      <c r="G307" s="1" t="s">
        <v>914</v>
      </c>
      <c r="H307" s="1" t="s">
        <v>244</v>
      </c>
      <c r="I307" s="1" t="s">
        <v>41</v>
      </c>
      <c r="J307" s="1" t="s">
        <v>287</v>
      </c>
      <c r="K307" s="1">
        <v>0</v>
      </c>
      <c r="L307" s="1"/>
      <c r="M307" s="1" t="s">
        <v>244</v>
      </c>
      <c r="N307" s="1"/>
      <c r="O307" s="1" t="s">
        <v>245</v>
      </c>
      <c r="P307" s="2">
        <v>44151</v>
      </c>
      <c r="Q307" s="8" t="str">
        <f t="shared" si="4"/>
        <v>SUPPORTED WITHIN 2DAYS</v>
      </c>
      <c r="R307" s="8" t="s">
        <v>1272</v>
      </c>
      <c r="S307" s="1">
        <v>0</v>
      </c>
      <c r="T307" s="1" t="s">
        <v>246</v>
      </c>
      <c r="U307" s="1" t="str">
        <f>VLOOKUP(T307,personnel!A$1:B$4,2,FALSE)</f>
        <v>Macarling, Federico Jr Romano</v>
      </c>
      <c r="V307" s="3">
        <v>44151.430787037039</v>
      </c>
    </row>
    <row r="308" spans="1:22" x14ac:dyDescent="0.25">
      <c r="A308" s="1" t="s">
        <v>18</v>
      </c>
      <c r="B308" s="1" t="s">
        <v>19</v>
      </c>
      <c r="C308" s="1" t="s">
        <v>20</v>
      </c>
      <c r="D308" s="1" t="s">
        <v>915</v>
      </c>
      <c r="E308" s="2">
        <v>44151</v>
      </c>
      <c r="F308" s="1" t="s">
        <v>22</v>
      </c>
      <c r="G308" s="1" t="s">
        <v>916</v>
      </c>
      <c r="H308" s="1" t="s">
        <v>541</v>
      </c>
      <c r="I308" s="1" t="s">
        <v>36</v>
      </c>
      <c r="J308" s="1" t="s">
        <v>42</v>
      </c>
      <c r="K308" s="1">
        <v>0</v>
      </c>
      <c r="L308" s="1"/>
      <c r="M308" s="1" t="s">
        <v>542</v>
      </c>
      <c r="N308" s="1"/>
      <c r="O308" s="1" t="s">
        <v>543</v>
      </c>
      <c r="P308" s="2">
        <v>44151</v>
      </c>
      <c r="Q308" s="8" t="str">
        <f t="shared" si="4"/>
        <v>SUPPORTED WITHIN 2DAYS</v>
      </c>
      <c r="R308" s="8" t="s">
        <v>1272</v>
      </c>
      <c r="S308" s="1">
        <v>0</v>
      </c>
      <c r="T308" s="1" t="s">
        <v>544</v>
      </c>
      <c r="U308" s="1" t="str">
        <f>VLOOKUP(T308,personnel!A$1:B$4,2,FALSE)</f>
        <v>Velasquez, Jayson Alon</v>
      </c>
      <c r="V308" s="3">
        <v>44151.612164351849</v>
      </c>
    </row>
    <row r="309" spans="1:22" x14ac:dyDescent="0.25">
      <c r="A309" s="1" t="s">
        <v>917</v>
      </c>
      <c r="B309" s="1" t="s">
        <v>19</v>
      </c>
      <c r="C309" s="1" t="s">
        <v>166</v>
      </c>
      <c r="D309" s="1" t="s">
        <v>918</v>
      </c>
      <c r="E309" s="2">
        <v>44151</v>
      </c>
      <c r="F309" s="1" t="s">
        <v>919</v>
      </c>
      <c r="G309" s="1" t="s">
        <v>920</v>
      </c>
      <c r="H309" s="1"/>
      <c r="I309" s="1" t="s">
        <v>25</v>
      </c>
      <c r="J309" s="1" t="s">
        <v>26</v>
      </c>
      <c r="K309" s="1">
        <v>0</v>
      </c>
      <c r="L309" s="1"/>
      <c r="M309" s="1"/>
      <c r="N309" s="1" t="s">
        <v>921</v>
      </c>
      <c r="O309" s="1"/>
      <c r="P309" s="2">
        <v>44151</v>
      </c>
      <c r="Q309" s="8" t="str">
        <f t="shared" si="4"/>
        <v>SUPPORTED WITHIN 2DAYS</v>
      </c>
      <c r="R309" s="8" t="s">
        <v>1272</v>
      </c>
      <c r="S309" s="1">
        <v>0</v>
      </c>
      <c r="T309" s="1" t="s">
        <v>246</v>
      </c>
      <c r="U309" s="1" t="str">
        <f>VLOOKUP(T309,personnel!A$1:B$4,2,FALSE)</f>
        <v>Macarling, Federico Jr Romano</v>
      </c>
      <c r="V309" s="3">
        <v>44151.628900462965</v>
      </c>
    </row>
    <row r="310" spans="1:22" x14ac:dyDescent="0.25">
      <c r="A310" s="1" t="s">
        <v>18</v>
      </c>
      <c r="B310" s="1" t="s">
        <v>19</v>
      </c>
      <c r="C310" s="1" t="s">
        <v>20</v>
      </c>
      <c r="D310" s="1" t="s">
        <v>922</v>
      </c>
      <c r="E310" s="2">
        <v>44151</v>
      </c>
      <c r="F310" s="1" t="s">
        <v>22</v>
      </c>
      <c r="G310" s="1" t="s">
        <v>923</v>
      </c>
      <c r="H310" s="1" t="s">
        <v>626</v>
      </c>
      <c r="I310" s="1" t="s">
        <v>95</v>
      </c>
      <c r="J310" s="1" t="s">
        <v>171</v>
      </c>
      <c r="K310" s="1">
        <v>0</v>
      </c>
      <c r="L310" s="1"/>
      <c r="M310" s="1" t="s">
        <v>542</v>
      </c>
      <c r="N310" s="1"/>
      <c r="O310" s="1" t="s">
        <v>543</v>
      </c>
      <c r="P310" s="2">
        <v>44151</v>
      </c>
      <c r="Q310" s="8" t="str">
        <f t="shared" si="4"/>
        <v>SUPPORTED WITHIN 2DAYS</v>
      </c>
      <c r="R310" s="8" t="s">
        <v>1272</v>
      </c>
      <c r="S310" s="1">
        <v>0</v>
      </c>
      <c r="T310" s="1" t="s">
        <v>544</v>
      </c>
      <c r="U310" s="1" t="str">
        <f>VLOOKUP(T310,personnel!A$1:B$4,2,FALSE)</f>
        <v>Velasquez, Jayson Alon</v>
      </c>
      <c r="V310" s="3">
        <v>44151.666342592594</v>
      </c>
    </row>
    <row r="311" spans="1:22" x14ac:dyDescent="0.25">
      <c r="A311" s="1" t="s">
        <v>806</v>
      </c>
      <c r="B311" s="1" t="s">
        <v>19</v>
      </c>
      <c r="C311" s="1" t="s">
        <v>20</v>
      </c>
      <c r="D311" s="1" t="s">
        <v>924</v>
      </c>
      <c r="E311" s="2">
        <v>44151</v>
      </c>
      <c r="F311" s="1" t="s">
        <v>808</v>
      </c>
      <c r="G311" s="1" t="s">
        <v>925</v>
      </c>
      <c r="H311" s="1" t="s">
        <v>699</v>
      </c>
      <c r="I311" s="1" t="s">
        <v>36</v>
      </c>
      <c r="J311" s="1" t="s">
        <v>652</v>
      </c>
      <c r="K311" s="1">
        <v>0</v>
      </c>
      <c r="L311" s="1"/>
      <c r="M311" s="1" t="s">
        <v>542</v>
      </c>
      <c r="N311" s="1"/>
      <c r="O311" s="1" t="s">
        <v>543</v>
      </c>
      <c r="P311" s="2">
        <v>44151</v>
      </c>
      <c r="Q311" s="8" t="str">
        <f t="shared" si="4"/>
        <v>SUPPORTED WITHIN 2DAYS</v>
      </c>
      <c r="R311" s="8" t="s">
        <v>1272</v>
      </c>
      <c r="S311" s="1">
        <v>0</v>
      </c>
      <c r="T311" s="1" t="s">
        <v>544</v>
      </c>
      <c r="U311" s="1" t="str">
        <f>VLOOKUP(T311,personnel!A$1:B$4,2,FALSE)</f>
        <v>Velasquez, Jayson Alon</v>
      </c>
      <c r="V311" s="3">
        <v>44151.666863425926</v>
      </c>
    </row>
    <row r="312" spans="1:22" x14ac:dyDescent="0.25">
      <c r="A312" s="1" t="s">
        <v>926</v>
      </c>
      <c r="B312" s="1" t="s">
        <v>19</v>
      </c>
      <c r="C312" s="1" t="s">
        <v>20</v>
      </c>
      <c r="D312" s="1" t="s">
        <v>927</v>
      </c>
      <c r="E312" s="2">
        <v>44151</v>
      </c>
      <c r="F312" s="1" t="s">
        <v>928</v>
      </c>
      <c r="G312" s="1" t="s">
        <v>929</v>
      </c>
      <c r="H312" s="1" t="s">
        <v>930</v>
      </c>
      <c r="I312" s="1" t="s">
        <v>41</v>
      </c>
      <c r="J312" s="1" t="s">
        <v>272</v>
      </c>
      <c r="K312" s="1">
        <v>0</v>
      </c>
      <c r="L312" s="1"/>
      <c r="M312" s="1" t="s">
        <v>542</v>
      </c>
      <c r="N312" s="1"/>
      <c r="O312" s="1" t="s">
        <v>543</v>
      </c>
      <c r="P312" s="2">
        <v>44151</v>
      </c>
      <c r="Q312" s="8" t="str">
        <f t="shared" si="4"/>
        <v>SUPPORTED WITHIN 2DAYS</v>
      </c>
      <c r="R312" s="8" t="s">
        <v>1272</v>
      </c>
      <c r="S312" s="1">
        <v>0</v>
      </c>
      <c r="T312" s="1" t="s">
        <v>544</v>
      </c>
      <c r="U312" s="1" t="str">
        <f>VLOOKUP(T312,personnel!A$1:B$4,2,FALSE)</f>
        <v>Velasquez, Jayson Alon</v>
      </c>
      <c r="V312" s="3">
        <v>44151.674942129626</v>
      </c>
    </row>
    <row r="313" spans="1:22" x14ac:dyDescent="0.25">
      <c r="A313" s="1" t="s">
        <v>931</v>
      </c>
      <c r="B313" s="1" t="s">
        <v>19</v>
      </c>
      <c r="C313" s="1" t="s">
        <v>20</v>
      </c>
      <c r="D313" s="1" t="s">
        <v>932</v>
      </c>
      <c r="E313" s="2">
        <v>44152</v>
      </c>
      <c r="F313" s="1" t="s">
        <v>933</v>
      </c>
      <c r="G313" s="1" t="s">
        <v>934</v>
      </c>
      <c r="H313" s="1" t="s">
        <v>935</v>
      </c>
      <c r="I313" s="1" t="s">
        <v>36</v>
      </c>
      <c r="J313" s="1" t="s">
        <v>563</v>
      </c>
      <c r="K313" s="1">
        <v>0</v>
      </c>
      <c r="L313" s="1"/>
      <c r="M313" s="1" t="s">
        <v>542</v>
      </c>
      <c r="N313" s="1"/>
      <c r="O313" s="1" t="s">
        <v>543</v>
      </c>
      <c r="P313" s="2">
        <v>44152</v>
      </c>
      <c r="Q313" s="8" t="str">
        <f t="shared" si="4"/>
        <v>SUPPORTED WITHIN 2DAYS</v>
      </c>
      <c r="R313" s="8" t="s">
        <v>1272</v>
      </c>
      <c r="S313" s="1">
        <v>0</v>
      </c>
      <c r="T313" s="1" t="s">
        <v>544</v>
      </c>
      <c r="U313" s="1" t="str">
        <f>VLOOKUP(T313,personnel!A$1:B$4,2,FALSE)</f>
        <v>Velasquez, Jayson Alon</v>
      </c>
      <c r="V313" s="3">
        <v>44152.378888888888</v>
      </c>
    </row>
    <row r="314" spans="1:22" x14ac:dyDescent="0.25">
      <c r="A314" s="1" t="s">
        <v>180</v>
      </c>
      <c r="B314" s="1" t="s">
        <v>19</v>
      </c>
      <c r="C314" s="1" t="s">
        <v>20</v>
      </c>
      <c r="D314" s="1" t="s">
        <v>936</v>
      </c>
      <c r="E314" s="2">
        <v>44152</v>
      </c>
      <c r="F314" s="1" t="s">
        <v>182</v>
      </c>
      <c r="G314" s="1" t="s">
        <v>937</v>
      </c>
      <c r="H314" s="1" t="s">
        <v>244</v>
      </c>
      <c r="I314" s="1" t="s">
        <v>170</v>
      </c>
      <c r="J314" s="1" t="s">
        <v>171</v>
      </c>
      <c r="K314" s="1">
        <v>0</v>
      </c>
      <c r="L314" s="1"/>
      <c r="M314" s="1" t="s">
        <v>244</v>
      </c>
      <c r="N314" s="1" t="s">
        <v>185</v>
      </c>
      <c r="O314" s="1" t="s">
        <v>245</v>
      </c>
      <c r="P314" s="2">
        <v>44156</v>
      </c>
      <c r="Q314" s="8" t="str">
        <f t="shared" si="4"/>
        <v>NOT SUPPORTED WITHIN 2DAYS</v>
      </c>
      <c r="R314" s="8" t="s">
        <v>1273</v>
      </c>
      <c r="S314" s="1">
        <v>0</v>
      </c>
      <c r="T314" s="1" t="s">
        <v>246</v>
      </c>
      <c r="U314" s="1" t="str">
        <f>VLOOKUP(T314,personnel!A$1:B$4,2,FALSE)</f>
        <v>Macarling, Federico Jr Romano</v>
      </c>
      <c r="V314" s="3">
        <v>44152.415381944447</v>
      </c>
    </row>
    <row r="315" spans="1:22" x14ac:dyDescent="0.25">
      <c r="A315" s="1" t="s">
        <v>37</v>
      </c>
      <c r="B315" s="1" t="s">
        <v>19</v>
      </c>
      <c r="C315" s="1" t="s">
        <v>20</v>
      </c>
      <c r="D315" s="1" t="s">
        <v>938</v>
      </c>
      <c r="E315" s="2">
        <v>44151</v>
      </c>
      <c r="F315" s="1" t="s">
        <v>39</v>
      </c>
      <c r="G315" s="1" t="s">
        <v>939</v>
      </c>
      <c r="H315" s="1" t="s">
        <v>244</v>
      </c>
      <c r="I315" s="1" t="s">
        <v>170</v>
      </c>
      <c r="J315" s="1" t="s">
        <v>171</v>
      </c>
      <c r="K315" s="1">
        <v>0</v>
      </c>
      <c r="L315" s="1"/>
      <c r="M315" s="1" t="s">
        <v>244</v>
      </c>
      <c r="N315" s="1" t="s">
        <v>940</v>
      </c>
      <c r="O315" s="1" t="s">
        <v>245</v>
      </c>
      <c r="P315" s="2">
        <v>44156</v>
      </c>
      <c r="Q315" s="8" t="str">
        <f t="shared" si="4"/>
        <v>NOT SUPPORTED WITHIN 2DAYS</v>
      </c>
      <c r="R315" s="8" t="s">
        <v>1273</v>
      </c>
      <c r="S315" s="1">
        <v>0</v>
      </c>
      <c r="T315" s="1" t="s">
        <v>246</v>
      </c>
      <c r="U315" s="1" t="str">
        <f>VLOOKUP(T315,personnel!A$1:B$4,2,FALSE)</f>
        <v>Macarling, Federico Jr Romano</v>
      </c>
      <c r="V315" s="3">
        <v>44152.41578703704</v>
      </c>
    </row>
    <row r="316" spans="1:22" x14ac:dyDescent="0.25">
      <c r="A316" s="1" t="s">
        <v>37</v>
      </c>
      <c r="B316" s="1" t="s">
        <v>19</v>
      </c>
      <c r="C316" s="1" t="s">
        <v>166</v>
      </c>
      <c r="D316" s="1" t="s">
        <v>941</v>
      </c>
      <c r="E316" s="2">
        <v>44152</v>
      </c>
      <c r="F316" s="1" t="s">
        <v>39</v>
      </c>
      <c r="G316" s="1" t="s">
        <v>942</v>
      </c>
      <c r="H316" s="1"/>
      <c r="I316" s="1" t="s">
        <v>41</v>
      </c>
      <c r="J316" s="1" t="s">
        <v>287</v>
      </c>
      <c r="K316" s="1">
        <v>0</v>
      </c>
      <c r="L316" s="1"/>
      <c r="M316" s="1"/>
      <c r="N316" s="1" t="s">
        <v>943</v>
      </c>
      <c r="O316" s="1"/>
      <c r="P316" s="2">
        <v>44152</v>
      </c>
      <c r="Q316" s="8" t="str">
        <f t="shared" si="4"/>
        <v>SUPPORTED WITHIN 2DAYS</v>
      </c>
      <c r="R316" s="8" t="s">
        <v>1272</v>
      </c>
      <c r="S316" s="1">
        <v>0</v>
      </c>
      <c r="T316" s="1" t="s">
        <v>246</v>
      </c>
      <c r="U316" s="1" t="str">
        <f>VLOOKUP(T316,personnel!A$1:B$4,2,FALSE)</f>
        <v>Macarling, Federico Jr Romano</v>
      </c>
      <c r="V316" s="3">
        <v>44152.425162037034</v>
      </c>
    </row>
    <row r="317" spans="1:22" x14ac:dyDescent="0.25">
      <c r="A317" s="1" t="s">
        <v>944</v>
      </c>
      <c r="B317" s="1" t="s">
        <v>19</v>
      </c>
      <c r="C317" s="1" t="s">
        <v>166</v>
      </c>
      <c r="D317" s="1" t="s">
        <v>945</v>
      </c>
      <c r="E317" s="2">
        <v>44152</v>
      </c>
      <c r="F317" s="1" t="s">
        <v>946</v>
      </c>
      <c r="G317" s="1" t="s">
        <v>947</v>
      </c>
      <c r="H317" s="1"/>
      <c r="I317" s="1" t="s">
        <v>25</v>
      </c>
      <c r="J317" s="1" t="s">
        <v>563</v>
      </c>
      <c r="K317" s="1">
        <v>0</v>
      </c>
      <c r="L317" s="1"/>
      <c r="M317" s="1"/>
      <c r="N317" s="1" t="s">
        <v>948</v>
      </c>
      <c r="O317" s="1"/>
      <c r="P317" s="2">
        <v>44152</v>
      </c>
      <c r="Q317" s="8" t="str">
        <f t="shared" si="4"/>
        <v>SUPPORTED WITHIN 2DAYS</v>
      </c>
      <c r="R317" s="8" t="s">
        <v>1272</v>
      </c>
      <c r="S317" s="1">
        <v>0</v>
      </c>
      <c r="T317" s="1" t="s">
        <v>246</v>
      </c>
      <c r="U317" s="1" t="str">
        <f>VLOOKUP(T317,personnel!A$1:B$4,2,FALSE)</f>
        <v>Macarling, Federico Jr Romano</v>
      </c>
      <c r="V317" s="3">
        <v>44152.446076388886</v>
      </c>
    </row>
    <row r="318" spans="1:22" x14ac:dyDescent="0.25">
      <c r="A318" s="1" t="s">
        <v>949</v>
      </c>
      <c r="B318" s="1" t="s">
        <v>19</v>
      </c>
      <c r="C318" s="1" t="s">
        <v>20</v>
      </c>
      <c r="D318" s="1" t="s">
        <v>950</v>
      </c>
      <c r="E318" s="2">
        <v>44152</v>
      </c>
      <c r="F318" s="1" t="s">
        <v>951</v>
      </c>
      <c r="G318" s="1" t="s">
        <v>952</v>
      </c>
      <c r="H318" s="1" t="s">
        <v>953</v>
      </c>
      <c r="I318" s="1" t="s">
        <v>41</v>
      </c>
      <c r="J318" s="1" t="s">
        <v>42</v>
      </c>
      <c r="K318" s="1">
        <v>0</v>
      </c>
      <c r="L318" s="1"/>
      <c r="M318" s="1" t="s">
        <v>542</v>
      </c>
      <c r="N318" s="1"/>
      <c r="O318" s="1" t="s">
        <v>543</v>
      </c>
      <c r="P318" s="2">
        <v>44152</v>
      </c>
      <c r="Q318" s="8" t="str">
        <f t="shared" si="4"/>
        <v>SUPPORTED WITHIN 2DAYS</v>
      </c>
      <c r="R318" s="8" t="s">
        <v>1272</v>
      </c>
      <c r="S318" s="1">
        <v>0</v>
      </c>
      <c r="T318" s="1" t="s">
        <v>544</v>
      </c>
      <c r="U318" s="1" t="str">
        <f>VLOOKUP(T318,personnel!A$1:B$4,2,FALSE)</f>
        <v>Velasquez, Jayson Alon</v>
      </c>
      <c r="V318" s="3">
        <v>44152.448472222219</v>
      </c>
    </row>
    <row r="319" spans="1:22" x14ac:dyDescent="0.25">
      <c r="A319" s="1" t="s">
        <v>307</v>
      </c>
      <c r="B319" s="1" t="s">
        <v>19</v>
      </c>
      <c r="C319" s="1" t="s">
        <v>166</v>
      </c>
      <c r="D319" s="1" t="s">
        <v>954</v>
      </c>
      <c r="E319" s="2">
        <v>44153</v>
      </c>
      <c r="F319" s="1" t="s">
        <v>309</v>
      </c>
      <c r="G319" s="1" t="s">
        <v>955</v>
      </c>
      <c r="H319" s="1"/>
      <c r="I319" s="1" t="s">
        <v>41</v>
      </c>
      <c r="J319" s="1" t="s">
        <v>287</v>
      </c>
      <c r="K319" s="1">
        <v>0</v>
      </c>
      <c r="L319" s="1"/>
      <c r="M319" s="1"/>
      <c r="N319" s="1" t="s">
        <v>956</v>
      </c>
      <c r="O319" s="1"/>
      <c r="P319" s="2">
        <v>44153</v>
      </c>
      <c r="Q319" s="8" t="str">
        <f t="shared" si="4"/>
        <v>SUPPORTED WITHIN 2DAYS</v>
      </c>
      <c r="R319" s="8" t="s">
        <v>1272</v>
      </c>
      <c r="S319" s="1">
        <v>0</v>
      </c>
      <c r="T319" s="1" t="s">
        <v>246</v>
      </c>
      <c r="U319" s="1" t="str">
        <f>VLOOKUP(T319,personnel!A$1:B$4,2,FALSE)</f>
        <v>Macarling, Federico Jr Romano</v>
      </c>
      <c r="V319" s="3">
        <v>44153.384571759256</v>
      </c>
    </row>
    <row r="320" spans="1:22" x14ac:dyDescent="0.25">
      <c r="A320" s="1" t="s">
        <v>37</v>
      </c>
      <c r="B320" s="1" t="s">
        <v>19</v>
      </c>
      <c r="C320" s="1" t="s">
        <v>166</v>
      </c>
      <c r="D320" s="1" t="s">
        <v>957</v>
      </c>
      <c r="E320" s="2">
        <v>44153</v>
      </c>
      <c r="F320" s="1" t="s">
        <v>39</v>
      </c>
      <c r="G320" s="1" t="s">
        <v>958</v>
      </c>
      <c r="H320" s="1"/>
      <c r="I320" s="1" t="s">
        <v>41</v>
      </c>
      <c r="J320" s="1" t="s">
        <v>287</v>
      </c>
      <c r="K320" s="1">
        <v>0</v>
      </c>
      <c r="L320" s="1"/>
      <c r="M320" s="1"/>
      <c r="N320" s="1" t="s">
        <v>943</v>
      </c>
      <c r="O320" s="1"/>
      <c r="P320" s="2">
        <v>44153</v>
      </c>
      <c r="Q320" s="8" t="str">
        <f t="shared" si="4"/>
        <v>SUPPORTED WITHIN 2DAYS</v>
      </c>
      <c r="R320" s="8" t="s">
        <v>1272</v>
      </c>
      <c r="S320" s="1">
        <v>0</v>
      </c>
      <c r="T320" s="1" t="s">
        <v>246</v>
      </c>
      <c r="U320" s="1" t="str">
        <f>VLOOKUP(T320,personnel!A$1:B$4,2,FALSE)</f>
        <v>Macarling, Federico Jr Romano</v>
      </c>
      <c r="V320" s="3">
        <v>44153.385937500003</v>
      </c>
    </row>
    <row r="321" spans="1:22" x14ac:dyDescent="0.25">
      <c r="A321" s="1" t="s">
        <v>18</v>
      </c>
      <c r="B321" s="1" t="s">
        <v>19</v>
      </c>
      <c r="C321" s="1" t="s">
        <v>166</v>
      </c>
      <c r="D321" s="1" t="s">
        <v>959</v>
      </c>
      <c r="E321" s="2">
        <v>44153</v>
      </c>
      <c r="F321" s="1" t="s">
        <v>22</v>
      </c>
      <c r="G321" s="1" t="s">
        <v>960</v>
      </c>
      <c r="H321" s="1"/>
      <c r="I321" s="1" t="s">
        <v>25</v>
      </c>
      <c r="J321" s="1" t="s">
        <v>26</v>
      </c>
      <c r="K321" s="1">
        <v>0</v>
      </c>
      <c r="L321" s="1"/>
      <c r="M321" s="1"/>
      <c r="N321" s="1" t="s">
        <v>943</v>
      </c>
      <c r="O321" s="1"/>
      <c r="P321" s="2">
        <v>44153</v>
      </c>
      <c r="Q321" s="8" t="str">
        <f t="shared" si="4"/>
        <v>SUPPORTED WITHIN 2DAYS</v>
      </c>
      <c r="R321" s="8" t="s">
        <v>1272</v>
      </c>
      <c r="S321" s="1">
        <v>0</v>
      </c>
      <c r="T321" s="1" t="s">
        <v>246</v>
      </c>
      <c r="U321" s="1" t="str">
        <f>VLOOKUP(T321,personnel!A$1:B$4,2,FALSE)</f>
        <v>Macarling, Federico Jr Romano</v>
      </c>
      <c r="V321" s="3">
        <v>44153.40351851852</v>
      </c>
    </row>
    <row r="322" spans="1:22" x14ac:dyDescent="0.25">
      <c r="A322" s="1" t="s">
        <v>78</v>
      </c>
      <c r="B322" s="1" t="s">
        <v>19</v>
      </c>
      <c r="C322" s="1" t="s">
        <v>166</v>
      </c>
      <c r="D322" s="1" t="s">
        <v>961</v>
      </c>
      <c r="E322" s="2">
        <v>44153</v>
      </c>
      <c r="F322" s="1" t="s">
        <v>80</v>
      </c>
      <c r="G322" s="1" t="s">
        <v>962</v>
      </c>
      <c r="H322" s="1"/>
      <c r="I322" s="1" t="s">
        <v>25</v>
      </c>
      <c r="J322" s="1" t="s">
        <v>171</v>
      </c>
      <c r="K322" s="1">
        <v>0</v>
      </c>
      <c r="L322" s="1"/>
      <c r="M322" s="1"/>
      <c r="N322" s="1"/>
      <c r="O322" s="1"/>
      <c r="P322" s="2">
        <v>44153</v>
      </c>
      <c r="Q322" s="8" t="str">
        <f t="shared" si="4"/>
        <v>SUPPORTED WITHIN 2DAYS</v>
      </c>
      <c r="R322" s="8" t="s">
        <v>1272</v>
      </c>
      <c r="S322" s="1">
        <v>0</v>
      </c>
      <c r="T322" s="1" t="s">
        <v>544</v>
      </c>
      <c r="U322" s="1" t="str">
        <f>VLOOKUP(T322,personnel!A$1:B$4,2,FALSE)</f>
        <v>Velasquez, Jayson Alon</v>
      </c>
      <c r="V322" s="3">
        <v>44153.468784722223</v>
      </c>
    </row>
    <row r="323" spans="1:22" x14ac:dyDescent="0.25">
      <c r="A323" s="1" t="s">
        <v>18</v>
      </c>
      <c r="B323" s="1" t="s">
        <v>19</v>
      </c>
      <c r="C323" s="1" t="s">
        <v>20</v>
      </c>
      <c r="D323" s="1" t="s">
        <v>963</v>
      </c>
      <c r="E323" s="2">
        <v>44153</v>
      </c>
      <c r="F323" s="1" t="s">
        <v>22</v>
      </c>
      <c r="G323" s="1" t="s">
        <v>964</v>
      </c>
      <c r="H323" s="1" t="s">
        <v>965</v>
      </c>
      <c r="I323" s="1" t="s">
        <v>36</v>
      </c>
      <c r="J323" s="1" t="s">
        <v>652</v>
      </c>
      <c r="K323" s="1">
        <v>0</v>
      </c>
      <c r="L323" s="1"/>
      <c r="M323" s="1" t="s">
        <v>542</v>
      </c>
      <c r="N323" s="1"/>
      <c r="O323" s="1" t="s">
        <v>543</v>
      </c>
      <c r="P323" s="2">
        <v>44153</v>
      </c>
      <c r="Q323" s="8" t="str">
        <f t="shared" ref="Q323:Q386" si="5">IF((P323-E323)&gt;2,"NOT SUPPORTED WITHIN 2DAYS","SUPPORTED WITHIN 2DAYS")</f>
        <v>SUPPORTED WITHIN 2DAYS</v>
      </c>
      <c r="R323" s="8" t="s">
        <v>1272</v>
      </c>
      <c r="S323" s="1">
        <v>0</v>
      </c>
      <c r="T323" s="1" t="s">
        <v>544</v>
      </c>
      <c r="U323" s="1" t="str">
        <f>VLOOKUP(T323,personnel!A$1:B$4,2,FALSE)</f>
        <v>Velasquez, Jayson Alon</v>
      </c>
      <c r="V323" s="3">
        <v>44153.479548611111</v>
      </c>
    </row>
    <row r="324" spans="1:22" x14ac:dyDescent="0.25">
      <c r="A324" s="1" t="s">
        <v>18</v>
      </c>
      <c r="B324" s="1" t="s">
        <v>19</v>
      </c>
      <c r="C324" s="1" t="s">
        <v>20</v>
      </c>
      <c r="D324" s="1" t="s">
        <v>966</v>
      </c>
      <c r="E324" s="2">
        <v>44153</v>
      </c>
      <c r="F324" s="1" t="s">
        <v>22</v>
      </c>
      <c r="G324" s="1" t="s">
        <v>967</v>
      </c>
      <c r="H324" s="1" t="s">
        <v>968</v>
      </c>
      <c r="I324" s="1" t="s">
        <v>36</v>
      </c>
      <c r="J324" s="1" t="s">
        <v>171</v>
      </c>
      <c r="K324" s="1">
        <v>0</v>
      </c>
      <c r="L324" s="1"/>
      <c r="M324" s="1" t="s">
        <v>542</v>
      </c>
      <c r="N324" s="1"/>
      <c r="O324" s="1" t="s">
        <v>543</v>
      </c>
      <c r="P324" s="2">
        <v>44153</v>
      </c>
      <c r="Q324" s="8" t="str">
        <f t="shared" si="5"/>
        <v>SUPPORTED WITHIN 2DAYS</v>
      </c>
      <c r="R324" s="8" t="s">
        <v>1272</v>
      </c>
      <c r="S324" s="1">
        <v>0</v>
      </c>
      <c r="T324" s="1" t="s">
        <v>544</v>
      </c>
      <c r="U324" s="1" t="str">
        <f>VLOOKUP(T324,personnel!A$1:B$4,2,FALSE)</f>
        <v>Velasquez, Jayson Alon</v>
      </c>
      <c r="V324" s="3">
        <v>44153.604849537034</v>
      </c>
    </row>
    <row r="325" spans="1:22" x14ac:dyDescent="0.25">
      <c r="A325" s="1" t="s">
        <v>18</v>
      </c>
      <c r="B325" s="1" t="s">
        <v>19</v>
      </c>
      <c r="C325" s="1" t="s">
        <v>20</v>
      </c>
      <c r="D325" s="1" t="s">
        <v>969</v>
      </c>
      <c r="E325" s="2">
        <v>44153</v>
      </c>
      <c r="F325" s="1" t="s">
        <v>22</v>
      </c>
      <c r="G325" s="1" t="s">
        <v>970</v>
      </c>
      <c r="H325" s="1" t="s">
        <v>629</v>
      </c>
      <c r="I325" s="1" t="s">
        <v>95</v>
      </c>
      <c r="J325" s="1" t="s">
        <v>552</v>
      </c>
      <c r="K325" s="1">
        <v>0</v>
      </c>
      <c r="L325" s="1"/>
      <c r="M325" s="1" t="s">
        <v>542</v>
      </c>
      <c r="N325" s="1"/>
      <c r="O325" s="1" t="s">
        <v>543</v>
      </c>
      <c r="P325" s="2">
        <v>44153</v>
      </c>
      <c r="Q325" s="8" t="str">
        <f t="shared" si="5"/>
        <v>SUPPORTED WITHIN 2DAYS</v>
      </c>
      <c r="R325" s="8" t="s">
        <v>1272</v>
      </c>
      <c r="S325" s="1">
        <v>0</v>
      </c>
      <c r="T325" s="1" t="s">
        <v>544</v>
      </c>
      <c r="U325" s="1" t="str">
        <f>VLOOKUP(T325,personnel!A$1:B$4,2,FALSE)</f>
        <v>Velasquez, Jayson Alon</v>
      </c>
      <c r="V325" s="3">
        <v>44153.661921296298</v>
      </c>
    </row>
    <row r="326" spans="1:22" x14ac:dyDescent="0.25">
      <c r="A326" s="1" t="s">
        <v>18</v>
      </c>
      <c r="B326" s="1" t="s">
        <v>19</v>
      </c>
      <c r="C326" s="1" t="s">
        <v>20</v>
      </c>
      <c r="D326" s="1" t="s">
        <v>971</v>
      </c>
      <c r="E326" s="2">
        <v>44154</v>
      </c>
      <c r="F326" s="1" t="s">
        <v>22</v>
      </c>
      <c r="G326" s="1" t="s">
        <v>972</v>
      </c>
      <c r="H326" s="1" t="s">
        <v>930</v>
      </c>
      <c r="I326" s="1" t="s">
        <v>36</v>
      </c>
      <c r="J326" s="1" t="s">
        <v>652</v>
      </c>
      <c r="K326" s="1">
        <v>0</v>
      </c>
      <c r="L326" s="1"/>
      <c r="M326" s="1" t="s">
        <v>542</v>
      </c>
      <c r="N326" s="1"/>
      <c r="O326" s="1" t="s">
        <v>543</v>
      </c>
      <c r="P326" s="2">
        <v>44154</v>
      </c>
      <c r="Q326" s="8" t="str">
        <f t="shared" si="5"/>
        <v>SUPPORTED WITHIN 2DAYS</v>
      </c>
      <c r="R326" s="8" t="s">
        <v>1272</v>
      </c>
      <c r="S326" s="1">
        <v>0</v>
      </c>
      <c r="T326" s="1" t="s">
        <v>544</v>
      </c>
      <c r="U326" s="1" t="str">
        <f>VLOOKUP(T326,personnel!A$1:B$4,2,FALSE)</f>
        <v>Velasquez, Jayson Alon</v>
      </c>
      <c r="V326" s="3">
        <v>44154.3828587963</v>
      </c>
    </row>
    <row r="327" spans="1:22" x14ac:dyDescent="0.25">
      <c r="A327" s="1" t="s">
        <v>18</v>
      </c>
      <c r="B327" s="1" t="s">
        <v>19</v>
      </c>
      <c r="C327" s="1" t="s">
        <v>20</v>
      </c>
      <c r="D327" s="1" t="s">
        <v>973</v>
      </c>
      <c r="E327" s="2">
        <v>44154</v>
      </c>
      <c r="F327" s="1" t="s">
        <v>22</v>
      </c>
      <c r="G327" s="1" t="s">
        <v>974</v>
      </c>
      <c r="H327" s="1" t="s">
        <v>541</v>
      </c>
      <c r="I327" s="1" t="s">
        <v>41</v>
      </c>
      <c r="J327" s="1" t="s">
        <v>652</v>
      </c>
      <c r="K327" s="1">
        <v>0</v>
      </c>
      <c r="L327" s="1"/>
      <c r="M327" s="1" t="s">
        <v>542</v>
      </c>
      <c r="N327" s="1"/>
      <c r="O327" s="1" t="s">
        <v>543</v>
      </c>
      <c r="P327" s="2">
        <v>44154</v>
      </c>
      <c r="Q327" s="8" t="str">
        <f t="shared" si="5"/>
        <v>SUPPORTED WITHIN 2DAYS</v>
      </c>
      <c r="R327" s="8" t="s">
        <v>1272</v>
      </c>
      <c r="S327" s="1">
        <v>0</v>
      </c>
      <c r="T327" s="1" t="s">
        <v>544</v>
      </c>
      <c r="U327" s="1" t="str">
        <f>VLOOKUP(T327,personnel!A$1:B$4,2,FALSE)</f>
        <v>Velasquez, Jayson Alon</v>
      </c>
      <c r="V327" s="3">
        <v>44154.408587962964</v>
      </c>
    </row>
    <row r="328" spans="1:22" x14ac:dyDescent="0.25">
      <c r="A328" s="1" t="s">
        <v>18</v>
      </c>
      <c r="B328" s="1" t="s">
        <v>19</v>
      </c>
      <c r="C328" s="1" t="s">
        <v>166</v>
      </c>
      <c r="D328" s="1" t="s">
        <v>975</v>
      </c>
      <c r="E328" s="2">
        <v>44154</v>
      </c>
      <c r="F328" s="1" t="s">
        <v>22</v>
      </c>
      <c r="G328" s="1" t="s">
        <v>976</v>
      </c>
      <c r="H328" s="1"/>
      <c r="I328" s="1" t="s">
        <v>41</v>
      </c>
      <c r="J328" s="1" t="s">
        <v>287</v>
      </c>
      <c r="K328" s="1">
        <v>0</v>
      </c>
      <c r="L328" s="1"/>
      <c r="M328" s="1"/>
      <c r="N328" s="1" t="s">
        <v>977</v>
      </c>
      <c r="O328" s="1"/>
      <c r="P328" s="2">
        <v>44154</v>
      </c>
      <c r="Q328" s="8" t="str">
        <f t="shared" si="5"/>
        <v>SUPPORTED WITHIN 2DAYS</v>
      </c>
      <c r="R328" s="8" t="s">
        <v>1272</v>
      </c>
      <c r="S328" s="1">
        <v>0</v>
      </c>
      <c r="T328" s="1" t="s">
        <v>246</v>
      </c>
      <c r="U328" s="1" t="str">
        <f>VLOOKUP(T328,personnel!A$1:B$4,2,FALSE)</f>
        <v>Macarling, Federico Jr Romano</v>
      </c>
      <c r="V328" s="3">
        <v>44154.453148148146</v>
      </c>
    </row>
    <row r="329" spans="1:22" x14ac:dyDescent="0.25">
      <c r="A329" s="1" t="s">
        <v>18</v>
      </c>
      <c r="B329" s="1" t="s">
        <v>19</v>
      </c>
      <c r="C329" s="1" t="s">
        <v>166</v>
      </c>
      <c r="D329" s="1" t="s">
        <v>978</v>
      </c>
      <c r="E329" s="2">
        <v>44154</v>
      </c>
      <c r="F329" s="1" t="s">
        <v>22</v>
      </c>
      <c r="G329" s="1" t="s">
        <v>979</v>
      </c>
      <c r="H329" s="1"/>
      <c r="I329" s="1" t="s">
        <v>25</v>
      </c>
      <c r="J329" s="1" t="s">
        <v>652</v>
      </c>
      <c r="K329" s="1">
        <v>0</v>
      </c>
      <c r="L329" s="1"/>
      <c r="M329" s="1"/>
      <c r="N329" s="1" t="s">
        <v>142</v>
      </c>
      <c r="O329" s="1"/>
      <c r="P329" s="2">
        <v>44154</v>
      </c>
      <c r="Q329" s="8" t="str">
        <f t="shared" si="5"/>
        <v>SUPPORTED WITHIN 2DAYS</v>
      </c>
      <c r="R329" s="8" t="s">
        <v>1272</v>
      </c>
      <c r="S329" s="1">
        <v>0</v>
      </c>
      <c r="T329" s="1" t="s">
        <v>246</v>
      </c>
      <c r="U329" s="1" t="str">
        <f>VLOOKUP(T329,personnel!A$1:B$4,2,FALSE)</f>
        <v>Macarling, Federico Jr Romano</v>
      </c>
      <c r="V329" s="3">
        <v>44154.453483796293</v>
      </c>
    </row>
    <row r="330" spans="1:22" x14ac:dyDescent="0.25">
      <c r="A330" s="1" t="s">
        <v>806</v>
      </c>
      <c r="B330" s="1" t="s">
        <v>19</v>
      </c>
      <c r="C330" s="1" t="s">
        <v>166</v>
      </c>
      <c r="D330" s="1" t="s">
        <v>980</v>
      </c>
      <c r="E330" s="2">
        <v>44154</v>
      </c>
      <c r="F330" s="1" t="s">
        <v>808</v>
      </c>
      <c r="G330" s="1" t="s">
        <v>981</v>
      </c>
      <c r="H330" s="1"/>
      <c r="I330" s="1" t="s">
        <v>25</v>
      </c>
      <c r="J330" s="1" t="s">
        <v>652</v>
      </c>
      <c r="K330" s="1">
        <v>0</v>
      </c>
      <c r="L330" s="1"/>
      <c r="M330" s="1"/>
      <c r="N330" s="1" t="s">
        <v>142</v>
      </c>
      <c r="O330" s="1"/>
      <c r="P330" s="2">
        <v>44154</v>
      </c>
      <c r="Q330" s="8" t="str">
        <f t="shared" si="5"/>
        <v>SUPPORTED WITHIN 2DAYS</v>
      </c>
      <c r="R330" s="8" t="s">
        <v>1272</v>
      </c>
      <c r="S330" s="1">
        <v>0</v>
      </c>
      <c r="T330" s="1" t="s">
        <v>246</v>
      </c>
      <c r="U330" s="1" t="str">
        <f>VLOOKUP(T330,personnel!A$1:B$4,2,FALSE)</f>
        <v>Macarling, Federico Jr Romano</v>
      </c>
      <c r="V330" s="3">
        <v>44154.453773148147</v>
      </c>
    </row>
    <row r="331" spans="1:22" x14ac:dyDescent="0.25">
      <c r="A331" s="1" t="s">
        <v>806</v>
      </c>
      <c r="B331" s="1" t="s">
        <v>32</v>
      </c>
      <c r="C331" s="1" t="s">
        <v>20</v>
      </c>
      <c r="D331" s="1" t="s">
        <v>982</v>
      </c>
      <c r="E331" s="2">
        <v>44154</v>
      </c>
      <c r="F331" s="1" t="s">
        <v>808</v>
      </c>
      <c r="G331" s="1" t="s">
        <v>983</v>
      </c>
      <c r="H331" s="1" t="s">
        <v>244</v>
      </c>
      <c r="I331" s="1" t="s">
        <v>36</v>
      </c>
      <c r="J331" s="1" t="s">
        <v>171</v>
      </c>
      <c r="K331" s="1">
        <v>0</v>
      </c>
      <c r="L331" s="1"/>
      <c r="M331" s="1" t="s">
        <v>244</v>
      </c>
      <c r="N331" s="1" t="s">
        <v>984</v>
      </c>
      <c r="O331" s="1" t="s">
        <v>245</v>
      </c>
      <c r="P331" s="2">
        <v>44154</v>
      </c>
      <c r="Q331" s="8" t="str">
        <f t="shared" si="5"/>
        <v>SUPPORTED WITHIN 2DAYS</v>
      </c>
      <c r="R331" s="8" t="s">
        <v>1272</v>
      </c>
      <c r="S331" s="1">
        <v>4</v>
      </c>
      <c r="T331" s="1" t="s">
        <v>246</v>
      </c>
      <c r="U331" s="1" t="str">
        <f>VLOOKUP(T331,personnel!A$1:B$4,2,FALSE)</f>
        <v>Macarling, Federico Jr Romano</v>
      </c>
      <c r="V331" s="3">
        <v>44154.454201388886</v>
      </c>
    </row>
    <row r="332" spans="1:22" x14ac:dyDescent="0.25">
      <c r="A332" s="1" t="s">
        <v>307</v>
      </c>
      <c r="B332" s="1" t="s">
        <v>19</v>
      </c>
      <c r="C332" s="1" t="s">
        <v>166</v>
      </c>
      <c r="D332" s="1" t="s">
        <v>985</v>
      </c>
      <c r="E332" s="2">
        <v>44154</v>
      </c>
      <c r="F332" s="1" t="s">
        <v>309</v>
      </c>
      <c r="G332" s="1" t="s">
        <v>986</v>
      </c>
      <c r="H332" s="1"/>
      <c r="I332" s="1" t="s">
        <v>25</v>
      </c>
      <c r="J332" s="1" t="s">
        <v>652</v>
      </c>
      <c r="K332" s="1">
        <v>0</v>
      </c>
      <c r="L332" s="1"/>
      <c r="M332" s="1"/>
      <c r="N332" s="1" t="s">
        <v>956</v>
      </c>
      <c r="O332" s="1"/>
      <c r="P332" s="2">
        <v>44154</v>
      </c>
      <c r="Q332" s="8" t="str">
        <f t="shared" si="5"/>
        <v>SUPPORTED WITHIN 2DAYS</v>
      </c>
      <c r="R332" s="8" t="s">
        <v>1272</v>
      </c>
      <c r="S332" s="1">
        <v>0</v>
      </c>
      <c r="T332" s="1" t="s">
        <v>246</v>
      </c>
      <c r="U332" s="1" t="str">
        <f>VLOOKUP(T332,personnel!A$1:B$4,2,FALSE)</f>
        <v>Macarling, Federico Jr Romano</v>
      </c>
      <c r="V332" s="3">
        <v>44154.454629629632</v>
      </c>
    </row>
    <row r="333" spans="1:22" x14ac:dyDescent="0.25">
      <c r="A333" s="1" t="s">
        <v>18</v>
      </c>
      <c r="B333" s="1" t="s">
        <v>19</v>
      </c>
      <c r="C333" s="1" t="s">
        <v>166</v>
      </c>
      <c r="D333" s="1" t="s">
        <v>987</v>
      </c>
      <c r="E333" s="2">
        <v>44154</v>
      </c>
      <c r="F333" s="1" t="s">
        <v>22</v>
      </c>
      <c r="G333" s="1" t="s">
        <v>988</v>
      </c>
      <c r="H333" s="1"/>
      <c r="I333" s="1" t="s">
        <v>36</v>
      </c>
      <c r="J333" s="1" t="s">
        <v>171</v>
      </c>
      <c r="K333" s="1">
        <v>0</v>
      </c>
      <c r="L333" s="1"/>
      <c r="M333" s="1"/>
      <c r="N333" s="1" t="s">
        <v>145</v>
      </c>
      <c r="O333" s="1"/>
      <c r="P333" s="2">
        <v>44154</v>
      </c>
      <c r="Q333" s="8" t="str">
        <f t="shared" si="5"/>
        <v>SUPPORTED WITHIN 2DAYS</v>
      </c>
      <c r="R333" s="8" t="s">
        <v>1272</v>
      </c>
      <c r="S333" s="1">
        <v>0</v>
      </c>
      <c r="T333" s="1" t="s">
        <v>246</v>
      </c>
      <c r="U333" s="1" t="str">
        <f>VLOOKUP(T333,personnel!A$1:B$4,2,FALSE)</f>
        <v>Macarling, Federico Jr Romano</v>
      </c>
      <c r="V333" s="3">
        <v>44154.581388888888</v>
      </c>
    </row>
    <row r="334" spans="1:22" x14ac:dyDescent="0.25">
      <c r="A334" s="1" t="s">
        <v>283</v>
      </c>
      <c r="B334" s="1" t="s">
        <v>388</v>
      </c>
      <c r="C334" s="1" t="s">
        <v>20</v>
      </c>
      <c r="D334" s="1" t="s">
        <v>989</v>
      </c>
      <c r="E334" s="2">
        <v>44154</v>
      </c>
      <c r="F334" s="1" t="s">
        <v>285</v>
      </c>
      <c r="G334" s="1" t="s">
        <v>990</v>
      </c>
      <c r="H334" s="1" t="s">
        <v>991</v>
      </c>
      <c r="I334" s="1" t="s">
        <v>170</v>
      </c>
      <c r="J334" s="1" t="s">
        <v>26</v>
      </c>
      <c r="K334" s="1">
        <v>0</v>
      </c>
      <c r="L334" s="1"/>
      <c r="M334" s="1" t="s">
        <v>244</v>
      </c>
      <c r="N334" s="1" t="s">
        <v>992</v>
      </c>
      <c r="O334" s="1" t="s">
        <v>245</v>
      </c>
      <c r="P334" s="2">
        <v>44155</v>
      </c>
      <c r="Q334" s="8" t="str">
        <f t="shared" si="5"/>
        <v>SUPPORTED WITHIN 2DAYS</v>
      </c>
      <c r="R334" s="8" t="s">
        <v>1272</v>
      </c>
      <c r="S334" s="1">
        <v>1</v>
      </c>
      <c r="T334" s="1" t="s">
        <v>246</v>
      </c>
      <c r="U334" s="1" t="str">
        <f>VLOOKUP(T334,personnel!A$1:B$4,2,FALSE)</f>
        <v>Macarling, Federico Jr Romano</v>
      </c>
      <c r="V334" s="3">
        <v>44154.646608796298</v>
      </c>
    </row>
    <row r="335" spans="1:22" x14ac:dyDescent="0.25">
      <c r="A335" s="1" t="s">
        <v>993</v>
      </c>
      <c r="B335" s="1" t="s">
        <v>19</v>
      </c>
      <c r="C335" s="1" t="s">
        <v>166</v>
      </c>
      <c r="D335" s="1" t="s">
        <v>994</v>
      </c>
      <c r="E335" s="2">
        <v>44154</v>
      </c>
      <c r="F335" s="1" t="s">
        <v>995</v>
      </c>
      <c r="G335" s="1" t="s">
        <v>996</v>
      </c>
      <c r="H335" s="1"/>
      <c r="I335" s="1" t="s">
        <v>25</v>
      </c>
      <c r="J335" s="1" t="s">
        <v>42</v>
      </c>
      <c r="K335" s="1">
        <v>0</v>
      </c>
      <c r="L335" s="1"/>
      <c r="M335" s="1"/>
      <c r="N335" s="1" t="s">
        <v>992</v>
      </c>
      <c r="O335" s="1"/>
      <c r="P335" s="2">
        <v>44154</v>
      </c>
      <c r="Q335" s="8" t="str">
        <f t="shared" si="5"/>
        <v>SUPPORTED WITHIN 2DAYS</v>
      </c>
      <c r="R335" s="8" t="s">
        <v>1272</v>
      </c>
      <c r="S335" s="1">
        <v>0</v>
      </c>
      <c r="T335" s="1" t="s">
        <v>246</v>
      </c>
      <c r="U335" s="1" t="str">
        <f>VLOOKUP(T335,personnel!A$1:B$4,2,FALSE)</f>
        <v>Macarling, Federico Jr Romano</v>
      </c>
      <c r="V335" s="3">
        <v>44154.647175925929</v>
      </c>
    </row>
    <row r="336" spans="1:22" x14ac:dyDescent="0.25">
      <c r="A336" s="1" t="s">
        <v>18</v>
      </c>
      <c r="B336" s="1" t="s">
        <v>388</v>
      </c>
      <c r="C336" s="1" t="s">
        <v>20</v>
      </c>
      <c r="D336" s="1" t="s">
        <v>997</v>
      </c>
      <c r="E336" s="2">
        <v>44154</v>
      </c>
      <c r="F336" s="1" t="s">
        <v>22</v>
      </c>
      <c r="G336" s="1" t="s">
        <v>998</v>
      </c>
      <c r="H336" s="1" t="s">
        <v>244</v>
      </c>
      <c r="I336" s="1" t="s">
        <v>170</v>
      </c>
      <c r="J336" s="1" t="s">
        <v>26</v>
      </c>
      <c r="K336" s="1">
        <v>0</v>
      </c>
      <c r="L336" s="1"/>
      <c r="M336" s="1" t="s">
        <v>244</v>
      </c>
      <c r="N336" s="1"/>
      <c r="O336" s="1" t="s">
        <v>245</v>
      </c>
      <c r="P336" s="2">
        <v>44155</v>
      </c>
      <c r="Q336" s="8" t="str">
        <f t="shared" si="5"/>
        <v>SUPPORTED WITHIN 2DAYS</v>
      </c>
      <c r="R336" s="8" t="s">
        <v>1272</v>
      </c>
      <c r="S336" s="1">
        <v>1</v>
      </c>
      <c r="T336" s="1" t="s">
        <v>246</v>
      </c>
      <c r="U336" s="1" t="str">
        <f>VLOOKUP(T336,personnel!A$1:B$4,2,FALSE)</f>
        <v>Macarling, Federico Jr Romano</v>
      </c>
      <c r="V336" s="3">
        <v>44155.374421296299</v>
      </c>
    </row>
    <row r="337" spans="1:22" x14ac:dyDescent="0.25">
      <c r="A337" s="1" t="s">
        <v>37</v>
      </c>
      <c r="B337" s="1" t="s">
        <v>19</v>
      </c>
      <c r="C337" s="1" t="s">
        <v>20</v>
      </c>
      <c r="D337" s="1" t="s">
        <v>999</v>
      </c>
      <c r="E337" s="2">
        <v>44155</v>
      </c>
      <c r="F337" s="1" t="s">
        <v>39</v>
      </c>
      <c r="G337" s="1" t="s">
        <v>1000</v>
      </c>
      <c r="H337" s="1" t="s">
        <v>244</v>
      </c>
      <c r="I337" s="1" t="s">
        <v>36</v>
      </c>
      <c r="J337" s="1" t="s">
        <v>171</v>
      </c>
      <c r="K337" s="1">
        <v>0</v>
      </c>
      <c r="L337" s="1"/>
      <c r="M337" s="1" t="s">
        <v>244</v>
      </c>
      <c r="N337" s="1" t="s">
        <v>1001</v>
      </c>
      <c r="O337" s="1" t="s">
        <v>245</v>
      </c>
      <c r="P337" s="2">
        <v>44155</v>
      </c>
      <c r="Q337" s="8" t="str">
        <f t="shared" si="5"/>
        <v>SUPPORTED WITHIN 2DAYS</v>
      </c>
      <c r="R337" s="8" t="s">
        <v>1272</v>
      </c>
      <c r="S337" s="1">
        <v>0</v>
      </c>
      <c r="T337" s="1" t="s">
        <v>246</v>
      </c>
      <c r="U337" s="1" t="str">
        <f>VLOOKUP(T337,personnel!A$1:B$4,2,FALSE)</f>
        <v>Macarling, Federico Jr Romano</v>
      </c>
      <c r="V337" s="3">
        <v>44155.380590277775</v>
      </c>
    </row>
    <row r="338" spans="1:22" x14ac:dyDescent="0.25">
      <c r="A338" s="1" t="s">
        <v>396</v>
      </c>
      <c r="B338" s="1" t="s">
        <v>19</v>
      </c>
      <c r="C338" s="1" t="s">
        <v>20</v>
      </c>
      <c r="D338" s="1" t="s">
        <v>1002</v>
      </c>
      <c r="E338" s="2">
        <v>44155</v>
      </c>
      <c r="F338" s="1" t="s">
        <v>398</v>
      </c>
      <c r="G338" s="1" t="s">
        <v>768</v>
      </c>
      <c r="H338" s="1" t="s">
        <v>726</v>
      </c>
      <c r="I338" s="1" t="s">
        <v>41</v>
      </c>
      <c r="J338" s="1" t="s">
        <v>652</v>
      </c>
      <c r="K338" s="1">
        <v>0</v>
      </c>
      <c r="L338" s="1"/>
      <c r="M338" s="1" t="s">
        <v>542</v>
      </c>
      <c r="N338" s="1"/>
      <c r="O338" s="1" t="s">
        <v>543</v>
      </c>
      <c r="P338" s="2">
        <v>44155</v>
      </c>
      <c r="Q338" s="8" t="str">
        <f t="shared" si="5"/>
        <v>SUPPORTED WITHIN 2DAYS</v>
      </c>
      <c r="R338" s="8" t="s">
        <v>1272</v>
      </c>
      <c r="S338" s="1">
        <v>0</v>
      </c>
      <c r="T338" s="1" t="s">
        <v>544</v>
      </c>
      <c r="U338" s="1" t="str">
        <f>VLOOKUP(T338,personnel!A$1:B$4,2,FALSE)</f>
        <v>Velasquez, Jayson Alon</v>
      </c>
      <c r="V338" s="3">
        <v>44155.411145833335</v>
      </c>
    </row>
    <row r="339" spans="1:22" x14ac:dyDescent="0.25">
      <c r="A339" s="1" t="s">
        <v>283</v>
      </c>
      <c r="B339" s="1" t="s">
        <v>19</v>
      </c>
      <c r="C339" s="1" t="s">
        <v>20</v>
      </c>
      <c r="D339" s="1" t="s">
        <v>1003</v>
      </c>
      <c r="E339" s="2">
        <v>44155</v>
      </c>
      <c r="F339" s="1" t="s">
        <v>285</v>
      </c>
      <c r="G339" s="1" t="s">
        <v>1004</v>
      </c>
      <c r="H339" s="1" t="s">
        <v>626</v>
      </c>
      <c r="I339" s="1" t="s">
        <v>41</v>
      </c>
      <c r="J339" s="1" t="s">
        <v>42</v>
      </c>
      <c r="K339" s="1">
        <v>0</v>
      </c>
      <c r="L339" s="1"/>
      <c r="M339" s="1" t="s">
        <v>542</v>
      </c>
      <c r="N339" s="1"/>
      <c r="O339" s="1" t="s">
        <v>543</v>
      </c>
      <c r="P339" s="2">
        <v>44155</v>
      </c>
      <c r="Q339" s="8" t="str">
        <f t="shared" si="5"/>
        <v>SUPPORTED WITHIN 2DAYS</v>
      </c>
      <c r="R339" s="8" t="s">
        <v>1272</v>
      </c>
      <c r="S339" s="1">
        <v>0</v>
      </c>
      <c r="T339" s="1" t="s">
        <v>544</v>
      </c>
      <c r="U339" s="1" t="str">
        <f>VLOOKUP(T339,personnel!A$1:B$4,2,FALSE)</f>
        <v>Velasquez, Jayson Alon</v>
      </c>
      <c r="V339" s="3">
        <v>44155.413171296299</v>
      </c>
    </row>
    <row r="340" spans="1:22" x14ac:dyDescent="0.25">
      <c r="A340" s="1" t="s">
        <v>18</v>
      </c>
      <c r="B340" s="1" t="s">
        <v>19</v>
      </c>
      <c r="C340" s="1" t="s">
        <v>166</v>
      </c>
      <c r="D340" s="1" t="s">
        <v>1005</v>
      </c>
      <c r="E340" s="2">
        <v>44155</v>
      </c>
      <c r="F340" s="1" t="s">
        <v>22</v>
      </c>
      <c r="G340" s="1" t="s">
        <v>1006</v>
      </c>
      <c r="H340" s="1"/>
      <c r="I340" s="1" t="s">
        <v>36</v>
      </c>
      <c r="J340" s="1" t="s">
        <v>171</v>
      </c>
      <c r="K340" s="1">
        <v>0</v>
      </c>
      <c r="L340" s="1"/>
      <c r="M340" s="1"/>
      <c r="N340" s="1" t="s">
        <v>1001</v>
      </c>
      <c r="O340" s="1"/>
      <c r="P340" s="2">
        <v>44155</v>
      </c>
      <c r="Q340" s="8" t="str">
        <f t="shared" si="5"/>
        <v>SUPPORTED WITHIN 2DAYS</v>
      </c>
      <c r="R340" s="8" t="s">
        <v>1272</v>
      </c>
      <c r="S340" s="1">
        <v>0</v>
      </c>
      <c r="T340" s="1" t="s">
        <v>246</v>
      </c>
      <c r="U340" s="1" t="str">
        <f>VLOOKUP(T340,personnel!A$1:B$4,2,FALSE)</f>
        <v>Macarling, Federico Jr Romano</v>
      </c>
      <c r="V340" s="3">
        <v>44155.607476851852</v>
      </c>
    </row>
    <row r="341" spans="1:22" x14ac:dyDescent="0.25">
      <c r="A341" s="1" t="s">
        <v>18</v>
      </c>
      <c r="B341" s="1" t="s">
        <v>19</v>
      </c>
      <c r="C341" s="1" t="s">
        <v>20</v>
      </c>
      <c r="D341" s="1" t="s">
        <v>1007</v>
      </c>
      <c r="E341" s="2">
        <v>44155</v>
      </c>
      <c r="F341" s="1" t="s">
        <v>22</v>
      </c>
      <c r="G341" s="1" t="s">
        <v>1008</v>
      </c>
      <c r="H341" s="1" t="s">
        <v>629</v>
      </c>
      <c r="I341" s="1" t="s">
        <v>95</v>
      </c>
      <c r="J341" s="1" t="s">
        <v>552</v>
      </c>
      <c r="K341" s="1">
        <v>0</v>
      </c>
      <c r="L341" s="1"/>
      <c r="M341" s="1" t="s">
        <v>542</v>
      </c>
      <c r="N341" s="1"/>
      <c r="O341" s="1" t="s">
        <v>543</v>
      </c>
      <c r="P341" s="2">
        <v>44155</v>
      </c>
      <c r="Q341" s="8" t="str">
        <f t="shared" si="5"/>
        <v>SUPPORTED WITHIN 2DAYS</v>
      </c>
      <c r="R341" s="8" t="s">
        <v>1272</v>
      </c>
      <c r="S341" s="1">
        <v>0</v>
      </c>
      <c r="T341" s="1" t="s">
        <v>544</v>
      </c>
      <c r="U341" s="1" t="str">
        <f>VLOOKUP(T341,personnel!A$1:B$4,2,FALSE)</f>
        <v>Velasquez, Jayson Alon</v>
      </c>
      <c r="V341" s="3">
        <v>44155.615312499998</v>
      </c>
    </row>
    <row r="342" spans="1:22" x14ac:dyDescent="0.25">
      <c r="A342" s="1" t="s">
        <v>18</v>
      </c>
      <c r="B342" s="1" t="s">
        <v>19</v>
      </c>
      <c r="C342" s="1" t="s">
        <v>20</v>
      </c>
      <c r="D342" s="1" t="s">
        <v>1009</v>
      </c>
      <c r="E342" s="2">
        <v>44155</v>
      </c>
      <c r="F342" s="1" t="s">
        <v>22</v>
      </c>
      <c r="G342" s="1" t="s">
        <v>1010</v>
      </c>
      <c r="H342" s="1" t="s">
        <v>629</v>
      </c>
      <c r="I342" s="1" t="s">
        <v>95</v>
      </c>
      <c r="J342" s="1" t="s">
        <v>552</v>
      </c>
      <c r="K342" s="1">
        <v>0</v>
      </c>
      <c r="L342" s="1"/>
      <c r="M342" s="1" t="s">
        <v>542</v>
      </c>
      <c r="N342" s="1"/>
      <c r="O342" s="1" t="s">
        <v>543</v>
      </c>
      <c r="P342" s="2">
        <v>44155</v>
      </c>
      <c r="Q342" s="8" t="str">
        <f t="shared" si="5"/>
        <v>SUPPORTED WITHIN 2DAYS</v>
      </c>
      <c r="R342" s="8" t="s">
        <v>1272</v>
      </c>
      <c r="S342" s="1">
        <v>0</v>
      </c>
      <c r="T342" s="1" t="s">
        <v>544</v>
      </c>
      <c r="U342" s="1" t="str">
        <f>VLOOKUP(T342,personnel!A$1:B$4,2,FALSE)</f>
        <v>Velasquez, Jayson Alon</v>
      </c>
      <c r="V342" s="3">
        <v>44155.615590277775</v>
      </c>
    </row>
    <row r="343" spans="1:22" x14ac:dyDescent="0.25">
      <c r="A343" s="1" t="s">
        <v>893</v>
      </c>
      <c r="B343" s="1" t="s">
        <v>19</v>
      </c>
      <c r="C343" s="1" t="s">
        <v>20</v>
      </c>
      <c r="D343" s="1" t="s">
        <v>1011</v>
      </c>
      <c r="E343" s="2">
        <v>44155</v>
      </c>
      <c r="F343" s="1" t="s">
        <v>895</v>
      </c>
      <c r="G343" s="1" t="s">
        <v>1012</v>
      </c>
      <c r="H343" s="1" t="s">
        <v>1013</v>
      </c>
      <c r="I343" s="1" t="s">
        <v>36</v>
      </c>
      <c r="J343" s="1" t="s">
        <v>563</v>
      </c>
      <c r="K343" s="1">
        <v>0</v>
      </c>
      <c r="L343" s="1"/>
      <c r="M343" s="1" t="s">
        <v>542</v>
      </c>
      <c r="N343" s="1"/>
      <c r="O343" s="1" t="s">
        <v>543</v>
      </c>
      <c r="P343" s="2">
        <v>44155</v>
      </c>
      <c r="Q343" s="8" t="str">
        <f t="shared" si="5"/>
        <v>SUPPORTED WITHIN 2DAYS</v>
      </c>
      <c r="R343" s="8" t="s">
        <v>1272</v>
      </c>
      <c r="S343" s="1">
        <v>0</v>
      </c>
      <c r="T343" s="1" t="s">
        <v>544</v>
      </c>
      <c r="U343" s="1" t="str">
        <f>VLOOKUP(T343,personnel!A$1:B$4,2,FALSE)</f>
        <v>Velasquez, Jayson Alon</v>
      </c>
      <c r="V343" s="3">
        <v>44155.616400462961</v>
      </c>
    </row>
    <row r="344" spans="1:22" x14ac:dyDescent="0.25">
      <c r="A344" s="1" t="s">
        <v>18</v>
      </c>
      <c r="B344" s="1" t="s">
        <v>32</v>
      </c>
      <c r="C344" s="1" t="s">
        <v>20</v>
      </c>
      <c r="D344" s="1" t="s">
        <v>1014</v>
      </c>
      <c r="E344" s="2">
        <v>44155</v>
      </c>
      <c r="F344" s="1" t="s">
        <v>22</v>
      </c>
      <c r="G344" s="1" t="s">
        <v>1015</v>
      </c>
      <c r="H344" s="1" t="s">
        <v>244</v>
      </c>
      <c r="I344" s="1" t="s">
        <v>36</v>
      </c>
      <c r="J344" s="1" t="s">
        <v>171</v>
      </c>
      <c r="K344" s="1">
        <v>0</v>
      </c>
      <c r="L344" s="1"/>
      <c r="M344" s="1" t="s">
        <v>244</v>
      </c>
      <c r="N344" s="1" t="s">
        <v>1001</v>
      </c>
      <c r="O344" s="1" t="s">
        <v>245</v>
      </c>
      <c r="P344" s="2">
        <v>44155</v>
      </c>
      <c r="Q344" s="8" t="str">
        <f t="shared" si="5"/>
        <v>SUPPORTED WITHIN 2DAYS</v>
      </c>
      <c r="R344" s="8" t="s">
        <v>1272</v>
      </c>
      <c r="S344" s="1">
        <v>4</v>
      </c>
      <c r="T344" s="1" t="s">
        <v>246</v>
      </c>
      <c r="U344" s="1" t="str">
        <f>VLOOKUP(T344,personnel!A$1:B$4,2,FALSE)</f>
        <v>Macarling, Federico Jr Romano</v>
      </c>
      <c r="V344" s="3">
        <v>44155.645740740743</v>
      </c>
    </row>
    <row r="345" spans="1:22" x14ac:dyDescent="0.25">
      <c r="A345" s="1" t="s">
        <v>18</v>
      </c>
      <c r="B345" s="1" t="s">
        <v>32</v>
      </c>
      <c r="C345" s="1" t="s">
        <v>20</v>
      </c>
      <c r="D345" s="1" t="s">
        <v>1016</v>
      </c>
      <c r="E345" s="2">
        <v>44155</v>
      </c>
      <c r="F345" s="1" t="s">
        <v>22</v>
      </c>
      <c r="G345" s="1" t="s">
        <v>1017</v>
      </c>
      <c r="H345" s="1" t="s">
        <v>244</v>
      </c>
      <c r="I345" s="1" t="s">
        <v>36</v>
      </c>
      <c r="J345" s="1" t="s">
        <v>171</v>
      </c>
      <c r="K345" s="1">
        <v>0</v>
      </c>
      <c r="L345" s="1"/>
      <c r="M345" s="1" t="s">
        <v>244</v>
      </c>
      <c r="N345" s="1" t="s">
        <v>1001</v>
      </c>
      <c r="O345" s="1" t="s">
        <v>245</v>
      </c>
      <c r="P345" s="2">
        <v>44155</v>
      </c>
      <c r="Q345" s="8" t="str">
        <f t="shared" si="5"/>
        <v>SUPPORTED WITHIN 2DAYS</v>
      </c>
      <c r="R345" s="8" t="s">
        <v>1272</v>
      </c>
      <c r="S345" s="1">
        <v>4</v>
      </c>
      <c r="T345" s="1" t="s">
        <v>246</v>
      </c>
      <c r="U345" s="1" t="str">
        <f>VLOOKUP(T345,personnel!A$1:B$4,2,FALSE)</f>
        <v>Macarling, Federico Jr Romano</v>
      </c>
      <c r="V345" s="3">
        <v>44155.646006944444</v>
      </c>
    </row>
    <row r="346" spans="1:22" x14ac:dyDescent="0.25">
      <c r="A346" s="1" t="s">
        <v>18</v>
      </c>
      <c r="B346" s="1" t="s">
        <v>19</v>
      </c>
      <c r="C346" s="1" t="s">
        <v>20</v>
      </c>
      <c r="D346" s="1" t="s">
        <v>1018</v>
      </c>
      <c r="E346" s="2">
        <v>44155</v>
      </c>
      <c r="F346" s="1" t="s">
        <v>22</v>
      </c>
      <c r="G346" s="1" t="s">
        <v>901</v>
      </c>
      <c r="H346" s="1" t="s">
        <v>902</v>
      </c>
      <c r="I346" s="1" t="s">
        <v>36</v>
      </c>
      <c r="J346" s="1" t="s">
        <v>42</v>
      </c>
      <c r="K346" s="1">
        <v>0</v>
      </c>
      <c r="L346" s="1"/>
      <c r="M346" s="1" t="s">
        <v>542</v>
      </c>
      <c r="N346" s="1"/>
      <c r="O346" s="1" t="s">
        <v>543</v>
      </c>
      <c r="P346" s="2">
        <v>44155</v>
      </c>
      <c r="Q346" s="8" t="str">
        <f t="shared" si="5"/>
        <v>SUPPORTED WITHIN 2DAYS</v>
      </c>
      <c r="R346" s="8" t="s">
        <v>1272</v>
      </c>
      <c r="S346" s="1">
        <v>0</v>
      </c>
      <c r="T346" s="1" t="s">
        <v>544</v>
      </c>
      <c r="U346" s="1" t="str">
        <f>VLOOKUP(T346,personnel!A$1:B$4,2,FALSE)</f>
        <v>Velasquez, Jayson Alon</v>
      </c>
      <c r="V346" s="3">
        <v>44155.659560185188</v>
      </c>
    </row>
    <row r="347" spans="1:22" x14ac:dyDescent="0.25">
      <c r="A347" s="1" t="s">
        <v>1019</v>
      </c>
      <c r="B347" s="1" t="s">
        <v>19</v>
      </c>
      <c r="C347" s="1" t="s">
        <v>20</v>
      </c>
      <c r="D347" s="1" t="s">
        <v>1020</v>
      </c>
      <c r="E347" s="2">
        <v>44155</v>
      </c>
      <c r="F347" s="1" t="s">
        <v>1021</v>
      </c>
      <c r="G347" s="1" t="s">
        <v>1022</v>
      </c>
      <c r="H347" s="1" t="s">
        <v>584</v>
      </c>
      <c r="I347" s="1" t="s">
        <v>36</v>
      </c>
      <c r="J347" s="1" t="s">
        <v>563</v>
      </c>
      <c r="K347" s="1">
        <v>0</v>
      </c>
      <c r="L347" s="1"/>
      <c r="M347" s="1" t="s">
        <v>542</v>
      </c>
      <c r="N347" s="1"/>
      <c r="O347" s="1" t="s">
        <v>543</v>
      </c>
      <c r="P347" s="2">
        <v>44155</v>
      </c>
      <c r="Q347" s="8" t="str">
        <f t="shared" si="5"/>
        <v>SUPPORTED WITHIN 2DAYS</v>
      </c>
      <c r="R347" s="8" t="s">
        <v>1272</v>
      </c>
      <c r="S347" s="1">
        <v>0</v>
      </c>
      <c r="T347" s="1" t="s">
        <v>544</v>
      </c>
      <c r="U347" s="1" t="str">
        <f>VLOOKUP(T347,personnel!A$1:B$4,2,FALSE)</f>
        <v>Velasquez, Jayson Alon</v>
      </c>
      <c r="V347" s="3">
        <v>44155.660034722219</v>
      </c>
    </row>
    <row r="348" spans="1:22" x14ac:dyDescent="0.25">
      <c r="A348" s="1" t="s">
        <v>18</v>
      </c>
      <c r="B348" s="1" t="s">
        <v>19</v>
      </c>
      <c r="C348" s="1" t="s">
        <v>166</v>
      </c>
      <c r="D348" s="1" t="s">
        <v>1023</v>
      </c>
      <c r="E348" s="2">
        <v>44155</v>
      </c>
      <c r="F348" s="1" t="s">
        <v>22</v>
      </c>
      <c r="G348" s="1" t="s">
        <v>1024</v>
      </c>
      <c r="H348" s="1"/>
      <c r="I348" s="1" t="s">
        <v>95</v>
      </c>
      <c r="J348" s="1" t="s">
        <v>42</v>
      </c>
      <c r="K348" s="1">
        <v>0</v>
      </c>
      <c r="L348" s="1"/>
      <c r="M348" s="1"/>
      <c r="N348" s="1" t="s">
        <v>1001</v>
      </c>
      <c r="O348" s="1"/>
      <c r="P348" s="2">
        <v>44155</v>
      </c>
      <c r="Q348" s="8" t="str">
        <f t="shared" si="5"/>
        <v>SUPPORTED WITHIN 2DAYS</v>
      </c>
      <c r="R348" s="8" t="s">
        <v>1272</v>
      </c>
      <c r="S348" s="1">
        <v>0</v>
      </c>
      <c r="T348" s="1" t="s">
        <v>246</v>
      </c>
      <c r="U348" s="1" t="str">
        <f>VLOOKUP(T348,personnel!A$1:B$4,2,FALSE)</f>
        <v>Macarling, Federico Jr Romano</v>
      </c>
      <c r="V348" s="3">
        <v>44155.67391203704</v>
      </c>
    </row>
    <row r="349" spans="1:22" x14ac:dyDescent="0.25">
      <c r="A349" s="1" t="s">
        <v>18</v>
      </c>
      <c r="B349" s="1" t="s">
        <v>19</v>
      </c>
      <c r="C349" s="1" t="s">
        <v>166</v>
      </c>
      <c r="D349" s="1" t="s">
        <v>1025</v>
      </c>
      <c r="E349" s="2">
        <v>44155</v>
      </c>
      <c r="F349" s="1" t="s">
        <v>22</v>
      </c>
      <c r="G349" s="1" t="s">
        <v>1026</v>
      </c>
      <c r="H349" s="1"/>
      <c r="I349" s="1" t="s">
        <v>25</v>
      </c>
      <c r="J349" s="1" t="s">
        <v>42</v>
      </c>
      <c r="K349" s="1">
        <v>0</v>
      </c>
      <c r="L349" s="1"/>
      <c r="M349" s="1"/>
      <c r="N349" s="1" t="s">
        <v>1001</v>
      </c>
      <c r="O349" s="1"/>
      <c r="P349" s="2">
        <v>44155</v>
      </c>
      <c r="Q349" s="8" t="str">
        <f t="shared" si="5"/>
        <v>SUPPORTED WITHIN 2DAYS</v>
      </c>
      <c r="R349" s="8" t="s">
        <v>1272</v>
      </c>
      <c r="S349" s="1">
        <v>0</v>
      </c>
      <c r="T349" s="1" t="s">
        <v>246</v>
      </c>
      <c r="U349" s="1" t="str">
        <f>VLOOKUP(T349,personnel!A$1:B$4,2,FALSE)</f>
        <v>Macarling, Federico Jr Romano</v>
      </c>
      <c r="V349" s="3">
        <v>44155.674363425926</v>
      </c>
    </row>
    <row r="350" spans="1:22" x14ac:dyDescent="0.25">
      <c r="A350" s="1" t="s">
        <v>368</v>
      </c>
      <c r="B350" s="1" t="s">
        <v>19</v>
      </c>
      <c r="C350" s="1" t="s">
        <v>166</v>
      </c>
      <c r="D350" s="1" t="s">
        <v>1027</v>
      </c>
      <c r="E350" s="2">
        <v>44156</v>
      </c>
      <c r="F350" s="1" t="s">
        <v>370</v>
      </c>
      <c r="G350" s="1" t="s">
        <v>1028</v>
      </c>
      <c r="H350" s="1"/>
      <c r="I350" s="1" t="s">
        <v>170</v>
      </c>
      <c r="J350" s="1" t="s">
        <v>26</v>
      </c>
      <c r="K350" s="1">
        <v>1</v>
      </c>
      <c r="L350" s="1"/>
      <c r="M350" s="1"/>
      <c r="N350" s="1"/>
      <c r="O350" s="1"/>
      <c r="P350" s="2">
        <v>44156</v>
      </c>
      <c r="Q350" s="8" t="str">
        <f t="shared" si="5"/>
        <v>SUPPORTED WITHIN 2DAYS</v>
      </c>
      <c r="R350" s="8" t="s">
        <v>1272</v>
      </c>
      <c r="S350" s="1">
        <v>0</v>
      </c>
      <c r="T350" s="1" t="s">
        <v>544</v>
      </c>
      <c r="U350" s="1" t="str">
        <f>VLOOKUP(T350,personnel!A$1:B$4,2,FALSE)</f>
        <v>Velasquez, Jayson Alon</v>
      </c>
      <c r="V350" s="3">
        <v>44156.375347222223</v>
      </c>
    </row>
    <row r="351" spans="1:22" x14ac:dyDescent="0.25">
      <c r="A351" s="1" t="s">
        <v>387</v>
      </c>
      <c r="B351" s="1" t="s">
        <v>19</v>
      </c>
      <c r="C351" s="1" t="s">
        <v>166</v>
      </c>
      <c r="D351" s="1" t="s">
        <v>1029</v>
      </c>
      <c r="E351" s="2">
        <v>44156</v>
      </c>
      <c r="F351" s="1" t="s">
        <v>390</v>
      </c>
      <c r="G351" s="1" t="s">
        <v>1030</v>
      </c>
      <c r="H351" s="1" t="s">
        <v>828</v>
      </c>
      <c r="I351" s="1" t="s">
        <v>95</v>
      </c>
      <c r="J351" s="1" t="s">
        <v>171</v>
      </c>
      <c r="K351" s="1">
        <v>0</v>
      </c>
      <c r="L351" s="1"/>
      <c r="M351" s="1" t="s">
        <v>244</v>
      </c>
      <c r="N351" s="1" t="s">
        <v>1031</v>
      </c>
      <c r="O351" s="1" t="s">
        <v>245</v>
      </c>
      <c r="P351" s="2">
        <v>44156</v>
      </c>
      <c r="Q351" s="8" t="str">
        <f t="shared" si="5"/>
        <v>SUPPORTED WITHIN 2DAYS</v>
      </c>
      <c r="R351" s="8" t="s">
        <v>1272</v>
      </c>
      <c r="S351" s="1">
        <v>0</v>
      </c>
      <c r="T351" s="1" t="s">
        <v>246</v>
      </c>
      <c r="U351" s="1" t="str">
        <f>VLOOKUP(T351,personnel!A$1:B$4,2,FALSE)</f>
        <v>Macarling, Federico Jr Romano</v>
      </c>
      <c r="V351" s="3">
        <v>44156.377604166664</v>
      </c>
    </row>
    <row r="352" spans="1:22" x14ac:dyDescent="0.25">
      <c r="A352" s="1" t="s">
        <v>18</v>
      </c>
      <c r="B352" s="1" t="s">
        <v>19</v>
      </c>
      <c r="C352" s="1" t="s">
        <v>20</v>
      </c>
      <c r="D352" s="1" t="s">
        <v>1032</v>
      </c>
      <c r="E352" s="2">
        <v>44156</v>
      </c>
      <c r="F352" s="1" t="s">
        <v>22</v>
      </c>
      <c r="G352" s="1" t="s">
        <v>1033</v>
      </c>
      <c r="H352" s="1" t="s">
        <v>1034</v>
      </c>
      <c r="I352" s="1" t="s">
        <v>25</v>
      </c>
      <c r="J352" s="1" t="s">
        <v>26</v>
      </c>
      <c r="K352" s="1">
        <v>0</v>
      </c>
      <c r="L352" s="1"/>
      <c r="M352" s="1" t="s">
        <v>542</v>
      </c>
      <c r="N352" s="1"/>
      <c r="O352" s="1" t="s">
        <v>543</v>
      </c>
      <c r="P352" s="2">
        <v>44156</v>
      </c>
      <c r="Q352" s="8" t="str">
        <f t="shared" si="5"/>
        <v>SUPPORTED WITHIN 2DAYS</v>
      </c>
      <c r="R352" s="8" t="s">
        <v>1272</v>
      </c>
      <c r="S352" s="1">
        <v>0</v>
      </c>
      <c r="T352" s="1" t="s">
        <v>544</v>
      </c>
      <c r="U352" s="1" t="str">
        <f>VLOOKUP(T352,personnel!A$1:B$4,2,FALSE)</f>
        <v>Velasquez, Jayson Alon</v>
      </c>
      <c r="V352" s="3">
        <v>44156.394293981481</v>
      </c>
    </row>
    <row r="353" spans="1:22" x14ac:dyDescent="0.25">
      <c r="A353" s="1" t="s">
        <v>917</v>
      </c>
      <c r="B353" s="1" t="s">
        <v>19</v>
      </c>
      <c r="C353" s="1" t="s">
        <v>166</v>
      </c>
      <c r="D353" s="1" t="s">
        <v>1035</v>
      </c>
      <c r="E353" s="2">
        <v>44156</v>
      </c>
      <c r="F353" s="1" t="s">
        <v>919</v>
      </c>
      <c r="G353" s="1" t="s">
        <v>1036</v>
      </c>
      <c r="H353" s="1"/>
      <c r="I353" s="1" t="s">
        <v>95</v>
      </c>
      <c r="J353" s="1" t="s">
        <v>26</v>
      </c>
      <c r="K353" s="1">
        <v>1</v>
      </c>
      <c r="L353" s="1"/>
      <c r="M353" s="1"/>
      <c r="N353" s="1" t="s">
        <v>1031</v>
      </c>
      <c r="O353" s="1"/>
      <c r="P353" s="2">
        <v>44156</v>
      </c>
      <c r="Q353" s="8" t="str">
        <f t="shared" si="5"/>
        <v>SUPPORTED WITHIN 2DAYS</v>
      </c>
      <c r="R353" s="8" t="s">
        <v>1272</v>
      </c>
      <c r="S353" s="1">
        <v>0</v>
      </c>
      <c r="T353" s="1" t="s">
        <v>246</v>
      </c>
      <c r="U353" s="1" t="str">
        <f>VLOOKUP(T353,personnel!A$1:B$4,2,FALSE)</f>
        <v>Macarling, Federico Jr Romano</v>
      </c>
      <c r="V353" s="3">
        <v>44156.461701388886</v>
      </c>
    </row>
    <row r="354" spans="1:22" x14ac:dyDescent="0.25">
      <c r="A354" s="1" t="s">
        <v>378</v>
      </c>
      <c r="B354" s="1" t="s">
        <v>19</v>
      </c>
      <c r="C354" s="1" t="s">
        <v>166</v>
      </c>
      <c r="D354" s="1" t="s">
        <v>1037</v>
      </c>
      <c r="E354" s="2">
        <v>44156</v>
      </c>
      <c r="F354" s="1" t="s">
        <v>380</v>
      </c>
      <c r="G354" s="1" t="s">
        <v>1038</v>
      </c>
      <c r="H354" s="1"/>
      <c r="I354" s="1" t="s">
        <v>170</v>
      </c>
      <c r="J354" s="1" t="s">
        <v>26</v>
      </c>
      <c r="K354" s="1">
        <v>1</v>
      </c>
      <c r="L354" s="1"/>
      <c r="M354" s="1"/>
      <c r="N354" s="1"/>
      <c r="O354" s="1"/>
      <c r="P354" s="2">
        <v>44156</v>
      </c>
      <c r="Q354" s="8" t="str">
        <f t="shared" si="5"/>
        <v>SUPPORTED WITHIN 2DAYS</v>
      </c>
      <c r="R354" s="8" t="s">
        <v>1272</v>
      </c>
      <c r="S354" s="1">
        <v>0</v>
      </c>
      <c r="T354" s="1" t="s">
        <v>544</v>
      </c>
      <c r="U354" s="1" t="str">
        <f>VLOOKUP(T354,personnel!A$1:B$4,2,FALSE)</f>
        <v>Velasquez, Jayson Alon</v>
      </c>
      <c r="V354" s="3">
        <v>44156.474108796298</v>
      </c>
    </row>
    <row r="355" spans="1:22" x14ac:dyDescent="0.25">
      <c r="A355" s="1" t="s">
        <v>1039</v>
      </c>
      <c r="B355" s="1" t="s">
        <v>19</v>
      </c>
      <c r="C355" s="1" t="s">
        <v>20</v>
      </c>
      <c r="D355" s="1" t="s">
        <v>1040</v>
      </c>
      <c r="E355" s="2">
        <v>44156</v>
      </c>
      <c r="F355" s="1" t="s">
        <v>1041</v>
      </c>
      <c r="G355" s="1" t="s">
        <v>1042</v>
      </c>
      <c r="H355" s="1" t="s">
        <v>1043</v>
      </c>
      <c r="I355" s="1" t="s">
        <v>41</v>
      </c>
      <c r="J355" s="1" t="s">
        <v>652</v>
      </c>
      <c r="K355" s="1">
        <v>0</v>
      </c>
      <c r="L355" s="1"/>
      <c r="M355" s="1" t="s">
        <v>542</v>
      </c>
      <c r="N355" s="1"/>
      <c r="O355" s="1" t="s">
        <v>543</v>
      </c>
      <c r="P355" s="2">
        <v>44156</v>
      </c>
      <c r="Q355" s="8" t="str">
        <f t="shared" si="5"/>
        <v>SUPPORTED WITHIN 2DAYS</v>
      </c>
      <c r="R355" s="8" t="s">
        <v>1272</v>
      </c>
      <c r="S355" s="1">
        <v>0</v>
      </c>
      <c r="T355" s="1" t="s">
        <v>544</v>
      </c>
      <c r="U355" s="1" t="str">
        <f>VLOOKUP(T355,personnel!A$1:B$4,2,FALSE)</f>
        <v>Velasquez, Jayson Alon</v>
      </c>
      <c r="V355" s="3">
        <v>44156.488958333335</v>
      </c>
    </row>
    <row r="356" spans="1:22" x14ac:dyDescent="0.25">
      <c r="A356" s="1" t="s">
        <v>78</v>
      </c>
      <c r="B356" s="1" t="s">
        <v>388</v>
      </c>
      <c r="C356" s="1" t="s">
        <v>20</v>
      </c>
      <c r="D356" s="1" t="s">
        <v>1044</v>
      </c>
      <c r="E356" s="2">
        <v>44156</v>
      </c>
      <c r="F356" s="1" t="s">
        <v>80</v>
      </c>
      <c r="G356" s="1" t="s">
        <v>1045</v>
      </c>
      <c r="H356" s="1" t="s">
        <v>1046</v>
      </c>
      <c r="I356" s="1" t="s">
        <v>84</v>
      </c>
      <c r="J356" s="1" t="s">
        <v>272</v>
      </c>
      <c r="K356" s="1">
        <v>0</v>
      </c>
      <c r="L356" s="1"/>
      <c r="M356" s="1" t="s">
        <v>244</v>
      </c>
      <c r="N356" s="1" t="s">
        <v>1031</v>
      </c>
      <c r="O356" s="1" t="s">
        <v>245</v>
      </c>
      <c r="P356" s="2">
        <v>44162</v>
      </c>
      <c r="Q356" s="8" t="str">
        <f t="shared" si="5"/>
        <v>NOT SUPPORTED WITHIN 2DAYS</v>
      </c>
      <c r="R356" s="8" t="s">
        <v>1273</v>
      </c>
      <c r="S356" s="1">
        <v>1</v>
      </c>
      <c r="T356" s="1" t="s">
        <v>246</v>
      </c>
      <c r="U356" s="1" t="str">
        <f>VLOOKUP(T356,personnel!A$1:B$4,2,FALSE)</f>
        <v>Macarling, Federico Jr Romano</v>
      </c>
      <c r="V356" s="3">
        <v>44156.514513888891</v>
      </c>
    </row>
    <row r="357" spans="1:22" x14ac:dyDescent="0.25">
      <c r="A357" s="1" t="s">
        <v>18</v>
      </c>
      <c r="B357" s="1" t="s">
        <v>19</v>
      </c>
      <c r="C357" s="1" t="s">
        <v>166</v>
      </c>
      <c r="D357" s="1" t="s">
        <v>1047</v>
      </c>
      <c r="E357" s="2">
        <v>44156</v>
      </c>
      <c r="F357" s="1" t="s">
        <v>22</v>
      </c>
      <c r="G357" s="1" t="s">
        <v>1048</v>
      </c>
      <c r="H357" s="1"/>
      <c r="I357" s="1" t="s">
        <v>25</v>
      </c>
      <c r="J357" s="1" t="s">
        <v>42</v>
      </c>
      <c r="K357" s="1">
        <v>0</v>
      </c>
      <c r="L357" s="1"/>
      <c r="M357" s="1"/>
      <c r="N357" s="1" t="s">
        <v>1031</v>
      </c>
      <c r="O357" s="1"/>
      <c r="P357" s="2">
        <v>44156</v>
      </c>
      <c r="Q357" s="8" t="str">
        <f t="shared" si="5"/>
        <v>SUPPORTED WITHIN 2DAYS</v>
      </c>
      <c r="R357" s="8" t="s">
        <v>1272</v>
      </c>
      <c r="S357" s="1">
        <v>0</v>
      </c>
      <c r="T357" s="1" t="s">
        <v>246</v>
      </c>
      <c r="U357" s="1" t="str">
        <f>VLOOKUP(T357,personnel!A$1:B$4,2,FALSE)</f>
        <v>Macarling, Federico Jr Romano</v>
      </c>
      <c r="V357" s="3">
        <v>44156.519074074073</v>
      </c>
    </row>
    <row r="358" spans="1:22" x14ac:dyDescent="0.25">
      <c r="A358" s="1" t="s">
        <v>468</v>
      </c>
      <c r="B358" s="1" t="s">
        <v>388</v>
      </c>
      <c r="C358" s="1" t="s">
        <v>20</v>
      </c>
      <c r="D358" s="1" t="s">
        <v>1049</v>
      </c>
      <c r="E358" s="2">
        <v>44156</v>
      </c>
      <c r="F358" s="1" t="s">
        <v>470</v>
      </c>
      <c r="G358" s="1" t="s">
        <v>1050</v>
      </c>
      <c r="H358" s="1" t="s">
        <v>1051</v>
      </c>
      <c r="I358" s="1" t="s">
        <v>36</v>
      </c>
      <c r="J358" s="1" t="s">
        <v>26</v>
      </c>
      <c r="K358" s="1">
        <v>0</v>
      </c>
      <c r="L358" s="1"/>
      <c r="M358" s="1" t="s">
        <v>244</v>
      </c>
      <c r="N358" s="1" t="s">
        <v>1031</v>
      </c>
      <c r="O358" s="1" t="s">
        <v>245</v>
      </c>
      <c r="P358" s="2">
        <v>44162</v>
      </c>
      <c r="Q358" s="8" t="str">
        <f t="shared" si="5"/>
        <v>NOT SUPPORTED WITHIN 2DAYS</v>
      </c>
      <c r="R358" s="8" t="s">
        <v>1273</v>
      </c>
      <c r="S358" s="1">
        <v>1</v>
      </c>
      <c r="T358" s="1" t="s">
        <v>246</v>
      </c>
      <c r="U358" s="1" t="str">
        <f>VLOOKUP(T358,personnel!A$1:B$4,2,FALSE)</f>
        <v>Macarling, Federico Jr Romano</v>
      </c>
      <c r="V358" s="3">
        <v>44156.519456018519</v>
      </c>
    </row>
    <row r="359" spans="1:22" x14ac:dyDescent="0.25">
      <c r="A359" s="1" t="s">
        <v>37</v>
      </c>
      <c r="B359" s="1" t="s">
        <v>19</v>
      </c>
      <c r="C359" s="1" t="s">
        <v>166</v>
      </c>
      <c r="D359" s="1" t="s">
        <v>1052</v>
      </c>
      <c r="E359" s="2">
        <v>44156</v>
      </c>
      <c r="F359" s="1" t="s">
        <v>39</v>
      </c>
      <c r="G359" s="1" t="s">
        <v>1053</v>
      </c>
      <c r="H359" s="1"/>
      <c r="I359" s="1" t="s">
        <v>25</v>
      </c>
      <c r="J359" s="1" t="s">
        <v>42</v>
      </c>
      <c r="K359" s="1">
        <v>0</v>
      </c>
      <c r="L359" s="1"/>
      <c r="M359" s="1"/>
      <c r="N359" s="1" t="s">
        <v>1031</v>
      </c>
      <c r="O359" s="1"/>
      <c r="P359" s="2">
        <v>44156</v>
      </c>
      <c r="Q359" s="8" t="str">
        <f t="shared" si="5"/>
        <v>SUPPORTED WITHIN 2DAYS</v>
      </c>
      <c r="R359" s="8" t="s">
        <v>1272</v>
      </c>
      <c r="S359" s="1">
        <v>0</v>
      </c>
      <c r="T359" s="1" t="s">
        <v>246</v>
      </c>
      <c r="U359" s="1" t="str">
        <f>VLOOKUP(T359,personnel!A$1:B$4,2,FALSE)</f>
        <v>Macarling, Federico Jr Romano</v>
      </c>
      <c r="V359" s="3">
        <v>44156.521481481483</v>
      </c>
    </row>
    <row r="360" spans="1:22" x14ac:dyDescent="0.25">
      <c r="A360" s="1" t="s">
        <v>37</v>
      </c>
      <c r="B360" s="1" t="s">
        <v>19</v>
      </c>
      <c r="C360" s="1" t="s">
        <v>166</v>
      </c>
      <c r="D360" s="1" t="s">
        <v>1054</v>
      </c>
      <c r="E360" s="2">
        <v>44156</v>
      </c>
      <c r="F360" s="1" t="s">
        <v>39</v>
      </c>
      <c r="G360" s="1" t="s">
        <v>1055</v>
      </c>
      <c r="H360" s="1"/>
      <c r="I360" s="1" t="s">
        <v>25</v>
      </c>
      <c r="J360" s="1" t="s">
        <v>42</v>
      </c>
      <c r="K360" s="1">
        <v>0</v>
      </c>
      <c r="L360" s="1"/>
      <c r="M360" s="1"/>
      <c r="N360" s="1" t="s">
        <v>1031</v>
      </c>
      <c r="O360" s="1"/>
      <c r="P360" s="2">
        <v>44156</v>
      </c>
      <c r="Q360" s="8" t="str">
        <f t="shared" si="5"/>
        <v>SUPPORTED WITHIN 2DAYS</v>
      </c>
      <c r="R360" s="8" t="s">
        <v>1272</v>
      </c>
      <c r="S360" s="1">
        <v>0</v>
      </c>
      <c r="T360" s="1" t="s">
        <v>246</v>
      </c>
      <c r="U360" s="1" t="str">
        <f>VLOOKUP(T360,personnel!A$1:B$4,2,FALSE)</f>
        <v>Macarling, Federico Jr Romano</v>
      </c>
      <c r="V360" s="3">
        <v>44156.521643518521</v>
      </c>
    </row>
    <row r="361" spans="1:22" x14ac:dyDescent="0.25">
      <c r="A361" s="1" t="s">
        <v>78</v>
      </c>
      <c r="B361" s="1" t="s">
        <v>19</v>
      </c>
      <c r="C361" s="1" t="s">
        <v>166</v>
      </c>
      <c r="D361" s="1" t="s">
        <v>1056</v>
      </c>
      <c r="E361" s="2">
        <v>44155</v>
      </c>
      <c r="F361" s="1" t="s">
        <v>80</v>
      </c>
      <c r="G361" s="1" t="s">
        <v>1057</v>
      </c>
      <c r="H361" s="1"/>
      <c r="I361" s="1" t="s">
        <v>36</v>
      </c>
      <c r="J361" s="1" t="s">
        <v>171</v>
      </c>
      <c r="K361" s="1">
        <v>0</v>
      </c>
      <c r="L361" s="1"/>
      <c r="M361" s="1"/>
      <c r="N361" s="1" t="s">
        <v>1031</v>
      </c>
      <c r="O361" s="1"/>
      <c r="P361" s="2">
        <v>44156</v>
      </c>
      <c r="Q361" s="8" t="str">
        <f t="shared" si="5"/>
        <v>SUPPORTED WITHIN 2DAYS</v>
      </c>
      <c r="R361" s="8" t="s">
        <v>1272</v>
      </c>
      <c r="S361" s="1">
        <v>0</v>
      </c>
      <c r="T361" s="1" t="s">
        <v>246</v>
      </c>
      <c r="U361" s="1" t="str">
        <f>VLOOKUP(T361,personnel!A$1:B$4,2,FALSE)</f>
        <v>Macarling, Federico Jr Romano</v>
      </c>
      <c r="V361" s="3">
        <v>44156.539120370369</v>
      </c>
    </row>
    <row r="362" spans="1:22" x14ac:dyDescent="0.25">
      <c r="A362" s="1" t="s">
        <v>18</v>
      </c>
      <c r="B362" s="1" t="s">
        <v>19</v>
      </c>
      <c r="C362" s="1" t="s">
        <v>166</v>
      </c>
      <c r="D362" s="1" t="s">
        <v>1058</v>
      </c>
      <c r="E362" s="2">
        <v>44155</v>
      </c>
      <c r="F362" s="1" t="s">
        <v>22</v>
      </c>
      <c r="G362" s="1" t="s">
        <v>1059</v>
      </c>
      <c r="H362" s="1"/>
      <c r="I362" s="1" t="s">
        <v>36</v>
      </c>
      <c r="J362" s="1" t="s">
        <v>171</v>
      </c>
      <c r="K362" s="1">
        <v>0</v>
      </c>
      <c r="L362" s="1"/>
      <c r="M362" s="1"/>
      <c r="N362" s="1" t="s">
        <v>1031</v>
      </c>
      <c r="O362" s="1"/>
      <c r="P362" s="2">
        <v>44156</v>
      </c>
      <c r="Q362" s="8" t="str">
        <f t="shared" si="5"/>
        <v>SUPPORTED WITHIN 2DAYS</v>
      </c>
      <c r="R362" s="8" t="s">
        <v>1272</v>
      </c>
      <c r="S362" s="1">
        <v>0</v>
      </c>
      <c r="T362" s="1" t="s">
        <v>246</v>
      </c>
      <c r="U362" s="1" t="str">
        <f>VLOOKUP(T362,personnel!A$1:B$4,2,FALSE)</f>
        <v>Macarling, Federico Jr Romano</v>
      </c>
      <c r="V362" s="3">
        <v>44156.541759259257</v>
      </c>
    </row>
    <row r="363" spans="1:22" x14ac:dyDescent="0.25">
      <c r="A363" s="1" t="s">
        <v>78</v>
      </c>
      <c r="B363" s="1" t="s">
        <v>19</v>
      </c>
      <c r="C363" s="1" t="s">
        <v>166</v>
      </c>
      <c r="D363" s="1" t="s">
        <v>1060</v>
      </c>
      <c r="E363" s="2">
        <v>44156</v>
      </c>
      <c r="F363" s="1" t="s">
        <v>80</v>
      </c>
      <c r="G363" s="1" t="s">
        <v>1061</v>
      </c>
      <c r="H363" s="1"/>
      <c r="I363" s="1" t="s">
        <v>95</v>
      </c>
      <c r="J363" s="1" t="s">
        <v>171</v>
      </c>
      <c r="K363" s="1">
        <v>0</v>
      </c>
      <c r="L363" s="1"/>
      <c r="M363" s="1"/>
      <c r="N363" s="1" t="s">
        <v>1062</v>
      </c>
      <c r="O363" s="1"/>
      <c r="P363" s="2">
        <v>44156</v>
      </c>
      <c r="Q363" s="8" t="str">
        <f t="shared" si="5"/>
        <v>SUPPORTED WITHIN 2DAYS</v>
      </c>
      <c r="R363" s="8" t="s">
        <v>1272</v>
      </c>
      <c r="S363" s="1">
        <v>0</v>
      </c>
      <c r="T363" s="1" t="s">
        <v>246</v>
      </c>
      <c r="U363" s="1" t="str">
        <f>VLOOKUP(T363,personnel!A$1:B$4,2,FALSE)</f>
        <v>Macarling, Federico Jr Romano</v>
      </c>
      <c r="V363" s="3">
        <v>44156.543113425927</v>
      </c>
    </row>
    <row r="364" spans="1:22" x14ac:dyDescent="0.25">
      <c r="A364" s="1" t="s">
        <v>78</v>
      </c>
      <c r="B364" s="1" t="s">
        <v>19</v>
      </c>
      <c r="C364" s="1" t="s">
        <v>166</v>
      </c>
      <c r="D364" s="1" t="s">
        <v>1063</v>
      </c>
      <c r="E364" s="2">
        <v>44156</v>
      </c>
      <c r="F364" s="1" t="s">
        <v>80</v>
      </c>
      <c r="G364" s="1" t="s">
        <v>1064</v>
      </c>
      <c r="H364" s="1"/>
      <c r="I364" s="1" t="s">
        <v>170</v>
      </c>
      <c r="J364" s="1" t="s">
        <v>26</v>
      </c>
      <c r="K364" s="1">
        <v>0</v>
      </c>
      <c r="L364" s="1"/>
      <c r="M364" s="1"/>
      <c r="N364" s="1"/>
      <c r="O364" s="1"/>
      <c r="P364" s="2">
        <v>44156</v>
      </c>
      <c r="Q364" s="8" t="str">
        <f t="shared" si="5"/>
        <v>SUPPORTED WITHIN 2DAYS</v>
      </c>
      <c r="R364" s="8" t="s">
        <v>1272</v>
      </c>
      <c r="S364" s="1">
        <v>0</v>
      </c>
      <c r="T364" s="1" t="s">
        <v>544</v>
      </c>
      <c r="U364" s="1" t="str">
        <f>VLOOKUP(T364,personnel!A$1:B$4,2,FALSE)</f>
        <v>Velasquez, Jayson Alon</v>
      </c>
      <c r="V364" s="3">
        <v>44156.572835648149</v>
      </c>
    </row>
    <row r="365" spans="1:22" x14ac:dyDescent="0.25">
      <c r="A365" s="1" t="s">
        <v>78</v>
      </c>
      <c r="B365" s="1" t="s">
        <v>19</v>
      </c>
      <c r="C365" s="1" t="s">
        <v>166</v>
      </c>
      <c r="D365" s="1" t="s">
        <v>1065</v>
      </c>
      <c r="E365" s="2">
        <v>44156</v>
      </c>
      <c r="F365" s="1" t="s">
        <v>80</v>
      </c>
      <c r="G365" s="1" t="s">
        <v>1066</v>
      </c>
      <c r="H365" s="1"/>
      <c r="I365" s="1" t="s">
        <v>95</v>
      </c>
      <c r="J365" s="1" t="s">
        <v>171</v>
      </c>
      <c r="K365" s="1">
        <v>0</v>
      </c>
      <c r="L365" s="1"/>
      <c r="M365" s="1"/>
      <c r="N365" s="1"/>
      <c r="O365" s="1"/>
      <c r="P365" s="2">
        <v>44156</v>
      </c>
      <c r="Q365" s="8" t="str">
        <f t="shared" si="5"/>
        <v>SUPPORTED WITHIN 2DAYS</v>
      </c>
      <c r="R365" s="8" t="s">
        <v>1272</v>
      </c>
      <c r="S365" s="1">
        <v>0</v>
      </c>
      <c r="T365" s="1" t="s">
        <v>544</v>
      </c>
      <c r="U365" s="1" t="str">
        <f>VLOOKUP(T365,personnel!A$1:B$4,2,FALSE)</f>
        <v>Velasquez, Jayson Alon</v>
      </c>
      <c r="V365" s="3">
        <v>44156.59002314815</v>
      </c>
    </row>
    <row r="366" spans="1:22" x14ac:dyDescent="0.25">
      <c r="A366" s="1" t="s">
        <v>18</v>
      </c>
      <c r="B366" s="1" t="s">
        <v>19</v>
      </c>
      <c r="C366" s="1" t="s">
        <v>166</v>
      </c>
      <c r="D366" s="1" t="s">
        <v>1067</v>
      </c>
      <c r="E366" s="2">
        <v>44156</v>
      </c>
      <c r="F366" s="1" t="s">
        <v>22</v>
      </c>
      <c r="G366" s="1" t="s">
        <v>1068</v>
      </c>
      <c r="H366" s="1"/>
      <c r="I366" s="1" t="s">
        <v>25</v>
      </c>
      <c r="J366" s="1" t="s">
        <v>26</v>
      </c>
      <c r="K366" s="1">
        <v>0</v>
      </c>
      <c r="L366" s="1"/>
      <c r="M366" s="1"/>
      <c r="N366" s="1"/>
      <c r="O366" s="1"/>
      <c r="P366" s="2">
        <v>44156</v>
      </c>
      <c r="Q366" s="8" t="str">
        <f t="shared" si="5"/>
        <v>SUPPORTED WITHIN 2DAYS</v>
      </c>
      <c r="R366" s="8" t="s">
        <v>1272</v>
      </c>
      <c r="S366" s="1">
        <v>0</v>
      </c>
      <c r="T366" s="1" t="s">
        <v>544</v>
      </c>
      <c r="U366" s="1" t="str">
        <f>VLOOKUP(T366,personnel!A$1:B$4,2,FALSE)</f>
        <v>Velasquez, Jayson Alon</v>
      </c>
      <c r="V366" s="3">
        <v>44156.597812499997</v>
      </c>
    </row>
    <row r="367" spans="1:22" x14ac:dyDescent="0.25">
      <c r="A367" s="1" t="s">
        <v>18</v>
      </c>
      <c r="B367" s="1" t="s">
        <v>19</v>
      </c>
      <c r="C367" s="1" t="s">
        <v>166</v>
      </c>
      <c r="D367" s="1" t="s">
        <v>1069</v>
      </c>
      <c r="E367" s="2">
        <v>44156</v>
      </c>
      <c r="F367" s="1" t="s">
        <v>22</v>
      </c>
      <c r="G367" s="1" t="s">
        <v>1070</v>
      </c>
      <c r="H367" s="1"/>
      <c r="I367" s="1" t="s">
        <v>95</v>
      </c>
      <c r="J367" s="1" t="s">
        <v>171</v>
      </c>
      <c r="K367" s="1">
        <v>0</v>
      </c>
      <c r="L367" s="1"/>
      <c r="M367" s="1"/>
      <c r="N367" s="1"/>
      <c r="O367" s="1"/>
      <c r="P367" s="2">
        <v>44156</v>
      </c>
      <c r="Q367" s="8" t="str">
        <f t="shared" si="5"/>
        <v>SUPPORTED WITHIN 2DAYS</v>
      </c>
      <c r="R367" s="8" t="s">
        <v>1272</v>
      </c>
      <c r="S367" s="1">
        <v>0</v>
      </c>
      <c r="T367" s="1" t="s">
        <v>544</v>
      </c>
      <c r="U367" s="1" t="str">
        <f>VLOOKUP(T367,personnel!A$1:B$4,2,FALSE)</f>
        <v>Velasquez, Jayson Alon</v>
      </c>
      <c r="V367" s="3">
        <v>44156.617673611108</v>
      </c>
    </row>
    <row r="368" spans="1:22" x14ac:dyDescent="0.25">
      <c r="A368" s="1" t="s">
        <v>37</v>
      </c>
      <c r="B368" s="1" t="s">
        <v>19</v>
      </c>
      <c r="C368" s="1" t="s">
        <v>166</v>
      </c>
      <c r="D368" s="1" t="s">
        <v>1071</v>
      </c>
      <c r="E368" s="2">
        <v>44156</v>
      </c>
      <c r="F368" s="1" t="s">
        <v>39</v>
      </c>
      <c r="G368" s="1" t="s">
        <v>1072</v>
      </c>
      <c r="H368" s="1"/>
      <c r="I368" s="1" t="s">
        <v>36</v>
      </c>
      <c r="J368" s="1" t="s">
        <v>42</v>
      </c>
      <c r="K368" s="1">
        <v>0</v>
      </c>
      <c r="L368" s="1"/>
      <c r="M368" s="1"/>
      <c r="N368" s="1" t="s">
        <v>1073</v>
      </c>
      <c r="O368" s="1"/>
      <c r="P368" s="2">
        <v>44156</v>
      </c>
      <c r="Q368" s="8" t="str">
        <f t="shared" si="5"/>
        <v>SUPPORTED WITHIN 2DAYS</v>
      </c>
      <c r="R368" s="8" t="s">
        <v>1272</v>
      </c>
      <c r="S368" s="1">
        <v>0</v>
      </c>
      <c r="T368" s="1" t="s">
        <v>246</v>
      </c>
      <c r="U368" s="1" t="str">
        <f>VLOOKUP(T368,personnel!A$1:B$4,2,FALSE)</f>
        <v>Macarling, Federico Jr Romano</v>
      </c>
      <c r="V368" s="3">
        <v>44156.689849537041</v>
      </c>
    </row>
    <row r="369" spans="1:22" x14ac:dyDescent="0.25">
      <c r="A369" s="1" t="s">
        <v>387</v>
      </c>
      <c r="B369" s="1" t="s">
        <v>19</v>
      </c>
      <c r="C369" s="1" t="s">
        <v>166</v>
      </c>
      <c r="D369" s="1" t="s">
        <v>1074</v>
      </c>
      <c r="E369" s="2">
        <v>44156</v>
      </c>
      <c r="F369" s="1" t="s">
        <v>390</v>
      </c>
      <c r="G369" s="1" t="s">
        <v>1075</v>
      </c>
      <c r="H369" s="1"/>
      <c r="I369" s="1" t="s">
        <v>95</v>
      </c>
      <c r="J369" s="1" t="s">
        <v>36</v>
      </c>
      <c r="K369" s="1">
        <v>0</v>
      </c>
      <c r="L369" s="1"/>
      <c r="M369" s="1"/>
      <c r="N369" s="1" t="s">
        <v>1073</v>
      </c>
      <c r="O369" s="1"/>
      <c r="P369" s="2">
        <v>44156</v>
      </c>
      <c r="Q369" s="8" t="str">
        <f t="shared" si="5"/>
        <v>SUPPORTED WITHIN 2DAYS</v>
      </c>
      <c r="R369" s="8" t="s">
        <v>1272</v>
      </c>
      <c r="S369" s="1">
        <v>0</v>
      </c>
      <c r="T369" s="1" t="s">
        <v>246</v>
      </c>
      <c r="U369" s="1" t="str">
        <f>VLOOKUP(T369,personnel!A$1:B$4,2,FALSE)</f>
        <v>Macarling, Federico Jr Romano</v>
      </c>
      <c r="V369" s="3">
        <v>44156.69023148148</v>
      </c>
    </row>
    <row r="370" spans="1:22" x14ac:dyDescent="0.25">
      <c r="A370" s="1" t="s">
        <v>1076</v>
      </c>
      <c r="B370" s="1" t="s">
        <v>19</v>
      </c>
      <c r="C370" s="1" t="s">
        <v>20</v>
      </c>
      <c r="D370" s="1" t="s">
        <v>1077</v>
      </c>
      <c r="E370" s="2">
        <v>44158</v>
      </c>
      <c r="F370" s="1" t="s">
        <v>1078</v>
      </c>
      <c r="G370" s="1" t="s">
        <v>1079</v>
      </c>
      <c r="H370" s="1" t="s">
        <v>1080</v>
      </c>
      <c r="I370" s="1" t="s">
        <v>797</v>
      </c>
      <c r="J370" s="1" t="s">
        <v>42</v>
      </c>
      <c r="K370" s="1">
        <v>0</v>
      </c>
      <c r="L370" s="1"/>
      <c r="M370" s="1" t="s">
        <v>542</v>
      </c>
      <c r="N370" s="1"/>
      <c r="O370" s="1" t="s">
        <v>543</v>
      </c>
      <c r="P370" s="2">
        <v>44158</v>
      </c>
      <c r="Q370" s="8" t="str">
        <f t="shared" si="5"/>
        <v>SUPPORTED WITHIN 2DAYS</v>
      </c>
      <c r="R370" s="8" t="s">
        <v>1272</v>
      </c>
      <c r="S370" s="1">
        <v>0</v>
      </c>
      <c r="T370" s="1" t="s">
        <v>544</v>
      </c>
      <c r="U370" s="1" t="str">
        <f>VLOOKUP(T370,personnel!A$1:B$4,2,FALSE)</f>
        <v>Velasquez, Jayson Alon</v>
      </c>
      <c r="V370" s="3">
        <v>44158.40520833333</v>
      </c>
    </row>
    <row r="371" spans="1:22" x14ac:dyDescent="0.25">
      <c r="A371" s="1" t="s">
        <v>396</v>
      </c>
      <c r="B371" s="1" t="s">
        <v>19</v>
      </c>
      <c r="C371" s="1" t="s">
        <v>20</v>
      </c>
      <c r="D371" s="1" t="s">
        <v>1081</v>
      </c>
      <c r="E371" s="2">
        <v>44158</v>
      </c>
      <c r="F371" s="1" t="s">
        <v>398</v>
      </c>
      <c r="G371" s="1" t="s">
        <v>1082</v>
      </c>
      <c r="H371" s="1" t="s">
        <v>1083</v>
      </c>
      <c r="I371" s="1" t="s">
        <v>41</v>
      </c>
      <c r="J371" s="1" t="s">
        <v>652</v>
      </c>
      <c r="K371" s="1">
        <v>0</v>
      </c>
      <c r="L371" s="1"/>
      <c r="M371" s="1" t="s">
        <v>542</v>
      </c>
      <c r="N371" s="1"/>
      <c r="O371" s="1" t="s">
        <v>543</v>
      </c>
      <c r="P371" s="2">
        <v>44158</v>
      </c>
      <c r="Q371" s="8" t="str">
        <f t="shared" si="5"/>
        <v>SUPPORTED WITHIN 2DAYS</v>
      </c>
      <c r="R371" s="8" t="s">
        <v>1272</v>
      </c>
      <c r="S371" s="1">
        <v>0</v>
      </c>
      <c r="T371" s="1" t="s">
        <v>544</v>
      </c>
      <c r="U371" s="1" t="str">
        <f>VLOOKUP(T371,personnel!A$1:B$4,2,FALSE)</f>
        <v>Velasquez, Jayson Alon</v>
      </c>
      <c r="V371" s="3">
        <v>44158.479733796295</v>
      </c>
    </row>
    <row r="372" spans="1:22" x14ac:dyDescent="0.25">
      <c r="A372" s="1" t="s">
        <v>362</v>
      </c>
      <c r="B372" s="1" t="s">
        <v>19</v>
      </c>
      <c r="C372" s="1" t="s">
        <v>166</v>
      </c>
      <c r="D372" s="1" t="s">
        <v>1084</v>
      </c>
      <c r="E372" s="2">
        <v>44158</v>
      </c>
      <c r="F372" s="1" t="s">
        <v>364</v>
      </c>
      <c r="G372" s="1" t="s">
        <v>1085</v>
      </c>
      <c r="H372" s="1"/>
      <c r="I372" s="1" t="s">
        <v>25</v>
      </c>
      <c r="J372" s="1" t="s">
        <v>26</v>
      </c>
      <c r="K372" s="1">
        <v>0</v>
      </c>
      <c r="L372" s="1"/>
      <c r="M372" s="1"/>
      <c r="N372" s="1"/>
      <c r="O372" s="1"/>
      <c r="P372" s="2">
        <v>44158</v>
      </c>
      <c r="Q372" s="8" t="str">
        <f t="shared" si="5"/>
        <v>SUPPORTED WITHIN 2DAYS</v>
      </c>
      <c r="R372" s="8" t="s">
        <v>1272</v>
      </c>
      <c r="S372" s="1">
        <v>0</v>
      </c>
      <c r="T372" s="1" t="s">
        <v>544</v>
      </c>
      <c r="U372" s="1" t="str">
        <f>VLOOKUP(T372,personnel!A$1:B$4,2,FALSE)</f>
        <v>Velasquez, Jayson Alon</v>
      </c>
      <c r="V372" s="3">
        <v>44158.550405092596</v>
      </c>
    </row>
    <row r="373" spans="1:22" x14ac:dyDescent="0.25">
      <c r="A373" s="1" t="s">
        <v>37</v>
      </c>
      <c r="B373" s="1" t="s">
        <v>19</v>
      </c>
      <c r="C373" s="1" t="s">
        <v>20</v>
      </c>
      <c r="D373" s="1" t="s">
        <v>1086</v>
      </c>
      <c r="E373" s="2">
        <v>44158</v>
      </c>
      <c r="F373" s="1" t="s">
        <v>39</v>
      </c>
      <c r="G373" s="1" t="s">
        <v>1087</v>
      </c>
      <c r="H373" s="1" t="s">
        <v>1088</v>
      </c>
      <c r="I373" s="1" t="s">
        <v>25</v>
      </c>
      <c r="J373" s="1" t="s">
        <v>171</v>
      </c>
      <c r="K373" s="1">
        <v>0</v>
      </c>
      <c r="L373" s="1"/>
      <c r="M373" s="1" t="s">
        <v>542</v>
      </c>
      <c r="N373" s="1"/>
      <c r="O373" s="1" t="s">
        <v>543</v>
      </c>
      <c r="P373" s="2">
        <v>44158</v>
      </c>
      <c r="Q373" s="8" t="str">
        <f t="shared" si="5"/>
        <v>SUPPORTED WITHIN 2DAYS</v>
      </c>
      <c r="R373" s="8" t="s">
        <v>1272</v>
      </c>
      <c r="S373" s="1">
        <v>0</v>
      </c>
      <c r="T373" s="1" t="s">
        <v>544</v>
      </c>
      <c r="U373" s="1" t="str">
        <f>VLOOKUP(T373,personnel!A$1:B$4,2,FALSE)</f>
        <v>Velasquez, Jayson Alon</v>
      </c>
      <c r="V373" s="3">
        <v>44158.608518518522</v>
      </c>
    </row>
    <row r="374" spans="1:22" x14ac:dyDescent="0.25">
      <c r="A374" s="1" t="s">
        <v>18</v>
      </c>
      <c r="B374" s="1" t="s">
        <v>19</v>
      </c>
      <c r="C374" s="1" t="s">
        <v>20</v>
      </c>
      <c r="D374" s="1" t="s">
        <v>1089</v>
      </c>
      <c r="E374" s="2">
        <v>44158</v>
      </c>
      <c r="F374" s="1" t="s">
        <v>22</v>
      </c>
      <c r="G374" s="1" t="s">
        <v>1090</v>
      </c>
      <c r="H374" s="1" t="s">
        <v>244</v>
      </c>
      <c r="I374" s="1" t="s">
        <v>36</v>
      </c>
      <c r="J374" s="1" t="s">
        <v>171</v>
      </c>
      <c r="K374" s="1">
        <v>0</v>
      </c>
      <c r="L374" s="1"/>
      <c r="M374" s="1" t="s">
        <v>714</v>
      </c>
      <c r="N374" s="1"/>
      <c r="O374" s="1" t="s">
        <v>543</v>
      </c>
      <c r="P374" s="2">
        <v>44158</v>
      </c>
      <c r="Q374" s="8" t="str">
        <f t="shared" si="5"/>
        <v>SUPPORTED WITHIN 2DAYS</v>
      </c>
      <c r="R374" s="8" t="s">
        <v>1272</v>
      </c>
      <c r="S374" s="1">
        <v>0</v>
      </c>
      <c r="T374" s="1" t="s">
        <v>544</v>
      </c>
      <c r="U374" s="1" t="str">
        <f>VLOOKUP(T374,personnel!A$1:B$4,2,FALSE)</f>
        <v>Velasquez, Jayson Alon</v>
      </c>
      <c r="V374" s="3">
        <v>44158.657511574071</v>
      </c>
    </row>
    <row r="375" spans="1:22" x14ac:dyDescent="0.25">
      <c r="A375" s="1" t="s">
        <v>18</v>
      </c>
      <c r="B375" s="1" t="s">
        <v>19</v>
      </c>
      <c r="C375" s="1" t="s">
        <v>166</v>
      </c>
      <c r="D375" s="1" t="s">
        <v>1091</v>
      </c>
      <c r="E375" s="2">
        <v>44159</v>
      </c>
      <c r="F375" s="1" t="s">
        <v>22</v>
      </c>
      <c r="G375" s="1" t="s">
        <v>1092</v>
      </c>
      <c r="H375" s="1"/>
      <c r="I375" s="1" t="s">
        <v>25</v>
      </c>
      <c r="J375" s="1" t="s">
        <v>563</v>
      </c>
      <c r="K375" s="1">
        <v>0</v>
      </c>
      <c r="L375" s="1"/>
      <c r="M375" s="1"/>
      <c r="N375" s="1"/>
      <c r="O375" s="1"/>
      <c r="P375" s="2">
        <v>44159</v>
      </c>
      <c r="Q375" s="8" t="str">
        <f t="shared" si="5"/>
        <v>SUPPORTED WITHIN 2DAYS</v>
      </c>
      <c r="R375" s="8" t="s">
        <v>1272</v>
      </c>
      <c r="S375" s="1">
        <v>0</v>
      </c>
      <c r="T375" s="1" t="s">
        <v>246</v>
      </c>
      <c r="U375" s="1" t="str">
        <f>VLOOKUP(T375,personnel!A$1:B$4,2,FALSE)</f>
        <v>Macarling, Federico Jr Romano</v>
      </c>
      <c r="V375" s="3">
        <v>44159.691736111112</v>
      </c>
    </row>
    <row r="376" spans="1:22" x14ac:dyDescent="0.25">
      <c r="A376" s="1" t="s">
        <v>1093</v>
      </c>
      <c r="B376" s="1" t="s">
        <v>19</v>
      </c>
      <c r="C376" s="1" t="s">
        <v>166</v>
      </c>
      <c r="D376" s="1" t="s">
        <v>1094</v>
      </c>
      <c r="E376" s="2">
        <v>44159</v>
      </c>
      <c r="F376" s="1" t="s">
        <v>1095</v>
      </c>
      <c r="G376" s="1" t="s">
        <v>1096</v>
      </c>
      <c r="H376" s="1"/>
      <c r="I376" s="1" t="s">
        <v>25</v>
      </c>
      <c r="J376" s="1" t="s">
        <v>272</v>
      </c>
      <c r="K376" s="1">
        <v>0</v>
      </c>
      <c r="L376" s="1"/>
      <c r="M376" s="1"/>
      <c r="N376" s="1"/>
      <c r="O376" s="1"/>
      <c r="P376" s="2">
        <v>44159</v>
      </c>
      <c r="Q376" s="8" t="str">
        <f t="shared" si="5"/>
        <v>SUPPORTED WITHIN 2DAYS</v>
      </c>
      <c r="R376" s="8" t="s">
        <v>1272</v>
      </c>
      <c r="S376" s="1">
        <v>0</v>
      </c>
      <c r="T376" s="1" t="s">
        <v>246</v>
      </c>
      <c r="U376" s="1" t="str">
        <f>VLOOKUP(T376,personnel!A$1:B$4,2,FALSE)</f>
        <v>Macarling, Federico Jr Romano</v>
      </c>
      <c r="V376" s="3">
        <v>44159.692650462966</v>
      </c>
    </row>
    <row r="377" spans="1:22" x14ac:dyDescent="0.25">
      <c r="A377" s="1" t="s">
        <v>18</v>
      </c>
      <c r="B377" s="1" t="s">
        <v>19</v>
      </c>
      <c r="C377" s="1" t="s">
        <v>20</v>
      </c>
      <c r="D377" s="1" t="s">
        <v>1097</v>
      </c>
      <c r="E377" s="2">
        <v>44161</v>
      </c>
      <c r="F377" s="1" t="s">
        <v>22</v>
      </c>
      <c r="G377" s="1" t="s">
        <v>1098</v>
      </c>
      <c r="H377" s="1" t="s">
        <v>899</v>
      </c>
      <c r="I377" s="1" t="s">
        <v>25</v>
      </c>
      <c r="J377" s="1" t="s">
        <v>26</v>
      </c>
      <c r="K377" s="1">
        <v>0</v>
      </c>
      <c r="L377" s="1"/>
      <c r="M377" s="1" t="s">
        <v>542</v>
      </c>
      <c r="N377" s="1"/>
      <c r="O377" s="1" t="s">
        <v>543</v>
      </c>
      <c r="P377" s="2">
        <v>44161</v>
      </c>
      <c r="Q377" s="8" t="str">
        <f t="shared" si="5"/>
        <v>SUPPORTED WITHIN 2DAYS</v>
      </c>
      <c r="R377" s="8" t="s">
        <v>1272</v>
      </c>
      <c r="S377" s="1">
        <v>0</v>
      </c>
      <c r="T377" s="1" t="s">
        <v>544</v>
      </c>
      <c r="U377" s="1" t="str">
        <f>VLOOKUP(T377,personnel!A$1:B$4,2,FALSE)</f>
        <v>Velasquez, Jayson Alon</v>
      </c>
      <c r="V377" s="3">
        <v>44161.369293981479</v>
      </c>
    </row>
    <row r="378" spans="1:22" x14ac:dyDescent="0.25">
      <c r="A378" s="1" t="s">
        <v>37</v>
      </c>
      <c r="B378" s="1" t="s">
        <v>19</v>
      </c>
      <c r="C378" s="1" t="s">
        <v>20</v>
      </c>
      <c r="D378" s="1" t="s">
        <v>1099</v>
      </c>
      <c r="E378" s="2">
        <v>44161</v>
      </c>
      <c r="F378" s="1" t="s">
        <v>39</v>
      </c>
      <c r="G378" s="1" t="s">
        <v>1100</v>
      </c>
      <c r="H378" s="1" t="s">
        <v>1101</v>
      </c>
      <c r="I378" s="1" t="s">
        <v>41</v>
      </c>
      <c r="J378" s="1" t="s">
        <v>42</v>
      </c>
      <c r="K378" s="1">
        <v>0</v>
      </c>
      <c r="L378" s="1"/>
      <c r="M378" s="1" t="s">
        <v>542</v>
      </c>
      <c r="N378" s="1"/>
      <c r="O378" s="1" t="s">
        <v>543</v>
      </c>
      <c r="P378" s="2">
        <v>44161</v>
      </c>
      <c r="Q378" s="8" t="str">
        <f t="shared" si="5"/>
        <v>SUPPORTED WITHIN 2DAYS</v>
      </c>
      <c r="R378" s="8" t="s">
        <v>1272</v>
      </c>
      <c r="S378" s="1">
        <v>0</v>
      </c>
      <c r="T378" s="1" t="s">
        <v>544</v>
      </c>
      <c r="U378" s="1" t="str">
        <f>VLOOKUP(T378,personnel!A$1:B$4,2,FALSE)</f>
        <v>Velasquez, Jayson Alon</v>
      </c>
      <c r="V378" s="3">
        <v>44161.377465277779</v>
      </c>
    </row>
    <row r="379" spans="1:22" x14ac:dyDescent="0.25">
      <c r="A379" s="1" t="s">
        <v>1102</v>
      </c>
      <c r="B379" s="1" t="s">
        <v>19</v>
      </c>
      <c r="C379" s="1" t="s">
        <v>20</v>
      </c>
      <c r="D379" s="1" t="s">
        <v>1103</v>
      </c>
      <c r="E379" s="2">
        <v>44161</v>
      </c>
      <c r="F379" s="1" t="s">
        <v>1104</v>
      </c>
      <c r="G379" s="1" t="s">
        <v>1105</v>
      </c>
      <c r="H379" s="1" t="s">
        <v>1106</v>
      </c>
      <c r="I379" s="1" t="s">
        <v>36</v>
      </c>
      <c r="J379" s="1" t="s">
        <v>171</v>
      </c>
      <c r="K379" s="1">
        <v>0</v>
      </c>
      <c r="L379" s="1"/>
      <c r="M379" s="1" t="s">
        <v>542</v>
      </c>
      <c r="N379" s="1"/>
      <c r="O379" s="1" t="s">
        <v>543</v>
      </c>
      <c r="P379" s="2">
        <v>44161</v>
      </c>
      <c r="Q379" s="8" t="str">
        <f t="shared" si="5"/>
        <v>SUPPORTED WITHIN 2DAYS</v>
      </c>
      <c r="R379" s="8" t="s">
        <v>1272</v>
      </c>
      <c r="S379" s="1">
        <v>0</v>
      </c>
      <c r="T379" s="1" t="s">
        <v>544</v>
      </c>
      <c r="U379" s="1" t="str">
        <f>VLOOKUP(T379,personnel!A$1:B$4,2,FALSE)</f>
        <v>Velasquez, Jayson Alon</v>
      </c>
      <c r="V379" s="3">
        <v>44161.391400462962</v>
      </c>
    </row>
    <row r="380" spans="1:22" x14ac:dyDescent="0.25">
      <c r="A380" s="1" t="s">
        <v>37</v>
      </c>
      <c r="B380" s="1" t="s">
        <v>388</v>
      </c>
      <c r="C380" s="1" t="s">
        <v>20</v>
      </c>
      <c r="D380" s="1" t="s">
        <v>1107</v>
      </c>
      <c r="E380" s="2">
        <v>44160</v>
      </c>
      <c r="F380" s="1" t="s">
        <v>39</v>
      </c>
      <c r="G380" s="1" t="s">
        <v>1108</v>
      </c>
      <c r="H380" s="1" t="s">
        <v>244</v>
      </c>
      <c r="I380" s="1" t="s">
        <v>36</v>
      </c>
      <c r="J380" s="1" t="s">
        <v>26</v>
      </c>
      <c r="K380" s="1">
        <v>0</v>
      </c>
      <c r="L380" s="1"/>
      <c r="M380" s="1" t="s">
        <v>244</v>
      </c>
      <c r="N380" s="1" t="s">
        <v>943</v>
      </c>
      <c r="O380" s="1" t="s">
        <v>245</v>
      </c>
      <c r="P380" s="2">
        <v>44162</v>
      </c>
      <c r="Q380" s="8" t="str">
        <f t="shared" si="5"/>
        <v>SUPPORTED WITHIN 2DAYS</v>
      </c>
      <c r="R380" s="8" t="s">
        <v>1272</v>
      </c>
      <c r="S380" s="1">
        <v>1</v>
      </c>
      <c r="T380" s="1" t="s">
        <v>246</v>
      </c>
      <c r="U380" s="1" t="str">
        <f>VLOOKUP(T380,personnel!A$1:B$4,2,FALSE)</f>
        <v>Macarling, Federico Jr Romano</v>
      </c>
      <c r="V380" s="3">
        <v>44161.402766203704</v>
      </c>
    </row>
    <row r="381" spans="1:22" x14ac:dyDescent="0.25">
      <c r="A381" s="1" t="s">
        <v>37</v>
      </c>
      <c r="B381" s="1" t="s">
        <v>19</v>
      </c>
      <c r="C381" s="1" t="s">
        <v>20</v>
      </c>
      <c r="D381" s="1" t="s">
        <v>1109</v>
      </c>
      <c r="E381" s="2">
        <v>44160</v>
      </c>
      <c r="F381" s="1" t="s">
        <v>39</v>
      </c>
      <c r="G381" s="1" t="s">
        <v>1110</v>
      </c>
      <c r="H381" s="1" t="s">
        <v>244</v>
      </c>
      <c r="I381" s="1" t="s">
        <v>41</v>
      </c>
      <c r="J381" s="1" t="s">
        <v>563</v>
      </c>
      <c r="K381" s="1">
        <v>0</v>
      </c>
      <c r="L381" s="1"/>
      <c r="M381" s="1" t="s">
        <v>244</v>
      </c>
      <c r="N381" s="1" t="s">
        <v>943</v>
      </c>
      <c r="O381" s="1" t="s">
        <v>245</v>
      </c>
      <c r="P381" s="2">
        <v>44165</v>
      </c>
      <c r="Q381" s="8" t="str">
        <f t="shared" si="5"/>
        <v>NOT SUPPORTED WITHIN 2DAYS</v>
      </c>
      <c r="R381" s="8" t="s">
        <v>1273</v>
      </c>
      <c r="S381" s="1">
        <v>0</v>
      </c>
      <c r="T381" s="1" t="s">
        <v>246</v>
      </c>
      <c r="U381" s="1" t="str">
        <f>VLOOKUP(T381,personnel!A$1:B$4,2,FALSE)</f>
        <v>Macarling, Federico Jr Romano</v>
      </c>
      <c r="V381" s="3">
        <v>44161.403645833336</v>
      </c>
    </row>
    <row r="382" spans="1:22" x14ac:dyDescent="0.25">
      <c r="A382" s="1" t="s">
        <v>78</v>
      </c>
      <c r="B382" s="1" t="s">
        <v>19</v>
      </c>
      <c r="C382" s="1" t="s">
        <v>20</v>
      </c>
      <c r="D382" s="1" t="s">
        <v>1111</v>
      </c>
      <c r="E382" s="2">
        <v>44161</v>
      </c>
      <c r="F382" s="1" t="s">
        <v>80</v>
      </c>
      <c r="G382" s="1" t="s">
        <v>1112</v>
      </c>
      <c r="H382" s="1" t="s">
        <v>244</v>
      </c>
      <c r="I382" s="1"/>
      <c r="J382" s="1"/>
      <c r="K382" s="1">
        <v>0</v>
      </c>
      <c r="L382" s="1"/>
      <c r="M382" s="1" t="s">
        <v>244</v>
      </c>
      <c r="N382" s="1" t="s">
        <v>943</v>
      </c>
      <c r="O382" s="1" t="s">
        <v>245</v>
      </c>
      <c r="P382" s="2">
        <v>44162</v>
      </c>
      <c r="Q382" s="8" t="str">
        <f t="shared" si="5"/>
        <v>SUPPORTED WITHIN 2DAYS</v>
      </c>
      <c r="R382" s="8" t="s">
        <v>1272</v>
      </c>
      <c r="S382" s="1">
        <v>0</v>
      </c>
      <c r="T382" s="1" t="s">
        <v>246</v>
      </c>
      <c r="U382" s="1" t="str">
        <f>VLOOKUP(T382,personnel!A$1:B$4,2,FALSE)</f>
        <v>Macarling, Federico Jr Romano</v>
      </c>
      <c r="V382" s="3">
        <v>44161.404039351852</v>
      </c>
    </row>
    <row r="383" spans="1:22" x14ac:dyDescent="0.25">
      <c r="A383" s="1" t="s">
        <v>18</v>
      </c>
      <c r="B383" s="1" t="s">
        <v>19</v>
      </c>
      <c r="C383" s="1" t="s">
        <v>20</v>
      </c>
      <c r="D383" s="1" t="s">
        <v>1113</v>
      </c>
      <c r="E383" s="2">
        <v>44161</v>
      </c>
      <c r="F383" s="1" t="s">
        <v>22</v>
      </c>
      <c r="G383" s="1" t="s">
        <v>1114</v>
      </c>
      <c r="H383" s="1" t="s">
        <v>1115</v>
      </c>
      <c r="I383" s="1" t="s">
        <v>41</v>
      </c>
      <c r="J383" s="1" t="s">
        <v>652</v>
      </c>
      <c r="K383" s="1">
        <v>0</v>
      </c>
      <c r="L383" s="1"/>
      <c r="M383" s="1" t="s">
        <v>542</v>
      </c>
      <c r="N383" s="1"/>
      <c r="O383" s="1" t="s">
        <v>543</v>
      </c>
      <c r="P383" s="2">
        <v>44161</v>
      </c>
      <c r="Q383" s="8" t="str">
        <f t="shared" si="5"/>
        <v>SUPPORTED WITHIN 2DAYS</v>
      </c>
      <c r="R383" s="8" t="s">
        <v>1272</v>
      </c>
      <c r="S383" s="1">
        <v>0</v>
      </c>
      <c r="T383" s="1" t="s">
        <v>544</v>
      </c>
      <c r="U383" s="1" t="str">
        <f>VLOOKUP(T383,personnel!A$1:B$4,2,FALSE)</f>
        <v>Velasquez, Jayson Alon</v>
      </c>
      <c r="V383" s="3">
        <v>44161.416087962964</v>
      </c>
    </row>
    <row r="384" spans="1:22" x14ac:dyDescent="0.25">
      <c r="A384" s="1" t="s">
        <v>18</v>
      </c>
      <c r="B384" s="1" t="s">
        <v>19</v>
      </c>
      <c r="C384" s="1" t="s">
        <v>20</v>
      </c>
      <c r="D384" s="1" t="s">
        <v>1116</v>
      </c>
      <c r="E384" s="2">
        <v>44161</v>
      </c>
      <c r="F384" s="1" t="s">
        <v>22</v>
      </c>
      <c r="G384" s="1" t="s">
        <v>1117</v>
      </c>
      <c r="H384" s="1" t="s">
        <v>244</v>
      </c>
      <c r="I384" s="1" t="s">
        <v>41</v>
      </c>
      <c r="J384" s="1" t="s">
        <v>563</v>
      </c>
      <c r="K384" s="1">
        <v>0</v>
      </c>
      <c r="L384" s="1"/>
      <c r="M384" s="1" t="s">
        <v>244</v>
      </c>
      <c r="N384" s="1" t="s">
        <v>943</v>
      </c>
      <c r="O384" s="1" t="s">
        <v>245</v>
      </c>
      <c r="P384" s="2">
        <v>44165</v>
      </c>
      <c r="Q384" s="8" t="str">
        <f t="shared" si="5"/>
        <v>NOT SUPPORTED WITHIN 2DAYS</v>
      </c>
      <c r="R384" s="8" t="s">
        <v>1273</v>
      </c>
      <c r="S384" s="1">
        <v>0</v>
      </c>
      <c r="T384" s="1" t="s">
        <v>246</v>
      </c>
      <c r="U384" s="1" t="str">
        <f>VLOOKUP(T384,personnel!A$1:B$4,2,FALSE)</f>
        <v>Macarling, Federico Jr Romano</v>
      </c>
      <c r="V384" s="3">
        <v>44161.427465277775</v>
      </c>
    </row>
    <row r="385" spans="1:22" x14ac:dyDescent="0.25">
      <c r="A385" s="1" t="s">
        <v>37</v>
      </c>
      <c r="B385" s="1" t="s">
        <v>19</v>
      </c>
      <c r="C385" s="1" t="s">
        <v>166</v>
      </c>
      <c r="D385" s="1" t="s">
        <v>1118</v>
      </c>
      <c r="E385" s="2">
        <v>44161</v>
      </c>
      <c r="F385" s="1" t="s">
        <v>39</v>
      </c>
      <c r="G385" s="1" t="s">
        <v>1119</v>
      </c>
      <c r="H385" s="1"/>
      <c r="I385" s="1" t="s">
        <v>36</v>
      </c>
      <c r="J385" s="1" t="s">
        <v>171</v>
      </c>
      <c r="K385" s="1">
        <v>0</v>
      </c>
      <c r="L385" s="1"/>
      <c r="M385" s="1"/>
      <c r="N385" s="1" t="s">
        <v>751</v>
      </c>
      <c r="O385" s="1"/>
      <c r="P385" s="2">
        <v>44161</v>
      </c>
      <c r="Q385" s="8" t="str">
        <f t="shared" si="5"/>
        <v>SUPPORTED WITHIN 2DAYS</v>
      </c>
      <c r="R385" s="8" t="s">
        <v>1272</v>
      </c>
      <c r="S385" s="1">
        <v>0</v>
      </c>
      <c r="T385" s="1" t="s">
        <v>246</v>
      </c>
      <c r="U385" s="1" t="str">
        <f>VLOOKUP(T385,personnel!A$1:B$4,2,FALSE)</f>
        <v>Macarling, Federico Jr Romano</v>
      </c>
      <c r="V385" s="3">
        <v>44161.436122685183</v>
      </c>
    </row>
    <row r="386" spans="1:22" x14ac:dyDescent="0.25">
      <c r="A386" s="1" t="s">
        <v>18</v>
      </c>
      <c r="B386" s="1" t="s">
        <v>19</v>
      </c>
      <c r="C386" s="1" t="s">
        <v>20</v>
      </c>
      <c r="D386" s="1" t="s">
        <v>1120</v>
      </c>
      <c r="E386" s="2">
        <v>44161</v>
      </c>
      <c r="F386" s="1" t="s">
        <v>22</v>
      </c>
      <c r="G386" s="1" t="s">
        <v>1121</v>
      </c>
      <c r="H386" s="1" t="s">
        <v>1122</v>
      </c>
      <c r="I386" s="1" t="s">
        <v>25</v>
      </c>
      <c r="J386" s="1" t="s">
        <v>652</v>
      </c>
      <c r="K386" s="1">
        <v>0</v>
      </c>
      <c r="L386" s="1"/>
      <c r="M386" s="1" t="s">
        <v>542</v>
      </c>
      <c r="N386" s="1"/>
      <c r="O386" s="1" t="s">
        <v>543</v>
      </c>
      <c r="P386" s="2">
        <v>44161</v>
      </c>
      <c r="Q386" s="8" t="str">
        <f t="shared" si="5"/>
        <v>SUPPORTED WITHIN 2DAYS</v>
      </c>
      <c r="R386" s="8" t="s">
        <v>1272</v>
      </c>
      <c r="S386" s="1">
        <v>0</v>
      </c>
      <c r="T386" s="1" t="s">
        <v>544</v>
      </c>
      <c r="U386" s="1" t="str">
        <f>VLOOKUP(T386,personnel!A$1:B$4,2,FALSE)</f>
        <v>Velasquez, Jayson Alon</v>
      </c>
      <c r="V386" s="3">
        <v>44161.4844212963</v>
      </c>
    </row>
    <row r="387" spans="1:22" x14ac:dyDescent="0.25">
      <c r="A387" s="1" t="s">
        <v>18</v>
      </c>
      <c r="B387" s="1" t="s">
        <v>19</v>
      </c>
      <c r="C387" s="1" t="s">
        <v>166</v>
      </c>
      <c r="D387" s="1" t="s">
        <v>1123</v>
      </c>
      <c r="E387" s="2">
        <v>44161</v>
      </c>
      <c r="F387" s="1" t="s">
        <v>22</v>
      </c>
      <c r="G387" s="1" t="s">
        <v>1124</v>
      </c>
      <c r="H387" s="1"/>
      <c r="I387" s="1" t="s">
        <v>36</v>
      </c>
      <c r="J387" s="1" t="s">
        <v>171</v>
      </c>
      <c r="K387" s="1">
        <v>0</v>
      </c>
      <c r="L387" s="1"/>
      <c r="M387" s="1"/>
      <c r="N387" s="1" t="s">
        <v>1125</v>
      </c>
      <c r="O387" s="1"/>
      <c r="P387" s="2">
        <v>44161</v>
      </c>
      <c r="Q387" s="8" t="str">
        <f t="shared" ref="Q387:Q440" si="6">IF((P387-E387)&gt;2,"NOT SUPPORTED WITHIN 2DAYS","SUPPORTED WITHIN 2DAYS")</f>
        <v>SUPPORTED WITHIN 2DAYS</v>
      </c>
      <c r="R387" s="8" t="s">
        <v>1272</v>
      </c>
      <c r="S387" s="1">
        <v>0</v>
      </c>
      <c r="T387" s="1" t="s">
        <v>246</v>
      </c>
      <c r="U387" s="1" t="str">
        <f>VLOOKUP(T387,personnel!A$1:B$4,2,FALSE)</f>
        <v>Macarling, Federico Jr Romano</v>
      </c>
      <c r="V387" s="3">
        <v>44161.590277777781</v>
      </c>
    </row>
    <row r="388" spans="1:22" x14ac:dyDescent="0.25">
      <c r="A388" s="1" t="s">
        <v>18</v>
      </c>
      <c r="B388" s="1" t="s">
        <v>19</v>
      </c>
      <c r="C388" s="1" t="s">
        <v>20</v>
      </c>
      <c r="D388" s="1" t="s">
        <v>1126</v>
      </c>
      <c r="E388" s="2">
        <v>44161</v>
      </c>
      <c r="F388" s="1" t="s">
        <v>22</v>
      </c>
      <c r="G388" s="1" t="s">
        <v>1127</v>
      </c>
      <c r="H388" s="1" t="s">
        <v>244</v>
      </c>
      <c r="I388" s="1"/>
      <c r="J388" s="1"/>
      <c r="K388" s="1">
        <v>0</v>
      </c>
      <c r="L388" s="1"/>
      <c r="M388" s="1" t="s">
        <v>244</v>
      </c>
      <c r="N388" s="1" t="s">
        <v>1125</v>
      </c>
      <c r="O388" s="1" t="s">
        <v>245</v>
      </c>
      <c r="P388" s="2">
        <v>44162</v>
      </c>
      <c r="Q388" s="8" t="str">
        <f t="shared" si="6"/>
        <v>SUPPORTED WITHIN 2DAYS</v>
      </c>
      <c r="R388" s="8" t="s">
        <v>1272</v>
      </c>
      <c r="S388" s="1">
        <v>0</v>
      </c>
      <c r="T388" s="1" t="s">
        <v>246</v>
      </c>
      <c r="U388" s="1" t="str">
        <f>VLOOKUP(T388,personnel!A$1:B$4,2,FALSE)</f>
        <v>Macarling, Federico Jr Romano</v>
      </c>
      <c r="V388" s="3">
        <v>44161.592824074076</v>
      </c>
    </row>
    <row r="389" spans="1:22" x14ac:dyDescent="0.25">
      <c r="A389" s="1" t="s">
        <v>18</v>
      </c>
      <c r="B389" s="1" t="s">
        <v>19</v>
      </c>
      <c r="C389" s="1" t="s">
        <v>20</v>
      </c>
      <c r="D389" s="1" t="s">
        <v>1128</v>
      </c>
      <c r="E389" s="2">
        <v>44162</v>
      </c>
      <c r="F389" s="1" t="s">
        <v>22</v>
      </c>
      <c r="G389" s="1" t="s">
        <v>1129</v>
      </c>
      <c r="H389" s="1" t="s">
        <v>1130</v>
      </c>
      <c r="I389" s="1" t="s">
        <v>797</v>
      </c>
      <c r="J389" s="1" t="s">
        <v>652</v>
      </c>
      <c r="K389" s="1">
        <v>0</v>
      </c>
      <c r="L389" s="1"/>
      <c r="M389" s="1" t="s">
        <v>542</v>
      </c>
      <c r="N389" s="1"/>
      <c r="O389" s="1" t="s">
        <v>543</v>
      </c>
      <c r="P389" s="2">
        <v>44162</v>
      </c>
      <c r="Q389" s="8" t="str">
        <f t="shared" si="6"/>
        <v>SUPPORTED WITHIN 2DAYS</v>
      </c>
      <c r="R389" s="8" t="s">
        <v>1272</v>
      </c>
      <c r="S389" s="1">
        <v>0</v>
      </c>
      <c r="T389" s="1" t="s">
        <v>544</v>
      </c>
      <c r="U389" s="1" t="str">
        <f>VLOOKUP(T389,personnel!A$1:B$4,2,FALSE)</f>
        <v>Velasquez, Jayson Alon</v>
      </c>
      <c r="V389" s="3">
        <v>44162.382673611108</v>
      </c>
    </row>
    <row r="390" spans="1:22" x14ac:dyDescent="0.25">
      <c r="A390" s="1" t="s">
        <v>478</v>
      </c>
      <c r="B390" s="1" t="s">
        <v>19</v>
      </c>
      <c r="C390" s="1" t="s">
        <v>20</v>
      </c>
      <c r="D390" s="1" t="s">
        <v>1131</v>
      </c>
      <c r="E390" s="2">
        <v>44162</v>
      </c>
      <c r="F390" s="1" t="s">
        <v>480</v>
      </c>
      <c r="G390" s="1" t="s">
        <v>1132</v>
      </c>
      <c r="H390" s="1" t="s">
        <v>244</v>
      </c>
      <c r="I390" s="1"/>
      <c r="J390" s="1"/>
      <c r="K390" s="1">
        <v>0</v>
      </c>
      <c r="L390" s="1"/>
      <c r="M390" s="1" t="s">
        <v>244</v>
      </c>
      <c r="N390" s="1"/>
      <c r="O390" s="1" t="s">
        <v>245</v>
      </c>
      <c r="P390" s="2">
        <v>44165</v>
      </c>
      <c r="Q390" s="8" t="str">
        <f t="shared" si="6"/>
        <v>NOT SUPPORTED WITHIN 2DAYS</v>
      </c>
      <c r="R390" s="8" t="s">
        <v>1273</v>
      </c>
      <c r="S390" s="1">
        <v>0</v>
      </c>
      <c r="T390" s="1" t="s">
        <v>246</v>
      </c>
      <c r="U390" s="1" t="str">
        <f>VLOOKUP(T390,personnel!A$1:B$4,2,FALSE)</f>
        <v>Macarling, Federico Jr Romano</v>
      </c>
      <c r="V390" s="3">
        <v>44162.390081018515</v>
      </c>
    </row>
    <row r="391" spans="1:22" x14ac:dyDescent="0.25">
      <c r="A391" s="1" t="s">
        <v>18</v>
      </c>
      <c r="B391" s="1" t="s">
        <v>19</v>
      </c>
      <c r="C391" s="1" t="s">
        <v>20</v>
      </c>
      <c r="D391" s="1" t="s">
        <v>1133</v>
      </c>
      <c r="E391" s="2">
        <v>44162</v>
      </c>
      <c r="F391" s="1" t="s">
        <v>22</v>
      </c>
      <c r="G391" s="1" t="s">
        <v>1134</v>
      </c>
      <c r="H391" s="1" t="s">
        <v>1135</v>
      </c>
      <c r="I391" s="1" t="s">
        <v>41</v>
      </c>
      <c r="J391" s="1" t="s">
        <v>652</v>
      </c>
      <c r="K391" s="1">
        <v>0</v>
      </c>
      <c r="L391" s="1"/>
      <c r="M391" s="1" t="s">
        <v>542</v>
      </c>
      <c r="N391" s="1"/>
      <c r="O391" s="1" t="s">
        <v>543</v>
      </c>
      <c r="P391" s="2">
        <v>44162</v>
      </c>
      <c r="Q391" s="8" t="str">
        <f t="shared" si="6"/>
        <v>SUPPORTED WITHIN 2DAYS</v>
      </c>
      <c r="R391" s="8" t="s">
        <v>1272</v>
      </c>
      <c r="S391" s="1">
        <v>0</v>
      </c>
      <c r="T391" s="1" t="s">
        <v>544</v>
      </c>
      <c r="U391" s="1" t="str">
        <f>VLOOKUP(T391,personnel!A$1:B$4,2,FALSE)</f>
        <v>Velasquez, Jayson Alon</v>
      </c>
      <c r="V391" s="3">
        <v>44162.47693287037</v>
      </c>
    </row>
    <row r="392" spans="1:22" x14ac:dyDescent="0.25">
      <c r="A392" s="1" t="s">
        <v>1136</v>
      </c>
      <c r="B392" s="1" t="s">
        <v>19</v>
      </c>
      <c r="C392" s="1" t="s">
        <v>20</v>
      </c>
      <c r="D392" s="1" t="s">
        <v>1137</v>
      </c>
      <c r="E392" s="2">
        <v>44162</v>
      </c>
      <c r="F392" s="1" t="s">
        <v>1138</v>
      </c>
      <c r="G392" s="1" t="s">
        <v>1139</v>
      </c>
      <c r="H392" s="1" t="s">
        <v>244</v>
      </c>
      <c r="I392" s="1" t="s">
        <v>25</v>
      </c>
      <c r="J392" s="1" t="s">
        <v>42</v>
      </c>
      <c r="K392" s="1">
        <v>0</v>
      </c>
      <c r="L392" s="1"/>
      <c r="M392" s="1" t="s">
        <v>244</v>
      </c>
      <c r="N392" s="1"/>
      <c r="O392" s="1" t="s">
        <v>245</v>
      </c>
      <c r="P392" s="2">
        <v>44165</v>
      </c>
      <c r="Q392" s="8" t="str">
        <f t="shared" si="6"/>
        <v>NOT SUPPORTED WITHIN 2DAYS</v>
      </c>
      <c r="R392" s="8" t="s">
        <v>1273</v>
      </c>
      <c r="S392" s="1">
        <v>0</v>
      </c>
      <c r="T392" s="1" t="s">
        <v>246</v>
      </c>
      <c r="U392" s="1" t="str">
        <f>VLOOKUP(T392,personnel!A$1:B$4,2,FALSE)</f>
        <v>Macarling, Federico Jr Romano</v>
      </c>
      <c r="V392" s="3">
        <v>44162.571134259262</v>
      </c>
    </row>
    <row r="393" spans="1:22" x14ac:dyDescent="0.25">
      <c r="A393" s="1" t="s">
        <v>1140</v>
      </c>
      <c r="B393" s="1" t="s">
        <v>19</v>
      </c>
      <c r="C393" s="1" t="s">
        <v>20</v>
      </c>
      <c r="D393" s="1" t="s">
        <v>1141</v>
      </c>
      <c r="E393" s="2">
        <v>44162</v>
      </c>
      <c r="F393" s="1" t="s">
        <v>1142</v>
      </c>
      <c r="G393" s="1" t="s">
        <v>1139</v>
      </c>
      <c r="H393" s="1" t="s">
        <v>244</v>
      </c>
      <c r="I393" s="1" t="s">
        <v>25</v>
      </c>
      <c r="J393" s="1" t="s">
        <v>42</v>
      </c>
      <c r="K393" s="1">
        <v>0</v>
      </c>
      <c r="L393" s="1"/>
      <c r="M393" s="1" t="s">
        <v>244</v>
      </c>
      <c r="N393" s="1"/>
      <c r="O393" s="1" t="s">
        <v>245</v>
      </c>
      <c r="P393" s="2">
        <v>44165</v>
      </c>
      <c r="Q393" s="8" t="str">
        <f t="shared" si="6"/>
        <v>NOT SUPPORTED WITHIN 2DAYS</v>
      </c>
      <c r="R393" s="8" t="s">
        <v>1273</v>
      </c>
      <c r="S393" s="1">
        <v>0</v>
      </c>
      <c r="T393" s="1" t="s">
        <v>246</v>
      </c>
      <c r="U393" s="1" t="str">
        <f>VLOOKUP(T393,personnel!A$1:B$4,2,FALSE)</f>
        <v>Macarling, Federico Jr Romano</v>
      </c>
      <c r="V393" s="3">
        <v>44162.571284722224</v>
      </c>
    </row>
    <row r="394" spans="1:22" x14ac:dyDescent="0.25">
      <c r="A394" s="1" t="s">
        <v>1143</v>
      </c>
      <c r="B394" s="1" t="s">
        <v>19</v>
      </c>
      <c r="C394" s="1" t="s">
        <v>20</v>
      </c>
      <c r="D394" s="1" t="s">
        <v>1144</v>
      </c>
      <c r="E394" s="2">
        <v>44162</v>
      </c>
      <c r="F394" s="1" t="s">
        <v>1145</v>
      </c>
      <c r="G394" s="1" t="s">
        <v>1139</v>
      </c>
      <c r="H394" s="1" t="s">
        <v>244</v>
      </c>
      <c r="I394" s="1" t="s">
        <v>25</v>
      </c>
      <c r="J394" s="1" t="s">
        <v>42</v>
      </c>
      <c r="K394" s="1">
        <v>0</v>
      </c>
      <c r="L394" s="1"/>
      <c r="M394" s="1" t="s">
        <v>244</v>
      </c>
      <c r="N394" s="1"/>
      <c r="O394" s="1" t="s">
        <v>245</v>
      </c>
      <c r="P394" s="2">
        <v>44165</v>
      </c>
      <c r="Q394" s="8" t="str">
        <f t="shared" si="6"/>
        <v>NOT SUPPORTED WITHIN 2DAYS</v>
      </c>
      <c r="R394" s="8" t="s">
        <v>1273</v>
      </c>
      <c r="S394" s="1">
        <v>0</v>
      </c>
      <c r="T394" s="1" t="s">
        <v>246</v>
      </c>
      <c r="U394" s="1" t="str">
        <f>VLOOKUP(T394,personnel!A$1:B$4,2,FALSE)</f>
        <v>Macarling, Federico Jr Romano</v>
      </c>
      <c r="V394" s="3">
        <v>44162.571446759262</v>
      </c>
    </row>
    <row r="395" spans="1:22" x14ac:dyDescent="0.25">
      <c r="A395" s="1" t="s">
        <v>1146</v>
      </c>
      <c r="B395" s="1" t="s">
        <v>19</v>
      </c>
      <c r="C395" s="1" t="s">
        <v>20</v>
      </c>
      <c r="D395" s="1" t="s">
        <v>1147</v>
      </c>
      <c r="E395" s="2">
        <v>44162</v>
      </c>
      <c r="F395" s="1" t="s">
        <v>1148</v>
      </c>
      <c r="G395" s="1" t="s">
        <v>1139</v>
      </c>
      <c r="H395" s="1" t="s">
        <v>244</v>
      </c>
      <c r="I395" s="1" t="s">
        <v>25</v>
      </c>
      <c r="J395" s="1" t="s">
        <v>42</v>
      </c>
      <c r="K395" s="1">
        <v>0</v>
      </c>
      <c r="L395" s="1"/>
      <c r="M395" s="1" t="s">
        <v>244</v>
      </c>
      <c r="N395" s="1"/>
      <c r="O395" s="1" t="s">
        <v>245</v>
      </c>
      <c r="P395" s="2">
        <v>44165</v>
      </c>
      <c r="Q395" s="8" t="str">
        <f t="shared" si="6"/>
        <v>NOT SUPPORTED WITHIN 2DAYS</v>
      </c>
      <c r="R395" s="8" t="s">
        <v>1273</v>
      </c>
      <c r="S395" s="1">
        <v>0</v>
      </c>
      <c r="T395" s="1" t="s">
        <v>246</v>
      </c>
      <c r="U395" s="1" t="str">
        <f>VLOOKUP(T395,personnel!A$1:B$4,2,FALSE)</f>
        <v>Macarling, Federico Jr Romano</v>
      </c>
      <c r="V395" s="3">
        <v>44162.572060185186</v>
      </c>
    </row>
    <row r="396" spans="1:22" x14ac:dyDescent="0.25">
      <c r="A396" s="1" t="s">
        <v>1149</v>
      </c>
      <c r="B396" s="1" t="s">
        <v>19</v>
      </c>
      <c r="C396" s="1" t="s">
        <v>20</v>
      </c>
      <c r="D396" s="1" t="s">
        <v>1150</v>
      </c>
      <c r="E396" s="2">
        <v>44162</v>
      </c>
      <c r="F396" s="1" t="s">
        <v>1151</v>
      </c>
      <c r="G396" s="1" t="s">
        <v>1139</v>
      </c>
      <c r="H396" s="1" t="s">
        <v>244</v>
      </c>
      <c r="I396" s="1" t="s">
        <v>25</v>
      </c>
      <c r="J396" s="1" t="s">
        <v>42</v>
      </c>
      <c r="K396" s="1">
        <v>0</v>
      </c>
      <c r="L396" s="1"/>
      <c r="M396" s="1" t="s">
        <v>244</v>
      </c>
      <c r="N396" s="1"/>
      <c r="O396" s="1" t="s">
        <v>245</v>
      </c>
      <c r="P396" s="2">
        <v>44165</v>
      </c>
      <c r="Q396" s="8" t="str">
        <f t="shared" si="6"/>
        <v>NOT SUPPORTED WITHIN 2DAYS</v>
      </c>
      <c r="R396" s="8" t="s">
        <v>1273</v>
      </c>
      <c r="S396" s="1">
        <v>0</v>
      </c>
      <c r="T396" s="1" t="s">
        <v>246</v>
      </c>
      <c r="U396" s="1" t="str">
        <f>VLOOKUP(T396,personnel!A$1:B$4,2,FALSE)</f>
        <v>Macarling, Federico Jr Romano</v>
      </c>
      <c r="V396" s="3">
        <v>44162.572210648148</v>
      </c>
    </row>
    <row r="397" spans="1:22" x14ac:dyDescent="0.25">
      <c r="A397" s="1" t="s">
        <v>1152</v>
      </c>
      <c r="B397" s="1" t="s">
        <v>19</v>
      </c>
      <c r="C397" s="1" t="s">
        <v>20</v>
      </c>
      <c r="D397" s="1" t="s">
        <v>1153</v>
      </c>
      <c r="E397" s="2">
        <v>44162</v>
      </c>
      <c r="F397" s="1" t="s">
        <v>1154</v>
      </c>
      <c r="G397" s="1" t="s">
        <v>1139</v>
      </c>
      <c r="H397" s="1" t="s">
        <v>244</v>
      </c>
      <c r="I397" s="1" t="s">
        <v>25</v>
      </c>
      <c r="J397" s="1" t="s">
        <v>42</v>
      </c>
      <c r="K397" s="1">
        <v>0</v>
      </c>
      <c r="L397" s="1"/>
      <c r="M397" s="1" t="s">
        <v>244</v>
      </c>
      <c r="N397" s="1"/>
      <c r="O397" s="1" t="s">
        <v>245</v>
      </c>
      <c r="P397" s="2">
        <v>44165</v>
      </c>
      <c r="Q397" s="8" t="str">
        <f t="shared" si="6"/>
        <v>NOT SUPPORTED WITHIN 2DAYS</v>
      </c>
      <c r="R397" s="8" t="s">
        <v>1273</v>
      </c>
      <c r="S397" s="1">
        <v>0</v>
      </c>
      <c r="T397" s="1" t="s">
        <v>246</v>
      </c>
      <c r="U397" s="1" t="str">
        <f>VLOOKUP(T397,personnel!A$1:B$4,2,FALSE)</f>
        <v>Macarling, Federico Jr Romano</v>
      </c>
      <c r="V397" s="3">
        <v>44162.57236111111</v>
      </c>
    </row>
    <row r="398" spans="1:22" x14ac:dyDescent="0.25">
      <c r="A398" s="1" t="s">
        <v>1155</v>
      </c>
      <c r="B398" s="1" t="s">
        <v>19</v>
      </c>
      <c r="C398" s="1" t="s">
        <v>20</v>
      </c>
      <c r="D398" s="1" t="s">
        <v>1156</v>
      </c>
      <c r="E398" s="2">
        <v>44162</v>
      </c>
      <c r="F398" s="1" t="s">
        <v>1157</v>
      </c>
      <c r="G398" s="1" t="s">
        <v>1139</v>
      </c>
      <c r="H398" s="1" t="s">
        <v>244</v>
      </c>
      <c r="I398" s="1" t="s">
        <v>25</v>
      </c>
      <c r="J398" s="1" t="s">
        <v>42</v>
      </c>
      <c r="K398" s="1">
        <v>0</v>
      </c>
      <c r="L398" s="1"/>
      <c r="M398" s="1" t="s">
        <v>244</v>
      </c>
      <c r="N398" s="1"/>
      <c r="O398" s="1" t="s">
        <v>245</v>
      </c>
      <c r="P398" s="2">
        <v>44165</v>
      </c>
      <c r="Q398" s="8" t="str">
        <f t="shared" si="6"/>
        <v>NOT SUPPORTED WITHIN 2DAYS</v>
      </c>
      <c r="R398" s="8" t="s">
        <v>1273</v>
      </c>
      <c r="S398" s="1">
        <v>0</v>
      </c>
      <c r="T398" s="1" t="s">
        <v>246</v>
      </c>
      <c r="U398" s="1" t="str">
        <f>VLOOKUP(T398,personnel!A$1:B$4,2,FALSE)</f>
        <v>Macarling, Federico Jr Romano</v>
      </c>
      <c r="V398" s="3">
        <v>44162.572523148148</v>
      </c>
    </row>
    <row r="399" spans="1:22" x14ac:dyDescent="0.25">
      <c r="A399" s="1" t="s">
        <v>1158</v>
      </c>
      <c r="B399" s="1" t="s">
        <v>19</v>
      </c>
      <c r="C399" s="1" t="s">
        <v>20</v>
      </c>
      <c r="D399" s="1" t="s">
        <v>1159</v>
      </c>
      <c r="E399" s="2">
        <v>44162</v>
      </c>
      <c r="F399" s="1" t="s">
        <v>1160</v>
      </c>
      <c r="G399" s="1" t="s">
        <v>1139</v>
      </c>
      <c r="H399" s="1" t="s">
        <v>244</v>
      </c>
      <c r="I399" s="1" t="s">
        <v>25</v>
      </c>
      <c r="J399" s="1" t="s">
        <v>42</v>
      </c>
      <c r="K399" s="1">
        <v>0</v>
      </c>
      <c r="L399" s="1"/>
      <c r="M399" s="1" t="s">
        <v>244</v>
      </c>
      <c r="N399" s="1"/>
      <c r="O399" s="1" t="s">
        <v>245</v>
      </c>
      <c r="P399" s="2">
        <v>44165</v>
      </c>
      <c r="Q399" s="8" t="str">
        <f t="shared" si="6"/>
        <v>NOT SUPPORTED WITHIN 2DAYS</v>
      </c>
      <c r="R399" s="8" t="s">
        <v>1273</v>
      </c>
      <c r="S399" s="1">
        <v>0</v>
      </c>
      <c r="T399" s="1" t="s">
        <v>246</v>
      </c>
      <c r="U399" s="1" t="str">
        <f>VLOOKUP(T399,personnel!A$1:B$4,2,FALSE)</f>
        <v>Macarling, Federico Jr Romano</v>
      </c>
      <c r="V399" s="3">
        <v>44162.57271990741</v>
      </c>
    </row>
    <row r="400" spans="1:22" x14ac:dyDescent="0.25">
      <c r="A400" s="1" t="s">
        <v>1161</v>
      </c>
      <c r="B400" s="1" t="s">
        <v>19</v>
      </c>
      <c r="C400" s="1" t="s">
        <v>20</v>
      </c>
      <c r="D400" s="1" t="s">
        <v>1162</v>
      </c>
      <c r="E400" s="2">
        <v>44162</v>
      </c>
      <c r="F400" s="1" t="s">
        <v>1163</v>
      </c>
      <c r="G400" s="1" t="s">
        <v>1139</v>
      </c>
      <c r="H400" s="1" t="s">
        <v>244</v>
      </c>
      <c r="I400" s="1" t="s">
        <v>25</v>
      </c>
      <c r="J400" s="1" t="s">
        <v>42</v>
      </c>
      <c r="K400" s="1">
        <v>0</v>
      </c>
      <c r="L400" s="1"/>
      <c r="M400" s="1" t="s">
        <v>244</v>
      </c>
      <c r="N400" s="1"/>
      <c r="O400" s="1" t="s">
        <v>245</v>
      </c>
      <c r="P400" s="2">
        <v>44165</v>
      </c>
      <c r="Q400" s="8" t="str">
        <f t="shared" si="6"/>
        <v>NOT SUPPORTED WITHIN 2DAYS</v>
      </c>
      <c r="R400" s="8" t="s">
        <v>1273</v>
      </c>
      <c r="S400" s="1">
        <v>0</v>
      </c>
      <c r="T400" s="1" t="s">
        <v>246</v>
      </c>
      <c r="U400" s="1" t="str">
        <f>VLOOKUP(T400,personnel!A$1:B$4,2,FALSE)</f>
        <v>Macarling, Federico Jr Romano</v>
      </c>
      <c r="V400" s="3">
        <v>44162.572905092595</v>
      </c>
    </row>
    <row r="401" spans="1:22" x14ac:dyDescent="0.25">
      <c r="A401" s="1" t="s">
        <v>1164</v>
      </c>
      <c r="B401" s="1" t="s">
        <v>19</v>
      </c>
      <c r="C401" s="1" t="s">
        <v>20</v>
      </c>
      <c r="D401" s="1" t="s">
        <v>1165</v>
      </c>
      <c r="E401" s="2">
        <v>44162</v>
      </c>
      <c r="F401" s="1" t="s">
        <v>1166</v>
      </c>
      <c r="G401" s="1" t="s">
        <v>1139</v>
      </c>
      <c r="H401" s="1" t="s">
        <v>244</v>
      </c>
      <c r="I401" s="1" t="s">
        <v>25</v>
      </c>
      <c r="J401" s="1" t="s">
        <v>42</v>
      </c>
      <c r="K401" s="1">
        <v>0</v>
      </c>
      <c r="L401" s="1"/>
      <c r="M401" s="1" t="s">
        <v>244</v>
      </c>
      <c r="N401" s="1"/>
      <c r="O401" s="1" t="s">
        <v>245</v>
      </c>
      <c r="P401" s="2">
        <v>44165</v>
      </c>
      <c r="Q401" s="8" t="str">
        <f t="shared" si="6"/>
        <v>NOT SUPPORTED WITHIN 2DAYS</v>
      </c>
      <c r="R401" s="8" t="s">
        <v>1273</v>
      </c>
      <c r="S401" s="1">
        <v>0</v>
      </c>
      <c r="T401" s="1" t="s">
        <v>246</v>
      </c>
      <c r="U401" s="1" t="str">
        <f>VLOOKUP(T401,personnel!A$1:B$4,2,FALSE)</f>
        <v>Macarling, Federico Jr Romano</v>
      </c>
      <c r="V401" s="3">
        <v>44162.573055555556</v>
      </c>
    </row>
    <row r="402" spans="1:22" x14ac:dyDescent="0.25">
      <c r="A402" s="1" t="s">
        <v>1167</v>
      </c>
      <c r="B402" s="1" t="s">
        <v>19</v>
      </c>
      <c r="C402" s="1" t="s">
        <v>20</v>
      </c>
      <c r="D402" s="1" t="s">
        <v>1168</v>
      </c>
      <c r="E402" s="2">
        <v>44162</v>
      </c>
      <c r="F402" s="1" t="s">
        <v>1169</v>
      </c>
      <c r="G402" s="1" t="s">
        <v>1139</v>
      </c>
      <c r="H402" s="1" t="s">
        <v>244</v>
      </c>
      <c r="I402" s="1" t="s">
        <v>25</v>
      </c>
      <c r="J402" s="1" t="s">
        <v>42</v>
      </c>
      <c r="K402" s="1">
        <v>0</v>
      </c>
      <c r="L402" s="1"/>
      <c r="M402" s="1" t="s">
        <v>244</v>
      </c>
      <c r="N402" s="1"/>
      <c r="O402" s="1" t="s">
        <v>245</v>
      </c>
      <c r="P402" s="2">
        <v>44165</v>
      </c>
      <c r="Q402" s="8" t="str">
        <f t="shared" si="6"/>
        <v>NOT SUPPORTED WITHIN 2DAYS</v>
      </c>
      <c r="R402" s="8" t="s">
        <v>1273</v>
      </c>
      <c r="S402" s="1">
        <v>0</v>
      </c>
      <c r="T402" s="1" t="s">
        <v>246</v>
      </c>
      <c r="U402" s="1" t="str">
        <f>VLOOKUP(T402,personnel!A$1:B$4,2,FALSE)</f>
        <v>Macarling, Federico Jr Romano</v>
      </c>
      <c r="V402" s="3">
        <v>44162.573194444441</v>
      </c>
    </row>
    <row r="403" spans="1:22" x14ac:dyDescent="0.25">
      <c r="A403" s="1" t="s">
        <v>1170</v>
      </c>
      <c r="B403" s="1" t="s">
        <v>19</v>
      </c>
      <c r="C403" s="1" t="s">
        <v>20</v>
      </c>
      <c r="D403" s="1" t="s">
        <v>1171</v>
      </c>
      <c r="E403" s="2">
        <v>44162</v>
      </c>
      <c r="F403" s="1" t="s">
        <v>1172</v>
      </c>
      <c r="G403" s="1" t="s">
        <v>1139</v>
      </c>
      <c r="H403" s="1" t="s">
        <v>244</v>
      </c>
      <c r="I403" s="1" t="s">
        <v>25</v>
      </c>
      <c r="J403" s="1" t="s">
        <v>42</v>
      </c>
      <c r="K403" s="1">
        <v>0</v>
      </c>
      <c r="L403" s="1"/>
      <c r="M403" s="1" t="s">
        <v>244</v>
      </c>
      <c r="N403" s="1"/>
      <c r="O403" s="1" t="s">
        <v>245</v>
      </c>
      <c r="P403" s="2">
        <v>44165</v>
      </c>
      <c r="Q403" s="8" t="str">
        <f t="shared" si="6"/>
        <v>NOT SUPPORTED WITHIN 2DAYS</v>
      </c>
      <c r="R403" s="8" t="s">
        <v>1273</v>
      </c>
      <c r="S403" s="1">
        <v>0</v>
      </c>
      <c r="T403" s="1" t="s">
        <v>246</v>
      </c>
      <c r="U403" s="1" t="str">
        <f>VLOOKUP(T403,personnel!A$1:B$4,2,FALSE)</f>
        <v>Macarling, Federico Jr Romano</v>
      </c>
      <c r="V403" s="3">
        <v>44162.573321759257</v>
      </c>
    </row>
    <row r="404" spans="1:22" x14ac:dyDescent="0.25">
      <c r="A404" s="1" t="s">
        <v>1173</v>
      </c>
      <c r="B404" s="1" t="s">
        <v>19</v>
      </c>
      <c r="C404" s="1" t="s">
        <v>20</v>
      </c>
      <c r="D404" s="1" t="s">
        <v>1174</v>
      </c>
      <c r="E404" s="2">
        <v>44162</v>
      </c>
      <c r="F404" s="1" t="s">
        <v>1175</v>
      </c>
      <c r="G404" s="1" t="s">
        <v>1139</v>
      </c>
      <c r="H404" s="1" t="s">
        <v>244</v>
      </c>
      <c r="I404" s="1" t="s">
        <v>25</v>
      </c>
      <c r="J404" s="1" t="s">
        <v>42</v>
      </c>
      <c r="K404" s="1">
        <v>0</v>
      </c>
      <c r="L404" s="1"/>
      <c r="M404" s="1" t="s">
        <v>244</v>
      </c>
      <c r="N404" s="1"/>
      <c r="O404" s="1" t="s">
        <v>245</v>
      </c>
      <c r="P404" s="2">
        <v>44165</v>
      </c>
      <c r="Q404" s="8" t="str">
        <f t="shared" si="6"/>
        <v>NOT SUPPORTED WITHIN 2DAYS</v>
      </c>
      <c r="R404" s="8" t="s">
        <v>1273</v>
      </c>
      <c r="S404" s="1">
        <v>0</v>
      </c>
      <c r="T404" s="1" t="s">
        <v>246</v>
      </c>
      <c r="U404" s="1" t="str">
        <f>VLOOKUP(T404,personnel!A$1:B$4,2,FALSE)</f>
        <v>Macarling, Federico Jr Romano</v>
      </c>
      <c r="V404" s="3">
        <v>44162.573437500003</v>
      </c>
    </row>
    <row r="405" spans="1:22" x14ac:dyDescent="0.25">
      <c r="A405" s="1" t="s">
        <v>250</v>
      </c>
      <c r="B405" s="1" t="s">
        <v>19</v>
      </c>
      <c r="C405" s="1" t="s">
        <v>20</v>
      </c>
      <c r="D405" s="1" t="s">
        <v>1176</v>
      </c>
      <c r="E405" s="2">
        <v>44162</v>
      </c>
      <c r="F405" s="1" t="s">
        <v>252</v>
      </c>
      <c r="G405" s="1" t="s">
        <v>1139</v>
      </c>
      <c r="H405" s="1" t="s">
        <v>244</v>
      </c>
      <c r="I405" s="1" t="s">
        <v>25</v>
      </c>
      <c r="J405" s="1" t="s">
        <v>42</v>
      </c>
      <c r="K405" s="1">
        <v>0</v>
      </c>
      <c r="L405" s="1"/>
      <c r="M405" s="1" t="s">
        <v>244</v>
      </c>
      <c r="N405" s="1"/>
      <c r="O405" s="1" t="s">
        <v>245</v>
      </c>
      <c r="P405" s="2">
        <v>44165</v>
      </c>
      <c r="Q405" s="8" t="str">
        <f t="shared" si="6"/>
        <v>NOT SUPPORTED WITHIN 2DAYS</v>
      </c>
      <c r="R405" s="8" t="s">
        <v>1273</v>
      </c>
      <c r="S405" s="1">
        <v>0</v>
      </c>
      <c r="T405" s="1" t="s">
        <v>246</v>
      </c>
      <c r="U405" s="1" t="str">
        <f>VLOOKUP(T405,personnel!A$1:B$4,2,FALSE)</f>
        <v>Macarling, Federico Jr Romano</v>
      </c>
      <c r="V405" s="3">
        <v>44162.573564814818</v>
      </c>
    </row>
    <row r="406" spans="1:22" x14ac:dyDescent="0.25">
      <c r="A406" s="1" t="s">
        <v>1177</v>
      </c>
      <c r="B406" s="1" t="s">
        <v>19</v>
      </c>
      <c r="C406" s="1" t="s">
        <v>20</v>
      </c>
      <c r="D406" s="1" t="s">
        <v>1178</v>
      </c>
      <c r="E406" s="2">
        <v>44162</v>
      </c>
      <c r="F406" s="1" t="s">
        <v>1179</v>
      </c>
      <c r="G406" s="1" t="s">
        <v>1139</v>
      </c>
      <c r="H406" s="1" t="s">
        <v>244</v>
      </c>
      <c r="I406" s="1" t="s">
        <v>25</v>
      </c>
      <c r="J406" s="1" t="s">
        <v>42</v>
      </c>
      <c r="K406" s="1">
        <v>0</v>
      </c>
      <c r="L406" s="1"/>
      <c r="M406" s="1" t="s">
        <v>244</v>
      </c>
      <c r="N406" s="1"/>
      <c r="O406" s="1" t="s">
        <v>245</v>
      </c>
      <c r="P406" s="2">
        <v>44165</v>
      </c>
      <c r="Q406" s="8" t="str">
        <f t="shared" si="6"/>
        <v>NOT SUPPORTED WITHIN 2DAYS</v>
      </c>
      <c r="R406" s="8" t="s">
        <v>1273</v>
      </c>
      <c r="S406" s="1">
        <v>0</v>
      </c>
      <c r="T406" s="1" t="s">
        <v>246</v>
      </c>
      <c r="U406" s="1" t="str">
        <f>VLOOKUP(T406,personnel!A$1:B$4,2,FALSE)</f>
        <v>Macarling, Federico Jr Romano</v>
      </c>
      <c r="V406" s="3">
        <v>44162.573842592596</v>
      </c>
    </row>
    <row r="407" spans="1:22" x14ac:dyDescent="0.25">
      <c r="A407" s="1" t="s">
        <v>1180</v>
      </c>
      <c r="B407" s="1" t="s">
        <v>19</v>
      </c>
      <c r="C407" s="1" t="s">
        <v>20</v>
      </c>
      <c r="D407" s="1" t="s">
        <v>1181</v>
      </c>
      <c r="E407" s="2">
        <v>44162</v>
      </c>
      <c r="F407" s="1" t="s">
        <v>1182</v>
      </c>
      <c r="G407" s="1" t="s">
        <v>1139</v>
      </c>
      <c r="H407" s="1" t="s">
        <v>244</v>
      </c>
      <c r="I407" s="1" t="s">
        <v>25</v>
      </c>
      <c r="J407" s="1" t="s">
        <v>42</v>
      </c>
      <c r="K407" s="1">
        <v>0</v>
      </c>
      <c r="L407" s="1"/>
      <c r="M407" s="1" t="s">
        <v>244</v>
      </c>
      <c r="N407" s="1"/>
      <c r="O407" s="1" t="s">
        <v>245</v>
      </c>
      <c r="P407" s="2">
        <v>44165</v>
      </c>
      <c r="Q407" s="8" t="str">
        <f t="shared" si="6"/>
        <v>NOT SUPPORTED WITHIN 2DAYS</v>
      </c>
      <c r="R407" s="8" t="s">
        <v>1273</v>
      </c>
      <c r="S407" s="1">
        <v>0</v>
      </c>
      <c r="T407" s="1" t="s">
        <v>246</v>
      </c>
      <c r="U407" s="1" t="str">
        <f>VLOOKUP(T407,personnel!A$1:B$4,2,FALSE)</f>
        <v>Macarling, Federico Jr Romano</v>
      </c>
      <c r="V407" s="3">
        <v>44162.573993055557</v>
      </c>
    </row>
    <row r="408" spans="1:22" x14ac:dyDescent="0.25">
      <c r="A408" s="1" t="s">
        <v>240</v>
      </c>
      <c r="B408" s="1" t="s">
        <v>19</v>
      </c>
      <c r="C408" s="1" t="s">
        <v>20</v>
      </c>
      <c r="D408" s="1" t="s">
        <v>1183</v>
      </c>
      <c r="E408" s="2">
        <v>44162</v>
      </c>
      <c r="F408" s="1" t="s">
        <v>242</v>
      </c>
      <c r="G408" s="1" t="s">
        <v>1139</v>
      </c>
      <c r="H408" s="1" t="s">
        <v>244</v>
      </c>
      <c r="I408" s="1" t="s">
        <v>25</v>
      </c>
      <c r="J408" s="1" t="s">
        <v>42</v>
      </c>
      <c r="K408" s="1">
        <v>0</v>
      </c>
      <c r="L408" s="1"/>
      <c r="M408" s="1" t="s">
        <v>244</v>
      </c>
      <c r="N408" s="1"/>
      <c r="O408" s="1" t="s">
        <v>245</v>
      </c>
      <c r="P408" s="2">
        <v>44165</v>
      </c>
      <c r="Q408" s="8" t="str">
        <f t="shared" si="6"/>
        <v>NOT SUPPORTED WITHIN 2DAYS</v>
      </c>
      <c r="R408" s="8" t="s">
        <v>1273</v>
      </c>
      <c r="S408" s="1">
        <v>0</v>
      </c>
      <c r="T408" s="1" t="s">
        <v>246</v>
      </c>
      <c r="U408" s="1" t="str">
        <f>VLOOKUP(T408,personnel!A$1:B$4,2,FALSE)</f>
        <v>Macarling, Federico Jr Romano</v>
      </c>
      <c r="V408" s="3">
        <v>44162.619004629632</v>
      </c>
    </row>
    <row r="409" spans="1:22" x14ac:dyDescent="0.25">
      <c r="A409" s="1" t="s">
        <v>1184</v>
      </c>
      <c r="B409" s="1" t="s">
        <v>19</v>
      </c>
      <c r="C409" s="1" t="s">
        <v>20</v>
      </c>
      <c r="D409" s="1" t="s">
        <v>1185</v>
      </c>
      <c r="E409" s="2">
        <v>44162</v>
      </c>
      <c r="F409" s="1" t="s">
        <v>1186</v>
      </c>
      <c r="G409" s="1" t="s">
        <v>1139</v>
      </c>
      <c r="H409" s="1" t="s">
        <v>244</v>
      </c>
      <c r="I409" s="1" t="s">
        <v>25</v>
      </c>
      <c r="J409" s="1" t="s">
        <v>42</v>
      </c>
      <c r="K409" s="1">
        <v>0</v>
      </c>
      <c r="L409" s="1"/>
      <c r="M409" s="1" t="s">
        <v>244</v>
      </c>
      <c r="N409" s="1"/>
      <c r="O409" s="1" t="s">
        <v>245</v>
      </c>
      <c r="P409" s="2">
        <v>44165</v>
      </c>
      <c r="Q409" s="8" t="str">
        <f t="shared" si="6"/>
        <v>NOT SUPPORTED WITHIN 2DAYS</v>
      </c>
      <c r="R409" s="8" t="s">
        <v>1273</v>
      </c>
      <c r="S409" s="1">
        <v>0</v>
      </c>
      <c r="T409" s="1" t="s">
        <v>246</v>
      </c>
      <c r="U409" s="1" t="str">
        <f>VLOOKUP(T409,personnel!A$1:B$4,2,FALSE)</f>
        <v>Macarling, Federico Jr Romano</v>
      </c>
      <c r="V409" s="3">
        <v>44162.638124999998</v>
      </c>
    </row>
    <row r="410" spans="1:22" x14ac:dyDescent="0.25">
      <c r="A410" s="1" t="s">
        <v>212</v>
      </c>
      <c r="B410" s="1" t="s">
        <v>19</v>
      </c>
      <c r="C410" s="1" t="s">
        <v>20</v>
      </c>
      <c r="D410" s="1" t="s">
        <v>1187</v>
      </c>
      <c r="E410" s="2">
        <v>44162</v>
      </c>
      <c r="F410" s="1" t="s">
        <v>214</v>
      </c>
      <c r="G410" s="1" t="s">
        <v>1139</v>
      </c>
      <c r="H410" s="1" t="s">
        <v>244</v>
      </c>
      <c r="I410" s="1" t="s">
        <v>25</v>
      </c>
      <c r="J410" s="1" t="s">
        <v>42</v>
      </c>
      <c r="K410" s="1">
        <v>0</v>
      </c>
      <c r="L410" s="1"/>
      <c r="M410" s="1" t="s">
        <v>244</v>
      </c>
      <c r="N410" s="1"/>
      <c r="O410" s="1" t="s">
        <v>245</v>
      </c>
      <c r="P410" s="2">
        <v>44165</v>
      </c>
      <c r="Q410" s="8" t="str">
        <f t="shared" si="6"/>
        <v>NOT SUPPORTED WITHIN 2DAYS</v>
      </c>
      <c r="R410" s="8" t="s">
        <v>1273</v>
      </c>
      <c r="S410" s="1">
        <v>0</v>
      </c>
      <c r="T410" s="1" t="s">
        <v>246</v>
      </c>
      <c r="U410" s="1" t="str">
        <f>VLOOKUP(T410,personnel!A$1:B$4,2,FALSE)</f>
        <v>Macarling, Federico Jr Romano</v>
      </c>
      <c r="V410" s="3">
        <v>44162.638344907406</v>
      </c>
    </row>
    <row r="411" spans="1:22" x14ac:dyDescent="0.25">
      <c r="A411" s="1" t="s">
        <v>172</v>
      </c>
      <c r="B411" s="1" t="s">
        <v>19</v>
      </c>
      <c r="C411" s="1" t="s">
        <v>20</v>
      </c>
      <c r="D411" s="1" t="s">
        <v>1188</v>
      </c>
      <c r="E411" s="2">
        <v>44162</v>
      </c>
      <c r="F411" s="1" t="s">
        <v>174</v>
      </c>
      <c r="G411" s="1" t="s">
        <v>1139</v>
      </c>
      <c r="H411" s="1" t="s">
        <v>244</v>
      </c>
      <c r="I411" s="1" t="s">
        <v>25</v>
      </c>
      <c r="J411" s="1" t="s">
        <v>42</v>
      </c>
      <c r="K411" s="1">
        <v>0</v>
      </c>
      <c r="L411" s="1"/>
      <c r="M411" s="1" t="s">
        <v>244</v>
      </c>
      <c r="N411" s="1"/>
      <c r="O411" s="1" t="s">
        <v>245</v>
      </c>
      <c r="P411" s="2">
        <v>44165</v>
      </c>
      <c r="Q411" s="8" t="str">
        <f t="shared" si="6"/>
        <v>NOT SUPPORTED WITHIN 2DAYS</v>
      </c>
      <c r="R411" s="8" t="s">
        <v>1273</v>
      </c>
      <c r="S411" s="1">
        <v>0</v>
      </c>
      <c r="T411" s="1" t="s">
        <v>246</v>
      </c>
      <c r="U411" s="1" t="str">
        <f>VLOOKUP(T411,personnel!A$1:B$4,2,FALSE)</f>
        <v>Macarling, Federico Jr Romano</v>
      </c>
      <c r="V411" s="3">
        <v>44162.638483796298</v>
      </c>
    </row>
    <row r="412" spans="1:22" x14ac:dyDescent="0.25">
      <c r="A412" s="1" t="s">
        <v>378</v>
      </c>
      <c r="B412" s="1" t="s">
        <v>19</v>
      </c>
      <c r="C412" s="1" t="s">
        <v>20</v>
      </c>
      <c r="D412" s="1" t="s">
        <v>1189</v>
      </c>
      <c r="E412" s="2">
        <v>44162</v>
      </c>
      <c r="F412" s="1" t="s">
        <v>380</v>
      </c>
      <c r="G412" s="1" t="s">
        <v>1139</v>
      </c>
      <c r="H412" s="1" t="s">
        <v>244</v>
      </c>
      <c r="I412" s="1" t="s">
        <v>25</v>
      </c>
      <c r="J412" s="1" t="s">
        <v>42</v>
      </c>
      <c r="K412" s="1">
        <v>0</v>
      </c>
      <c r="L412" s="1"/>
      <c r="M412" s="1" t="s">
        <v>244</v>
      </c>
      <c r="N412" s="1"/>
      <c r="O412" s="1" t="s">
        <v>245</v>
      </c>
      <c r="P412" s="2">
        <v>44165</v>
      </c>
      <c r="Q412" s="8" t="str">
        <f t="shared" si="6"/>
        <v>NOT SUPPORTED WITHIN 2DAYS</v>
      </c>
      <c r="R412" s="8" t="s">
        <v>1273</v>
      </c>
      <c r="S412" s="1">
        <v>0</v>
      </c>
      <c r="T412" s="1" t="s">
        <v>246</v>
      </c>
      <c r="U412" s="1" t="str">
        <f>VLOOKUP(T412,personnel!A$1:B$4,2,FALSE)</f>
        <v>Macarling, Federico Jr Romano</v>
      </c>
      <c r="V412" s="3">
        <v>44162.638645833336</v>
      </c>
    </row>
    <row r="413" spans="1:22" x14ac:dyDescent="0.25">
      <c r="A413" s="1" t="s">
        <v>1190</v>
      </c>
      <c r="B413" s="1" t="s">
        <v>19</v>
      </c>
      <c r="C413" s="1" t="s">
        <v>20</v>
      </c>
      <c r="D413" s="1" t="s">
        <v>1191</v>
      </c>
      <c r="E413" s="2">
        <v>44162</v>
      </c>
      <c r="F413" s="1" t="s">
        <v>1192</v>
      </c>
      <c r="G413" s="1" t="s">
        <v>1139</v>
      </c>
      <c r="H413" s="1" t="s">
        <v>244</v>
      </c>
      <c r="I413" s="1" t="s">
        <v>25</v>
      </c>
      <c r="J413" s="1" t="s">
        <v>42</v>
      </c>
      <c r="K413" s="1">
        <v>0</v>
      </c>
      <c r="L413" s="1"/>
      <c r="M413" s="1" t="s">
        <v>244</v>
      </c>
      <c r="N413" s="1"/>
      <c r="O413" s="1" t="s">
        <v>245</v>
      </c>
      <c r="P413" s="2">
        <v>44165</v>
      </c>
      <c r="Q413" s="8" t="str">
        <f t="shared" si="6"/>
        <v>NOT SUPPORTED WITHIN 2DAYS</v>
      </c>
      <c r="R413" s="8" t="s">
        <v>1273</v>
      </c>
      <c r="S413" s="1">
        <v>0</v>
      </c>
      <c r="T413" s="1" t="s">
        <v>246</v>
      </c>
      <c r="U413" s="1" t="str">
        <f>VLOOKUP(T413,personnel!A$1:B$4,2,FALSE)</f>
        <v>Macarling, Federico Jr Romano</v>
      </c>
      <c r="V413" s="3">
        <v>44162.638842592591</v>
      </c>
    </row>
    <row r="414" spans="1:22" x14ac:dyDescent="0.25">
      <c r="A414" s="1" t="s">
        <v>1193</v>
      </c>
      <c r="B414" s="1" t="s">
        <v>19</v>
      </c>
      <c r="C414" s="1" t="s">
        <v>20</v>
      </c>
      <c r="D414" s="1" t="s">
        <v>1194</v>
      </c>
      <c r="E414" s="2">
        <v>44162</v>
      </c>
      <c r="F414" s="1" t="s">
        <v>1195</v>
      </c>
      <c r="G414" s="1" t="s">
        <v>1139</v>
      </c>
      <c r="H414" s="1" t="s">
        <v>244</v>
      </c>
      <c r="I414" s="1" t="s">
        <v>25</v>
      </c>
      <c r="J414" s="1" t="s">
        <v>42</v>
      </c>
      <c r="K414" s="1">
        <v>0</v>
      </c>
      <c r="L414" s="1"/>
      <c r="M414" s="1" t="s">
        <v>244</v>
      </c>
      <c r="N414" s="1"/>
      <c r="O414" s="1" t="s">
        <v>245</v>
      </c>
      <c r="P414" s="2">
        <v>44165</v>
      </c>
      <c r="Q414" s="8" t="str">
        <f t="shared" si="6"/>
        <v>NOT SUPPORTED WITHIN 2DAYS</v>
      </c>
      <c r="R414" s="8" t="s">
        <v>1273</v>
      </c>
      <c r="S414" s="1">
        <v>0</v>
      </c>
      <c r="T414" s="1" t="s">
        <v>246</v>
      </c>
      <c r="U414" s="1" t="str">
        <f>VLOOKUP(T414,personnel!A$1:B$4,2,FALSE)</f>
        <v>Macarling, Federico Jr Romano</v>
      </c>
      <c r="V414" s="3">
        <v>44162.679293981484</v>
      </c>
    </row>
    <row r="415" spans="1:22" x14ac:dyDescent="0.25">
      <c r="A415" s="1" t="s">
        <v>1196</v>
      </c>
      <c r="B415" s="1" t="s">
        <v>19</v>
      </c>
      <c r="C415" s="1" t="s">
        <v>20</v>
      </c>
      <c r="D415" s="1" t="s">
        <v>1197</v>
      </c>
      <c r="E415" s="2">
        <v>44162</v>
      </c>
      <c r="F415" s="1" t="s">
        <v>1198</v>
      </c>
      <c r="G415" s="1" t="s">
        <v>1139</v>
      </c>
      <c r="H415" s="1" t="s">
        <v>244</v>
      </c>
      <c r="I415" s="1" t="s">
        <v>25</v>
      </c>
      <c r="J415" s="1" t="s">
        <v>42</v>
      </c>
      <c r="K415" s="1">
        <v>0</v>
      </c>
      <c r="L415" s="1"/>
      <c r="M415" s="1" t="s">
        <v>244</v>
      </c>
      <c r="N415" s="1"/>
      <c r="O415" s="1" t="s">
        <v>245</v>
      </c>
      <c r="P415" s="2">
        <v>44165</v>
      </c>
      <c r="Q415" s="8" t="str">
        <f t="shared" si="6"/>
        <v>NOT SUPPORTED WITHIN 2DAYS</v>
      </c>
      <c r="R415" s="8" t="s">
        <v>1273</v>
      </c>
      <c r="S415" s="1">
        <v>0</v>
      </c>
      <c r="T415" s="1" t="s">
        <v>246</v>
      </c>
      <c r="U415" s="1" t="str">
        <f>VLOOKUP(T415,personnel!A$1:B$4,2,FALSE)</f>
        <v>Macarling, Federico Jr Romano</v>
      </c>
      <c r="V415" s="3">
        <v>44162.679629629631</v>
      </c>
    </row>
    <row r="416" spans="1:22" x14ac:dyDescent="0.25">
      <c r="A416" s="1" t="s">
        <v>358</v>
      </c>
      <c r="B416" s="1" t="s">
        <v>19</v>
      </c>
      <c r="C416" s="1" t="s">
        <v>20</v>
      </c>
      <c r="D416" s="1" t="s">
        <v>1199</v>
      </c>
      <c r="E416" s="2">
        <v>44162</v>
      </c>
      <c r="F416" s="1" t="s">
        <v>360</v>
      </c>
      <c r="G416" s="1" t="s">
        <v>1139</v>
      </c>
      <c r="H416" s="1" t="s">
        <v>244</v>
      </c>
      <c r="I416" s="1" t="s">
        <v>36</v>
      </c>
      <c r="J416" s="1" t="s">
        <v>171</v>
      </c>
      <c r="K416" s="1">
        <v>0</v>
      </c>
      <c r="L416" s="1"/>
      <c r="M416" s="1" t="s">
        <v>244</v>
      </c>
      <c r="N416" s="1"/>
      <c r="O416" s="1" t="s">
        <v>245</v>
      </c>
      <c r="P416" s="2">
        <v>44165</v>
      </c>
      <c r="Q416" s="8" t="str">
        <f t="shared" si="6"/>
        <v>NOT SUPPORTED WITHIN 2DAYS</v>
      </c>
      <c r="R416" s="8" t="s">
        <v>1273</v>
      </c>
      <c r="S416" s="1">
        <v>0</v>
      </c>
      <c r="T416" s="1" t="s">
        <v>246</v>
      </c>
      <c r="U416" s="1" t="str">
        <f>VLOOKUP(T416,personnel!A$1:B$4,2,FALSE)</f>
        <v>Macarling, Federico Jr Romano</v>
      </c>
      <c r="V416" s="3">
        <v>44162.679976851854</v>
      </c>
    </row>
    <row r="417" spans="1:22" x14ac:dyDescent="0.25">
      <c r="A417" s="1" t="s">
        <v>1200</v>
      </c>
      <c r="B417" s="1" t="s">
        <v>19</v>
      </c>
      <c r="C417" s="1" t="s">
        <v>20</v>
      </c>
      <c r="D417" s="1" t="s">
        <v>1201</v>
      </c>
      <c r="E417" s="2">
        <v>44162</v>
      </c>
      <c r="F417" s="1" t="s">
        <v>1202</v>
      </c>
      <c r="G417" s="1" t="s">
        <v>1139</v>
      </c>
      <c r="H417" s="1" t="s">
        <v>244</v>
      </c>
      <c r="I417" s="1" t="s">
        <v>36</v>
      </c>
      <c r="J417" s="1" t="s">
        <v>171</v>
      </c>
      <c r="K417" s="1">
        <v>0</v>
      </c>
      <c r="L417" s="1"/>
      <c r="M417" s="1" t="s">
        <v>244</v>
      </c>
      <c r="N417" s="1"/>
      <c r="O417" s="1" t="s">
        <v>245</v>
      </c>
      <c r="P417" s="2">
        <v>44165</v>
      </c>
      <c r="Q417" s="8" t="str">
        <f t="shared" si="6"/>
        <v>NOT SUPPORTED WITHIN 2DAYS</v>
      </c>
      <c r="R417" s="8" t="s">
        <v>1273</v>
      </c>
      <c r="S417" s="1">
        <v>0</v>
      </c>
      <c r="T417" s="1" t="s">
        <v>246</v>
      </c>
      <c r="U417" s="1" t="str">
        <f>VLOOKUP(T417,personnel!A$1:B$4,2,FALSE)</f>
        <v>Macarling, Federico Jr Romano</v>
      </c>
      <c r="V417" s="3">
        <v>44162.681238425925</v>
      </c>
    </row>
    <row r="418" spans="1:22" x14ac:dyDescent="0.25">
      <c r="A418" s="1" t="s">
        <v>1203</v>
      </c>
      <c r="B418" s="1" t="s">
        <v>19</v>
      </c>
      <c r="C418" s="1" t="s">
        <v>20</v>
      </c>
      <c r="D418" s="1" t="s">
        <v>1204</v>
      </c>
      <c r="E418" s="2">
        <v>44162</v>
      </c>
      <c r="F418" s="1" t="s">
        <v>1205</v>
      </c>
      <c r="G418" s="1" t="s">
        <v>1139</v>
      </c>
      <c r="H418" s="1" t="s">
        <v>244</v>
      </c>
      <c r="I418" s="1" t="s">
        <v>36</v>
      </c>
      <c r="J418" s="1" t="s">
        <v>171</v>
      </c>
      <c r="K418" s="1">
        <v>0</v>
      </c>
      <c r="L418" s="1"/>
      <c r="M418" s="1" t="s">
        <v>244</v>
      </c>
      <c r="N418" s="1"/>
      <c r="O418" s="1" t="s">
        <v>245</v>
      </c>
      <c r="P418" s="2">
        <v>44165</v>
      </c>
      <c r="Q418" s="8" t="str">
        <f t="shared" si="6"/>
        <v>NOT SUPPORTED WITHIN 2DAYS</v>
      </c>
      <c r="R418" s="8" t="s">
        <v>1273</v>
      </c>
      <c r="S418" s="1">
        <v>0</v>
      </c>
      <c r="T418" s="1" t="s">
        <v>246</v>
      </c>
      <c r="U418" s="1" t="str">
        <f>VLOOKUP(T418,personnel!A$1:B$4,2,FALSE)</f>
        <v>Macarling, Federico Jr Romano</v>
      </c>
      <c r="V418" s="3">
        <v>44162.681388888886</v>
      </c>
    </row>
    <row r="419" spans="1:22" x14ac:dyDescent="0.25">
      <c r="A419" s="1" t="s">
        <v>993</v>
      </c>
      <c r="B419" s="1" t="s">
        <v>19</v>
      </c>
      <c r="C419" s="1" t="s">
        <v>20</v>
      </c>
      <c r="D419" s="1" t="s">
        <v>1206</v>
      </c>
      <c r="E419" s="2">
        <v>44162</v>
      </c>
      <c r="F419" s="1" t="s">
        <v>995</v>
      </c>
      <c r="G419" s="1" t="s">
        <v>1139</v>
      </c>
      <c r="H419" s="1" t="s">
        <v>244</v>
      </c>
      <c r="I419" s="1" t="s">
        <v>36</v>
      </c>
      <c r="J419" s="1" t="s">
        <v>171</v>
      </c>
      <c r="K419" s="1">
        <v>0</v>
      </c>
      <c r="L419" s="1"/>
      <c r="M419" s="1" t="s">
        <v>244</v>
      </c>
      <c r="N419" s="1"/>
      <c r="O419" s="1" t="s">
        <v>245</v>
      </c>
      <c r="P419" s="2">
        <v>44165</v>
      </c>
      <c r="Q419" s="8" t="str">
        <f t="shared" si="6"/>
        <v>NOT SUPPORTED WITHIN 2DAYS</v>
      </c>
      <c r="R419" s="8" t="s">
        <v>1273</v>
      </c>
      <c r="S419" s="1">
        <v>0</v>
      </c>
      <c r="T419" s="1" t="s">
        <v>246</v>
      </c>
      <c r="U419" s="1" t="str">
        <f>VLOOKUP(T419,personnel!A$1:B$4,2,FALSE)</f>
        <v>Macarling, Federico Jr Romano</v>
      </c>
      <c r="V419" s="3">
        <v>44162.681574074071</v>
      </c>
    </row>
    <row r="420" spans="1:22" x14ac:dyDescent="0.25">
      <c r="A420" s="1" t="s">
        <v>283</v>
      </c>
      <c r="B420" s="1" t="s">
        <v>19</v>
      </c>
      <c r="C420" s="1" t="s">
        <v>20</v>
      </c>
      <c r="D420" s="1" t="s">
        <v>1207</v>
      </c>
      <c r="E420" s="2">
        <v>44162</v>
      </c>
      <c r="F420" s="1" t="s">
        <v>285</v>
      </c>
      <c r="G420" s="1" t="s">
        <v>1139</v>
      </c>
      <c r="H420" s="1" t="s">
        <v>244</v>
      </c>
      <c r="I420" s="1" t="s">
        <v>36</v>
      </c>
      <c r="J420" s="1" t="s">
        <v>171</v>
      </c>
      <c r="K420" s="1">
        <v>0</v>
      </c>
      <c r="L420" s="1"/>
      <c r="M420" s="1" t="s">
        <v>244</v>
      </c>
      <c r="N420" s="1"/>
      <c r="O420" s="1" t="s">
        <v>245</v>
      </c>
      <c r="P420" s="2">
        <v>44165</v>
      </c>
      <c r="Q420" s="8" t="str">
        <f t="shared" si="6"/>
        <v>NOT SUPPORTED WITHIN 2DAYS</v>
      </c>
      <c r="R420" s="8" t="s">
        <v>1273</v>
      </c>
      <c r="S420" s="1">
        <v>0</v>
      </c>
      <c r="T420" s="1" t="s">
        <v>246</v>
      </c>
      <c r="U420" s="1" t="str">
        <f>VLOOKUP(T420,personnel!A$1:B$4,2,FALSE)</f>
        <v>Macarling, Federico Jr Romano</v>
      </c>
      <c r="V420" s="3">
        <v>44162.681805555556</v>
      </c>
    </row>
    <row r="421" spans="1:22" x14ac:dyDescent="0.25">
      <c r="A421" s="1" t="s">
        <v>18</v>
      </c>
      <c r="B421" s="1" t="s">
        <v>19</v>
      </c>
      <c r="C421" s="1" t="s">
        <v>20</v>
      </c>
      <c r="D421" s="1" t="s">
        <v>1208</v>
      </c>
      <c r="E421" s="2">
        <v>44163</v>
      </c>
      <c r="F421" s="1" t="s">
        <v>22</v>
      </c>
      <c r="G421" s="1" t="s">
        <v>1209</v>
      </c>
      <c r="H421" s="1" t="s">
        <v>244</v>
      </c>
      <c r="I421" s="1" t="s">
        <v>41</v>
      </c>
      <c r="J421" s="1" t="s">
        <v>287</v>
      </c>
      <c r="K421" s="1">
        <v>0</v>
      </c>
      <c r="L421" s="1"/>
      <c r="M421" s="1" t="s">
        <v>244</v>
      </c>
      <c r="N421" s="1" t="s">
        <v>1210</v>
      </c>
      <c r="O421" s="1" t="s">
        <v>543</v>
      </c>
      <c r="P421" s="2">
        <v>44163</v>
      </c>
      <c r="Q421" s="8" t="str">
        <f t="shared" si="6"/>
        <v>SUPPORTED WITHIN 2DAYS</v>
      </c>
      <c r="R421" s="8" t="s">
        <v>1272</v>
      </c>
      <c r="S421" s="1">
        <v>0</v>
      </c>
      <c r="T421" s="1" t="s">
        <v>246</v>
      </c>
      <c r="U421" s="1" t="str">
        <f>VLOOKUP(T421,personnel!A$1:B$4,2,FALSE)</f>
        <v>Macarling, Federico Jr Romano</v>
      </c>
      <c r="V421" s="3">
        <v>44163.377164351848</v>
      </c>
    </row>
    <row r="422" spans="1:22" x14ac:dyDescent="0.25">
      <c r="A422" s="1" t="s">
        <v>18</v>
      </c>
      <c r="B422" s="1" t="s">
        <v>19</v>
      </c>
      <c r="C422" s="1" t="s">
        <v>20</v>
      </c>
      <c r="D422" s="1" t="s">
        <v>1211</v>
      </c>
      <c r="E422" s="2">
        <v>44163</v>
      </c>
      <c r="F422" s="1" t="s">
        <v>22</v>
      </c>
      <c r="G422" s="1" t="s">
        <v>1212</v>
      </c>
      <c r="H422" s="1" t="s">
        <v>1213</v>
      </c>
      <c r="I422" s="1" t="s">
        <v>41</v>
      </c>
      <c r="J422" s="1" t="s">
        <v>652</v>
      </c>
      <c r="K422" s="1">
        <v>0</v>
      </c>
      <c r="L422" s="1"/>
      <c r="M422" s="1" t="s">
        <v>542</v>
      </c>
      <c r="N422" s="1"/>
      <c r="O422" s="1" t="s">
        <v>543</v>
      </c>
      <c r="P422" s="2">
        <v>44163</v>
      </c>
      <c r="Q422" s="8" t="str">
        <f t="shared" si="6"/>
        <v>SUPPORTED WITHIN 2DAYS</v>
      </c>
      <c r="R422" s="8" t="s">
        <v>1272</v>
      </c>
      <c r="S422" s="1">
        <v>0</v>
      </c>
      <c r="T422" s="1" t="s">
        <v>544</v>
      </c>
      <c r="U422" s="1" t="str">
        <f>VLOOKUP(T422,personnel!A$1:B$4,2,FALSE)</f>
        <v>Velasquez, Jayson Alon</v>
      </c>
      <c r="V422" s="3">
        <v>44163.379259259258</v>
      </c>
    </row>
    <row r="423" spans="1:22" x14ac:dyDescent="0.25">
      <c r="A423" s="1" t="s">
        <v>1214</v>
      </c>
      <c r="B423" s="1" t="s">
        <v>19</v>
      </c>
      <c r="C423" s="1" t="s">
        <v>166</v>
      </c>
      <c r="D423" s="1" t="s">
        <v>1215</v>
      </c>
      <c r="E423" s="2">
        <v>44163</v>
      </c>
      <c r="F423" s="1" t="s">
        <v>1216</v>
      </c>
      <c r="G423" s="1" t="s">
        <v>1217</v>
      </c>
      <c r="H423" s="1"/>
      <c r="I423" s="1" t="s">
        <v>41</v>
      </c>
      <c r="J423" s="1" t="s">
        <v>287</v>
      </c>
      <c r="K423" s="1">
        <v>0</v>
      </c>
      <c r="L423" s="1"/>
      <c r="M423" s="1"/>
      <c r="N423" s="1" t="s">
        <v>1218</v>
      </c>
      <c r="O423" s="1"/>
      <c r="P423" s="2">
        <v>44163</v>
      </c>
      <c r="Q423" s="8" t="str">
        <f t="shared" si="6"/>
        <v>SUPPORTED WITHIN 2DAYS</v>
      </c>
      <c r="R423" s="8" t="s">
        <v>1272</v>
      </c>
      <c r="S423" s="1">
        <v>0</v>
      </c>
      <c r="T423" s="1" t="s">
        <v>246</v>
      </c>
      <c r="U423" s="1" t="str">
        <f>VLOOKUP(T423,personnel!A$1:B$4,2,FALSE)</f>
        <v>Macarling, Federico Jr Romano</v>
      </c>
      <c r="V423" s="3">
        <v>44163.485520833332</v>
      </c>
    </row>
    <row r="424" spans="1:22" x14ac:dyDescent="0.25">
      <c r="A424" s="1" t="s">
        <v>18</v>
      </c>
      <c r="B424" s="1" t="s">
        <v>19</v>
      </c>
      <c r="C424" s="1" t="s">
        <v>20</v>
      </c>
      <c r="D424" s="1" t="s">
        <v>1219</v>
      </c>
      <c r="E424" s="2">
        <v>44163</v>
      </c>
      <c r="F424" s="1" t="s">
        <v>22</v>
      </c>
      <c r="G424" s="1" t="s">
        <v>1220</v>
      </c>
      <c r="H424" s="1" t="s">
        <v>1221</v>
      </c>
      <c r="I424" s="1" t="s">
        <v>41</v>
      </c>
      <c r="J424" s="1" t="s">
        <v>652</v>
      </c>
      <c r="K424" s="1">
        <v>0</v>
      </c>
      <c r="L424" s="1"/>
      <c r="M424" s="1" t="s">
        <v>542</v>
      </c>
      <c r="N424" s="1"/>
      <c r="O424" s="1" t="s">
        <v>543</v>
      </c>
      <c r="P424" s="2">
        <v>44163</v>
      </c>
      <c r="Q424" s="8" t="str">
        <f t="shared" si="6"/>
        <v>SUPPORTED WITHIN 2DAYS</v>
      </c>
      <c r="R424" s="8" t="s">
        <v>1272</v>
      </c>
      <c r="S424" s="1">
        <v>0</v>
      </c>
      <c r="T424" s="1" t="s">
        <v>544</v>
      </c>
      <c r="U424" s="1" t="str">
        <f>VLOOKUP(T424,personnel!A$1:B$4,2,FALSE)</f>
        <v>Velasquez, Jayson Alon</v>
      </c>
      <c r="V424" s="3">
        <v>44163.606539351851</v>
      </c>
    </row>
    <row r="425" spans="1:22" x14ac:dyDescent="0.25">
      <c r="A425" s="1" t="s">
        <v>18</v>
      </c>
      <c r="B425" s="1" t="s">
        <v>19</v>
      </c>
      <c r="C425" s="1" t="s">
        <v>166</v>
      </c>
      <c r="D425" s="1" t="s">
        <v>1222</v>
      </c>
      <c r="E425" s="2">
        <v>44163</v>
      </c>
      <c r="F425" s="1" t="s">
        <v>22</v>
      </c>
      <c r="G425" s="1" t="s">
        <v>1223</v>
      </c>
      <c r="H425" s="1"/>
      <c r="I425" s="1" t="s">
        <v>36</v>
      </c>
      <c r="J425" s="1" t="s">
        <v>552</v>
      </c>
      <c r="K425" s="1">
        <v>0</v>
      </c>
      <c r="L425" s="1"/>
      <c r="M425" s="1"/>
      <c r="N425" s="1"/>
      <c r="O425" s="1"/>
      <c r="P425" s="2">
        <v>44163</v>
      </c>
      <c r="Q425" s="8" t="str">
        <f t="shared" si="6"/>
        <v>SUPPORTED WITHIN 2DAYS</v>
      </c>
      <c r="R425" s="8" t="s">
        <v>1272</v>
      </c>
      <c r="S425" s="1">
        <v>0</v>
      </c>
      <c r="T425" s="1" t="s">
        <v>544</v>
      </c>
      <c r="U425" s="1" t="str">
        <f>VLOOKUP(T425,personnel!A$1:B$4,2,FALSE)</f>
        <v>Velasquez, Jayson Alon</v>
      </c>
      <c r="V425" s="3">
        <v>44163.607361111113</v>
      </c>
    </row>
    <row r="426" spans="1:22" x14ac:dyDescent="0.25">
      <c r="A426" s="1" t="s">
        <v>18</v>
      </c>
      <c r="B426" s="1" t="s">
        <v>19</v>
      </c>
      <c r="C426" s="1" t="s">
        <v>20</v>
      </c>
      <c r="D426" s="1" t="s">
        <v>1224</v>
      </c>
      <c r="E426" s="2">
        <v>44163</v>
      </c>
      <c r="F426" s="1" t="s">
        <v>22</v>
      </c>
      <c r="G426" s="1" t="s">
        <v>1225</v>
      </c>
      <c r="H426" s="1" t="s">
        <v>629</v>
      </c>
      <c r="I426" s="1" t="s">
        <v>41</v>
      </c>
      <c r="J426" s="1" t="s">
        <v>552</v>
      </c>
      <c r="K426" s="1">
        <v>0</v>
      </c>
      <c r="L426" s="1"/>
      <c r="M426" s="1" t="s">
        <v>542</v>
      </c>
      <c r="N426" s="1"/>
      <c r="O426" s="1" t="s">
        <v>543</v>
      </c>
      <c r="P426" s="2">
        <v>44163</v>
      </c>
      <c r="Q426" s="8" t="str">
        <f t="shared" si="6"/>
        <v>SUPPORTED WITHIN 2DAYS</v>
      </c>
      <c r="R426" s="8" t="s">
        <v>1272</v>
      </c>
      <c r="S426" s="1">
        <v>0</v>
      </c>
      <c r="T426" s="1" t="s">
        <v>544</v>
      </c>
      <c r="U426" s="1" t="str">
        <f>VLOOKUP(T426,personnel!A$1:B$4,2,FALSE)</f>
        <v>Velasquez, Jayson Alon</v>
      </c>
      <c r="V426" s="3">
        <v>44163.608043981483</v>
      </c>
    </row>
    <row r="427" spans="1:22" x14ac:dyDescent="0.25">
      <c r="A427" s="1" t="s">
        <v>18</v>
      </c>
      <c r="B427" s="1" t="s">
        <v>19</v>
      </c>
      <c r="C427" s="1" t="s">
        <v>20</v>
      </c>
      <c r="D427" s="1" t="s">
        <v>1226</v>
      </c>
      <c r="E427" s="2">
        <v>44163</v>
      </c>
      <c r="F427" s="1" t="s">
        <v>22</v>
      </c>
      <c r="G427" s="1" t="s">
        <v>1227</v>
      </c>
      <c r="H427" s="1" t="s">
        <v>629</v>
      </c>
      <c r="I427" s="1" t="s">
        <v>36</v>
      </c>
      <c r="J427" s="1" t="s">
        <v>552</v>
      </c>
      <c r="K427" s="1">
        <v>0</v>
      </c>
      <c r="L427" s="1"/>
      <c r="M427" s="1" t="s">
        <v>542</v>
      </c>
      <c r="N427" s="1"/>
      <c r="O427" s="1" t="s">
        <v>543</v>
      </c>
      <c r="P427" s="2">
        <v>44163</v>
      </c>
      <c r="Q427" s="8" t="str">
        <f t="shared" si="6"/>
        <v>SUPPORTED WITHIN 2DAYS</v>
      </c>
      <c r="R427" s="8" t="s">
        <v>1272</v>
      </c>
      <c r="S427" s="1">
        <v>0</v>
      </c>
      <c r="T427" s="1" t="s">
        <v>544</v>
      </c>
      <c r="U427" s="1" t="str">
        <f>VLOOKUP(T427,personnel!A$1:B$4,2,FALSE)</f>
        <v>Velasquez, Jayson Alon</v>
      </c>
      <c r="V427" s="3">
        <v>44163.608402777776</v>
      </c>
    </row>
    <row r="428" spans="1:22" x14ac:dyDescent="0.25">
      <c r="A428" s="1" t="s">
        <v>18</v>
      </c>
      <c r="B428" s="1" t="s">
        <v>19</v>
      </c>
      <c r="C428" s="1" t="s">
        <v>20</v>
      </c>
      <c r="D428" s="1" t="s">
        <v>1228</v>
      </c>
      <c r="E428" s="2">
        <v>44163</v>
      </c>
      <c r="F428" s="1" t="s">
        <v>22</v>
      </c>
      <c r="G428" s="1" t="s">
        <v>1229</v>
      </c>
      <c r="H428" s="1" t="s">
        <v>1230</v>
      </c>
      <c r="I428" s="1" t="s">
        <v>36</v>
      </c>
      <c r="J428" s="1" t="s">
        <v>171</v>
      </c>
      <c r="K428" s="1">
        <v>0</v>
      </c>
      <c r="L428" s="1"/>
      <c r="M428" s="1" t="s">
        <v>542</v>
      </c>
      <c r="N428" s="1"/>
      <c r="O428" s="1" t="s">
        <v>543</v>
      </c>
      <c r="P428" s="2">
        <v>44163</v>
      </c>
      <c r="Q428" s="8" t="str">
        <f t="shared" si="6"/>
        <v>SUPPORTED WITHIN 2DAYS</v>
      </c>
      <c r="R428" s="8" t="s">
        <v>1272</v>
      </c>
      <c r="S428" s="1">
        <v>0</v>
      </c>
      <c r="T428" s="1" t="s">
        <v>544</v>
      </c>
      <c r="U428" s="1" t="str">
        <f>VLOOKUP(T428,personnel!A$1:B$4,2,FALSE)</f>
        <v>Velasquez, Jayson Alon</v>
      </c>
      <c r="V428" s="3">
        <v>44163.613900462966</v>
      </c>
    </row>
    <row r="429" spans="1:22" x14ac:dyDescent="0.25">
      <c r="A429" s="1" t="s">
        <v>78</v>
      </c>
      <c r="B429" s="1" t="s">
        <v>19</v>
      </c>
      <c r="C429" s="1" t="s">
        <v>20</v>
      </c>
      <c r="D429" s="1" t="s">
        <v>1231</v>
      </c>
      <c r="E429" s="2">
        <v>44163</v>
      </c>
      <c r="F429" s="1" t="s">
        <v>80</v>
      </c>
      <c r="G429" s="1" t="s">
        <v>1232</v>
      </c>
      <c r="H429" s="1" t="s">
        <v>244</v>
      </c>
      <c r="I429" s="1" t="s">
        <v>25</v>
      </c>
      <c r="J429" s="1" t="s">
        <v>42</v>
      </c>
      <c r="K429" s="1">
        <v>0</v>
      </c>
      <c r="L429" s="1"/>
      <c r="M429" s="1" t="s">
        <v>244</v>
      </c>
      <c r="N429" s="1" t="s">
        <v>1218</v>
      </c>
      <c r="O429" s="1" t="s">
        <v>245</v>
      </c>
      <c r="P429" s="2">
        <v>44165</v>
      </c>
      <c r="Q429" s="8" t="str">
        <f t="shared" si="6"/>
        <v>SUPPORTED WITHIN 2DAYS</v>
      </c>
      <c r="R429" s="8" t="s">
        <v>1272</v>
      </c>
      <c r="S429" s="1">
        <v>0</v>
      </c>
      <c r="T429" s="1" t="s">
        <v>246</v>
      </c>
      <c r="U429" s="1" t="str">
        <f>VLOOKUP(T429,personnel!A$1:B$4,2,FALSE)</f>
        <v>Macarling, Federico Jr Romano</v>
      </c>
      <c r="V429" s="3">
        <v>44163.61822916667</v>
      </c>
    </row>
    <row r="430" spans="1:22" x14ac:dyDescent="0.25">
      <c r="A430" s="1" t="s">
        <v>18</v>
      </c>
      <c r="B430" s="1" t="s">
        <v>19</v>
      </c>
      <c r="C430" s="1" t="s">
        <v>20</v>
      </c>
      <c r="D430" s="1" t="s">
        <v>1233</v>
      </c>
      <c r="E430" s="2">
        <v>44163</v>
      </c>
      <c r="F430" s="1" t="s">
        <v>22</v>
      </c>
      <c r="G430" s="1" t="s">
        <v>1234</v>
      </c>
      <c r="H430" s="1" t="s">
        <v>244</v>
      </c>
      <c r="I430" s="1"/>
      <c r="J430" s="1"/>
      <c r="K430" s="1">
        <v>0</v>
      </c>
      <c r="L430" s="1"/>
      <c r="M430" s="1" t="s">
        <v>244</v>
      </c>
      <c r="N430" s="1" t="s">
        <v>1218</v>
      </c>
      <c r="O430" s="1" t="s">
        <v>245</v>
      </c>
      <c r="P430" s="2">
        <v>44165</v>
      </c>
      <c r="Q430" s="8" t="str">
        <f t="shared" si="6"/>
        <v>SUPPORTED WITHIN 2DAYS</v>
      </c>
      <c r="R430" s="8" t="s">
        <v>1272</v>
      </c>
      <c r="S430" s="1">
        <v>0</v>
      </c>
      <c r="T430" s="1" t="s">
        <v>246</v>
      </c>
      <c r="U430" s="1" t="str">
        <f>VLOOKUP(T430,personnel!A$1:B$4,2,FALSE)</f>
        <v>Macarling, Federico Jr Romano</v>
      </c>
      <c r="V430" s="3">
        <v>44163.618668981479</v>
      </c>
    </row>
    <row r="431" spans="1:22" x14ac:dyDescent="0.25">
      <c r="A431" s="1" t="s">
        <v>496</v>
      </c>
      <c r="B431" s="1" t="s">
        <v>19</v>
      </c>
      <c r="C431" s="1" t="s">
        <v>166</v>
      </c>
      <c r="D431" s="1" t="s">
        <v>1235</v>
      </c>
      <c r="E431" s="2">
        <v>44163</v>
      </c>
      <c r="F431" s="1" t="s">
        <v>498</v>
      </c>
      <c r="G431" s="1" t="s">
        <v>1236</v>
      </c>
      <c r="H431" s="1"/>
      <c r="I431" s="1" t="s">
        <v>25</v>
      </c>
      <c r="J431" s="1" t="s">
        <v>26</v>
      </c>
      <c r="K431" s="1">
        <v>0</v>
      </c>
      <c r="L431" s="1"/>
      <c r="M431" s="1"/>
      <c r="N431" s="1"/>
      <c r="O431" s="1"/>
      <c r="P431" s="2">
        <v>44163</v>
      </c>
      <c r="Q431" s="8" t="str">
        <f t="shared" si="6"/>
        <v>SUPPORTED WITHIN 2DAYS</v>
      </c>
      <c r="R431" s="8" t="s">
        <v>1272</v>
      </c>
      <c r="S431" s="1">
        <v>0</v>
      </c>
      <c r="T431" s="1" t="s">
        <v>544</v>
      </c>
      <c r="U431" s="1" t="str">
        <f>VLOOKUP(T431,personnel!A$1:B$4,2,FALSE)</f>
        <v>Velasquez, Jayson Alon</v>
      </c>
      <c r="V431" s="3">
        <v>44163.651377314818</v>
      </c>
    </row>
    <row r="432" spans="1:22" x14ac:dyDescent="0.25">
      <c r="A432" s="1" t="s">
        <v>400</v>
      </c>
      <c r="B432" s="1" t="s">
        <v>19</v>
      </c>
      <c r="C432" s="1" t="s">
        <v>20</v>
      </c>
      <c r="D432" s="1" t="s">
        <v>1237</v>
      </c>
      <c r="E432" s="2">
        <v>44165</v>
      </c>
      <c r="F432" s="1" t="s">
        <v>402</v>
      </c>
      <c r="G432" s="1" t="s">
        <v>1238</v>
      </c>
      <c r="H432" s="1" t="s">
        <v>244</v>
      </c>
      <c r="I432" s="1" t="s">
        <v>25</v>
      </c>
      <c r="J432" s="1" t="s">
        <v>42</v>
      </c>
      <c r="K432" s="1">
        <v>0</v>
      </c>
      <c r="L432" s="1"/>
      <c r="M432" s="1" t="s">
        <v>244</v>
      </c>
      <c r="N432" s="1" t="s">
        <v>185</v>
      </c>
      <c r="O432" s="1" t="s">
        <v>245</v>
      </c>
      <c r="P432" s="2">
        <v>44165</v>
      </c>
      <c r="Q432" s="8" t="str">
        <f t="shared" si="6"/>
        <v>SUPPORTED WITHIN 2DAYS</v>
      </c>
      <c r="R432" s="8" t="s">
        <v>1272</v>
      </c>
      <c r="S432" s="1">
        <v>0</v>
      </c>
      <c r="T432" s="1" t="s">
        <v>246</v>
      </c>
      <c r="U432" s="1" t="str">
        <f>VLOOKUP(T432,personnel!A$1:B$4,2,FALSE)</f>
        <v>Macarling, Federico Jr Romano</v>
      </c>
      <c r="V432" s="3">
        <v>44165.366203703707</v>
      </c>
    </row>
    <row r="433" spans="1:22" x14ac:dyDescent="0.25">
      <c r="A433" s="1" t="s">
        <v>37</v>
      </c>
      <c r="B433" s="1" t="s">
        <v>19</v>
      </c>
      <c r="C433" s="1" t="s">
        <v>166</v>
      </c>
      <c r="D433" s="1" t="s">
        <v>1239</v>
      </c>
      <c r="E433" s="2">
        <v>44165</v>
      </c>
      <c r="F433" s="1" t="s">
        <v>39</v>
      </c>
      <c r="G433" s="1" t="s">
        <v>1240</v>
      </c>
      <c r="H433" s="1"/>
      <c r="I433" s="1" t="s">
        <v>25</v>
      </c>
      <c r="J433" s="1" t="s">
        <v>42</v>
      </c>
      <c r="K433" s="1">
        <v>0</v>
      </c>
      <c r="L433" s="1"/>
      <c r="M433" s="1"/>
      <c r="N433" s="1" t="s">
        <v>1241</v>
      </c>
      <c r="O433" s="1"/>
      <c r="P433" s="2">
        <v>44165</v>
      </c>
      <c r="Q433" s="8" t="str">
        <f t="shared" si="6"/>
        <v>SUPPORTED WITHIN 2DAYS</v>
      </c>
      <c r="R433" s="8" t="s">
        <v>1272</v>
      </c>
      <c r="S433" s="1">
        <v>0</v>
      </c>
      <c r="T433" s="1" t="s">
        <v>246</v>
      </c>
      <c r="U433" s="1" t="str">
        <f>VLOOKUP(T433,personnel!A$1:B$4,2,FALSE)</f>
        <v>Macarling, Federico Jr Romano</v>
      </c>
      <c r="V433" s="3">
        <v>44165.375486111108</v>
      </c>
    </row>
    <row r="434" spans="1:22" x14ac:dyDescent="0.25">
      <c r="A434" s="1" t="s">
        <v>1242</v>
      </c>
      <c r="B434" s="1" t="s">
        <v>19</v>
      </c>
      <c r="C434" s="1" t="s">
        <v>166</v>
      </c>
      <c r="D434" s="1" t="s">
        <v>1243</v>
      </c>
      <c r="E434" s="2">
        <v>44165</v>
      </c>
      <c r="F434" s="1" t="s">
        <v>1244</v>
      </c>
      <c r="G434" s="1" t="s">
        <v>1245</v>
      </c>
      <c r="H434" s="1"/>
      <c r="I434" s="1" t="s">
        <v>41</v>
      </c>
      <c r="J434" s="1" t="s">
        <v>563</v>
      </c>
      <c r="K434" s="1">
        <v>0</v>
      </c>
      <c r="L434" s="1"/>
      <c r="M434" s="1"/>
      <c r="N434" s="1"/>
      <c r="O434" s="1"/>
      <c r="P434" s="2">
        <v>44165</v>
      </c>
      <c r="Q434" s="8" t="str">
        <f t="shared" si="6"/>
        <v>SUPPORTED WITHIN 2DAYS</v>
      </c>
      <c r="R434" s="8" t="s">
        <v>1272</v>
      </c>
      <c r="S434" s="1">
        <v>0</v>
      </c>
      <c r="T434" s="1" t="s">
        <v>246</v>
      </c>
      <c r="U434" s="1" t="str">
        <f>VLOOKUP(T434,personnel!A$1:B$4,2,FALSE)</f>
        <v>Macarling, Federico Jr Romano</v>
      </c>
      <c r="V434" s="3">
        <v>44165.40483796296</v>
      </c>
    </row>
    <row r="435" spans="1:22" x14ac:dyDescent="0.25">
      <c r="A435" s="1" t="s">
        <v>78</v>
      </c>
      <c r="B435" s="1" t="s">
        <v>19</v>
      </c>
      <c r="C435" s="1" t="s">
        <v>166</v>
      </c>
      <c r="D435" s="1" t="s">
        <v>1246</v>
      </c>
      <c r="E435" s="2">
        <v>44165</v>
      </c>
      <c r="F435" s="1" t="s">
        <v>80</v>
      </c>
      <c r="G435" s="1" t="s">
        <v>1247</v>
      </c>
      <c r="H435" s="1"/>
      <c r="I435" s="1" t="s">
        <v>25</v>
      </c>
      <c r="J435" s="1" t="s">
        <v>287</v>
      </c>
      <c r="K435" s="1">
        <v>0</v>
      </c>
      <c r="L435" s="1"/>
      <c r="M435" s="1"/>
      <c r="N435" s="1"/>
      <c r="O435" s="1"/>
      <c r="P435" s="2">
        <v>44165</v>
      </c>
      <c r="Q435" s="8" t="str">
        <f t="shared" si="6"/>
        <v>SUPPORTED WITHIN 2DAYS</v>
      </c>
      <c r="R435" s="8" t="s">
        <v>1272</v>
      </c>
      <c r="S435" s="1">
        <v>0</v>
      </c>
      <c r="T435" s="1" t="s">
        <v>246</v>
      </c>
      <c r="U435" s="1" t="str">
        <f>VLOOKUP(T435,personnel!A$1:B$4,2,FALSE)</f>
        <v>Macarling, Federico Jr Romano</v>
      </c>
      <c r="V435" s="3">
        <v>44165.411747685182</v>
      </c>
    </row>
    <row r="436" spans="1:22" x14ac:dyDescent="0.25">
      <c r="A436" s="1" t="s">
        <v>18</v>
      </c>
      <c r="B436" s="1" t="s">
        <v>19</v>
      </c>
      <c r="C436" s="1" t="s">
        <v>166</v>
      </c>
      <c r="D436" s="1" t="s">
        <v>1248</v>
      </c>
      <c r="E436" s="2">
        <v>44165</v>
      </c>
      <c r="F436" s="1" t="s">
        <v>22</v>
      </c>
      <c r="G436" s="1" t="s">
        <v>1249</v>
      </c>
      <c r="H436" s="1"/>
      <c r="I436" s="1" t="s">
        <v>25</v>
      </c>
      <c r="J436" s="1" t="s">
        <v>26</v>
      </c>
      <c r="K436" s="1">
        <v>0</v>
      </c>
      <c r="L436" s="1"/>
      <c r="M436" s="1"/>
      <c r="N436" s="1" t="s">
        <v>602</v>
      </c>
      <c r="O436" s="1"/>
      <c r="P436" s="2">
        <v>44165</v>
      </c>
      <c r="Q436" s="8" t="str">
        <f t="shared" si="6"/>
        <v>SUPPORTED WITHIN 2DAYS</v>
      </c>
      <c r="R436" s="8" t="s">
        <v>1272</v>
      </c>
      <c r="S436" s="1">
        <v>0</v>
      </c>
      <c r="T436" s="1" t="s">
        <v>246</v>
      </c>
      <c r="U436" s="1" t="str">
        <f>VLOOKUP(T436,personnel!A$1:B$4,2,FALSE)</f>
        <v>Macarling, Federico Jr Romano</v>
      </c>
      <c r="V436" s="3">
        <v>44165.4140162037</v>
      </c>
    </row>
    <row r="437" spans="1:22" x14ac:dyDescent="0.25">
      <c r="A437" s="1" t="s">
        <v>250</v>
      </c>
      <c r="B437" s="1" t="s">
        <v>19</v>
      </c>
      <c r="C437" s="1" t="s">
        <v>166</v>
      </c>
      <c r="D437" s="1" t="s">
        <v>1250</v>
      </c>
      <c r="E437" s="2">
        <v>44165</v>
      </c>
      <c r="F437" s="1" t="s">
        <v>252</v>
      </c>
      <c r="G437" s="1" t="s">
        <v>916</v>
      </c>
      <c r="H437" s="1"/>
      <c r="I437" s="1" t="s">
        <v>41</v>
      </c>
      <c r="J437" s="1" t="s">
        <v>42</v>
      </c>
      <c r="K437" s="1">
        <v>0</v>
      </c>
      <c r="L437" s="1"/>
      <c r="M437" s="1"/>
      <c r="N437" s="1" t="s">
        <v>602</v>
      </c>
      <c r="O437" s="1"/>
      <c r="P437" s="2">
        <v>44165</v>
      </c>
      <c r="Q437" s="8" t="str">
        <f t="shared" si="6"/>
        <v>SUPPORTED WITHIN 2DAYS</v>
      </c>
      <c r="R437" s="8" t="s">
        <v>1272</v>
      </c>
      <c r="S437" s="1">
        <v>0</v>
      </c>
      <c r="T437" s="1" t="s">
        <v>246</v>
      </c>
      <c r="U437" s="1" t="str">
        <f>VLOOKUP(T437,personnel!A$1:B$4,2,FALSE)</f>
        <v>Macarling, Federico Jr Romano</v>
      </c>
      <c r="V437" s="3">
        <v>44165.419664351852</v>
      </c>
    </row>
    <row r="438" spans="1:22" x14ac:dyDescent="0.25">
      <c r="A438" s="1" t="s">
        <v>1251</v>
      </c>
      <c r="B438" s="1" t="s">
        <v>19</v>
      </c>
      <c r="C438" s="1" t="s">
        <v>20</v>
      </c>
      <c r="D438" s="1" t="s">
        <v>1252</v>
      </c>
      <c r="E438" s="2">
        <v>44165</v>
      </c>
      <c r="F438" s="1" t="s">
        <v>1253</v>
      </c>
      <c r="G438" s="1" t="s">
        <v>1254</v>
      </c>
      <c r="H438" s="1" t="s">
        <v>244</v>
      </c>
      <c r="I438" s="1" t="s">
        <v>41</v>
      </c>
      <c r="J438" s="1" t="s">
        <v>287</v>
      </c>
      <c r="K438" s="1">
        <v>0</v>
      </c>
      <c r="L438" s="1"/>
      <c r="M438" s="1" t="s">
        <v>244</v>
      </c>
      <c r="N438" s="1"/>
      <c r="O438" s="1" t="s">
        <v>245</v>
      </c>
      <c r="P438" s="2">
        <v>44165</v>
      </c>
      <c r="Q438" s="8" t="str">
        <f t="shared" si="6"/>
        <v>SUPPORTED WITHIN 2DAYS</v>
      </c>
      <c r="R438" s="8" t="s">
        <v>1272</v>
      </c>
      <c r="S438" s="1">
        <v>0</v>
      </c>
      <c r="T438" s="1" t="s">
        <v>246</v>
      </c>
      <c r="U438" s="1" t="str">
        <f>VLOOKUP(T438,personnel!A$1:B$4,2,FALSE)</f>
        <v>Macarling, Federico Jr Romano</v>
      </c>
      <c r="V438" s="3">
        <v>44165.490752314814</v>
      </c>
    </row>
    <row r="439" spans="1:22" x14ac:dyDescent="0.25">
      <c r="A439" s="1" t="s">
        <v>1251</v>
      </c>
      <c r="B439" s="1" t="s">
        <v>19</v>
      </c>
      <c r="C439" s="1" t="s">
        <v>20</v>
      </c>
      <c r="D439" s="1" t="s">
        <v>1255</v>
      </c>
      <c r="E439" s="2">
        <v>44165</v>
      </c>
      <c r="F439" s="1" t="s">
        <v>1253</v>
      </c>
      <c r="G439" s="1" t="s">
        <v>1256</v>
      </c>
      <c r="H439" s="1" t="s">
        <v>244</v>
      </c>
      <c r="I439" s="1" t="s">
        <v>41</v>
      </c>
      <c r="J439" s="1" t="s">
        <v>287</v>
      </c>
      <c r="K439" s="1">
        <v>0</v>
      </c>
      <c r="L439" s="1"/>
      <c r="M439" s="1" t="s">
        <v>244</v>
      </c>
      <c r="N439" s="1"/>
      <c r="O439" s="1" t="s">
        <v>245</v>
      </c>
      <c r="P439" s="2">
        <v>44165</v>
      </c>
      <c r="Q439" s="8" t="str">
        <f t="shared" si="6"/>
        <v>SUPPORTED WITHIN 2DAYS</v>
      </c>
      <c r="R439" s="8" t="s">
        <v>1272</v>
      </c>
      <c r="S439" s="1">
        <v>0</v>
      </c>
      <c r="T439" s="1" t="s">
        <v>246</v>
      </c>
      <c r="U439" s="1" t="str">
        <f>VLOOKUP(T439,personnel!A$1:B$4,2,FALSE)</f>
        <v>Macarling, Federico Jr Romano</v>
      </c>
      <c r="V439" s="3">
        <v>44165.498854166668</v>
      </c>
    </row>
    <row r="440" spans="1:22" x14ac:dyDescent="0.25">
      <c r="A440" s="1" t="s">
        <v>1257</v>
      </c>
      <c r="B440" s="1" t="s">
        <v>19</v>
      </c>
      <c r="C440" s="1" t="s">
        <v>20</v>
      </c>
      <c r="D440" s="1" t="s">
        <v>1258</v>
      </c>
      <c r="E440" s="2">
        <v>44165</v>
      </c>
      <c r="F440" s="1" t="s">
        <v>1259</v>
      </c>
      <c r="G440" s="1" t="s">
        <v>1260</v>
      </c>
      <c r="H440" s="1" t="s">
        <v>1261</v>
      </c>
      <c r="I440" s="1" t="s">
        <v>41</v>
      </c>
      <c r="J440" s="1" t="s">
        <v>272</v>
      </c>
      <c r="K440" s="1">
        <v>0</v>
      </c>
      <c r="L440" s="1"/>
      <c r="M440" s="1" t="s">
        <v>542</v>
      </c>
      <c r="N440" s="1"/>
      <c r="O440" s="1" t="s">
        <v>543</v>
      </c>
      <c r="P440" s="2">
        <v>44165</v>
      </c>
      <c r="Q440" s="8" t="str">
        <f t="shared" si="6"/>
        <v>SUPPORTED WITHIN 2DAYS</v>
      </c>
      <c r="R440" s="8" t="s">
        <v>1272</v>
      </c>
      <c r="S440" s="1">
        <v>0</v>
      </c>
      <c r="T440" s="1" t="s">
        <v>544</v>
      </c>
      <c r="U440" s="1" t="str">
        <f>VLOOKUP(T440,personnel!A$1:B$4,2,FALSE)</f>
        <v>Velasquez, Jayson Alon</v>
      </c>
      <c r="V440" s="3">
        <v>44165.589768518519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21" sqref="C21"/>
    </sheetView>
  </sheetViews>
  <sheetFormatPr defaultRowHeight="15" x14ac:dyDescent="0.25"/>
  <cols>
    <col min="1" max="1" width="11.7109375" bestFit="1" customWidth="1"/>
    <col min="2" max="2" width="28.42578125" bestFit="1" customWidth="1"/>
  </cols>
  <sheetData>
    <row r="1" spans="1:2" x14ac:dyDescent="0.25">
      <c r="A1" t="s">
        <v>246</v>
      </c>
      <c r="B1" t="s">
        <v>1262</v>
      </c>
    </row>
    <row r="2" spans="1:2" x14ac:dyDescent="0.25">
      <c r="A2" t="s">
        <v>275</v>
      </c>
      <c r="B2" t="s">
        <v>1263</v>
      </c>
    </row>
    <row r="3" spans="1:2" x14ac:dyDescent="0.25">
      <c r="A3" t="s">
        <v>544</v>
      </c>
      <c r="B3" t="s">
        <v>1264</v>
      </c>
    </row>
    <row r="4" spans="1:2" x14ac:dyDescent="0.25">
      <c r="A4" t="s">
        <v>30</v>
      </c>
      <c r="B4" t="s">
        <v>1265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4"/>
  <sheetViews>
    <sheetView workbookViewId="0">
      <selection sqref="A1:T274"/>
    </sheetView>
  </sheetViews>
  <sheetFormatPr defaultRowHeight="15" x14ac:dyDescent="0.25"/>
  <cols>
    <col min="1" max="1" width="16" bestFit="1" customWidth="1"/>
    <col min="2" max="2" width="35.42578125" bestFit="1" customWidth="1"/>
    <col min="3" max="3" width="10.5703125" bestFit="1" customWidth="1"/>
    <col min="4" max="4" width="10.140625" bestFit="1" customWidth="1"/>
    <col min="5" max="5" width="10.7109375" bestFit="1" customWidth="1"/>
    <col min="6" max="6" width="11.7109375" bestFit="1" customWidth="1"/>
    <col min="7" max="7" width="11.42578125" bestFit="1" customWidth="1"/>
    <col min="8" max="8" width="13.42578125" bestFit="1" customWidth="1"/>
    <col min="9" max="9" width="35.7109375" bestFit="1" customWidth="1"/>
    <col min="10" max="10" width="22.85546875" bestFit="1" customWidth="1"/>
    <col min="11" max="11" width="90.28515625" bestFit="1" customWidth="1"/>
    <col min="12" max="12" width="9.28515625" bestFit="1" customWidth="1"/>
    <col min="13" max="13" width="18" bestFit="1" customWidth="1"/>
    <col min="14" max="14" width="10.7109375" bestFit="1" customWidth="1"/>
    <col min="15" max="15" width="18.5703125" bestFit="1" customWidth="1"/>
    <col min="16" max="16" width="10" bestFit="1" customWidth="1"/>
    <col min="17" max="17" width="10.85546875" bestFit="1" customWidth="1"/>
    <col min="18" max="18" width="11.7109375" bestFit="1" customWidth="1"/>
    <col min="19" max="19" width="15.85546875" style="22" bestFit="1" customWidth="1"/>
    <col min="20" max="20" width="19.85546875" style="22" customWidth="1"/>
  </cols>
  <sheetData>
    <row r="1" spans="1:20" x14ac:dyDescent="0.25">
      <c r="A1" t="s">
        <v>1279</v>
      </c>
      <c r="B1" t="s">
        <v>0</v>
      </c>
      <c r="C1" t="s">
        <v>1280</v>
      </c>
      <c r="D1" t="s">
        <v>5</v>
      </c>
      <c r="E1" t="s">
        <v>1281</v>
      </c>
      <c r="F1" t="s">
        <v>1282</v>
      </c>
      <c r="G1" t="s">
        <v>1283</v>
      </c>
      <c r="H1" t="s">
        <v>1284</v>
      </c>
      <c r="I1" t="s">
        <v>1285</v>
      </c>
      <c r="J1" t="s">
        <v>1286</v>
      </c>
      <c r="K1" t="s">
        <v>12</v>
      </c>
      <c r="L1" t="s">
        <v>1287</v>
      </c>
      <c r="M1" t="s">
        <v>1288</v>
      </c>
      <c r="N1" t="s">
        <v>1289</v>
      </c>
      <c r="O1" t="s">
        <v>1290</v>
      </c>
      <c r="P1" t="s">
        <v>1291</v>
      </c>
      <c r="Q1" t="s">
        <v>1292</v>
      </c>
      <c r="R1" t="s">
        <v>16</v>
      </c>
      <c r="S1" s="22" t="s">
        <v>17</v>
      </c>
      <c r="T1" s="22" t="s">
        <v>1270</v>
      </c>
    </row>
    <row r="2" spans="1:20" x14ac:dyDescent="0.25">
      <c r="A2" t="s">
        <v>1294</v>
      </c>
      <c r="B2" t="s">
        <v>1295</v>
      </c>
      <c r="C2">
        <v>10</v>
      </c>
      <c r="D2" t="s">
        <v>1296</v>
      </c>
      <c r="E2" s="22">
        <v>43704</v>
      </c>
      <c r="F2" t="s">
        <v>1297</v>
      </c>
      <c r="G2">
        <v>3</v>
      </c>
      <c r="H2" t="s">
        <v>1298</v>
      </c>
      <c r="I2" t="s">
        <v>1299</v>
      </c>
      <c r="J2" t="s">
        <v>1299</v>
      </c>
      <c r="K2" t="s">
        <v>1300</v>
      </c>
      <c r="L2" t="s">
        <v>1301</v>
      </c>
      <c r="M2" t="s">
        <v>1302</v>
      </c>
      <c r="N2" s="22">
        <v>44159</v>
      </c>
      <c r="O2" t="s">
        <v>1303</v>
      </c>
      <c r="P2">
        <v>123456</v>
      </c>
      <c r="Q2" t="s">
        <v>1304</v>
      </c>
      <c r="R2" t="s">
        <v>246</v>
      </c>
      <c r="S2" s="22">
        <v>44159.585543981484</v>
      </c>
      <c r="T2" s="22" t="s">
        <v>2221</v>
      </c>
    </row>
    <row r="3" spans="1:20" x14ac:dyDescent="0.25">
      <c r="A3" t="s">
        <v>1294</v>
      </c>
      <c r="B3" t="s">
        <v>1305</v>
      </c>
      <c r="C3">
        <v>10</v>
      </c>
      <c r="D3" t="s">
        <v>1306</v>
      </c>
      <c r="E3" s="22">
        <v>44075</v>
      </c>
      <c r="F3" t="s">
        <v>1307</v>
      </c>
      <c r="G3">
        <v>4</v>
      </c>
      <c r="H3" t="s">
        <v>1308</v>
      </c>
      <c r="I3" t="s">
        <v>1309</v>
      </c>
      <c r="J3" t="s">
        <v>1310</v>
      </c>
      <c r="K3" t="s">
        <v>1311</v>
      </c>
      <c r="L3" t="s">
        <v>1301</v>
      </c>
      <c r="M3" t="s">
        <v>1302</v>
      </c>
      <c r="N3" s="22">
        <v>44159</v>
      </c>
      <c r="O3" t="s">
        <v>1303</v>
      </c>
      <c r="P3">
        <v>123456</v>
      </c>
      <c r="Q3" t="s">
        <v>1312</v>
      </c>
      <c r="R3" t="s">
        <v>246</v>
      </c>
      <c r="S3" s="22">
        <v>44159.58425925926</v>
      </c>
      <c r="T3" s="22" t="s">
        <v>2221</v>
      </c>
    </row>
    <row r="4" spans="1:20" x14ac:dyDescent="0.25">
      <c r="A4" t="s">
        <v>1294</v>
      </c>
      <c r="B4" t="s">
        <v>1313</v>
      </c>
      <c r="C4">
        <v>10</v>
      </c>
      <c r="D4" t="s">
        <v>1314</v>
      </c>
      <c r="E4" s="22">
        <v>43731</v>
      </c>
      <c r="F4" t="s">
        <v>1297</v>
      </c>
      <c r="G4">
        <v>3</v>
      </c>
      <c r="H4" t="s">
        <v>1315</v>
      </c>
      <c r="I4" t="s">
        <v>1299</v>
      </c>
      <c r="J4">
        <v>1234</v>
      </c>
      <c r="K4" t="s">
        <v>1316</v>
      </c>
      <c r="L4" t="s">
        <v>1301</v>
      </c>
      <c r="M4" t="s">
        <v>1302</v>
      </c>
      <c r="N4" s="22">
        <v>44120</v>
      </c>
      <c r="O4" t="s">
        <v>1303</v>
      </c>
      <c r="P4">
        <v>123456</v>
      </c>
      <c r="Q4" t="s">
        <v>1317</v>
      </c>
      <c r="R4" t="s">
        <v>246</v>
      </c>
      <c r="S4" s="22">
        <v>44120.452951388892</v>
      </c>
      <c r="T4" s="22" t="s">
        <v>2222</v>
      </c>
    </row>
    <row r="5" spans="1:20" x14ac:dyDescent="0.25">
      <c r="A5" t="s">
        <v>1294</v>
      </c>
      <c r="B5" t="s">
        <v>1318</v>
      </c>
      <c r="C5">
        <v>10</v>
      </c>
      <c r="D5" t="s">
        <v>1319</v>
      </c>
      <c r="E5" s="22">
        <v>43704</v>
      </c>
      <c r="F5" t="s">
        <v>1320</v>
      </c>
      <c r="G5">
        <v>3</v>
      </c>
      <c r="H5" t="s">
        <v>1321</v>
      </c>
      <c r="I5" t="s">
        <v>1299</v>
      </c>
      <c r="J5" t="s">
        <v>1299</v>
      </c>
      <c r="K5" t="s">
        <v>1322</v>
      </c>
      <c r="L5" t="s">
        <v>1323</v>
      </c>
      <c r="M5" t="s">
        <v>1324</v>
      </c>
      <c r="N5" s="22">
        <v>44120</v>
      </c>
      <c r="O5" t="s">
        <v>1303</v>
      </c>
      <c r="P5">
        <v>123456</v>
      </c>
      <c r="Q5" t="s">
        <v>1317</v>
      </c>
      <c r="R5" t="s">
        <v>246</v>
      </c>
      <c r="S5" s="22">
        <v>44120.453136574077</v>
      </c>
      <c r="T5" s="22" t="s">
        <v>2222</v>
      </c>
    </row>
    <row r="6" spans="1:20" x14ac:dyDescent="0.25">
      <c r="A6" t="s">
        <v>1294</v>
      </c>
      <c r="B6" t="s">
        <v>1325</v>
      </c>
      <c r="C6">
        <v>10</v>
      </c>
      <c r="D6" t="s">
        <v>1326</v>
      </c>
      <c r="E6" s="22">
        <v>43731</v>
      </c>
      <c r="F6" t="s">
        <v>1327</v>
      </c>
      <c r="G6">
        <v>4</v>
      </c>
      <c r="H6" t="s">
        <v>1328</v>
      </c>
      <c r="I6" t="s">
        <v>1299</v>
      </c>
      <c r="J6" t="s">
        <v>1299</v>
      </c>
      <c r="K6" t="s">
        <v>1329</v>
      </c>
      <c r="L6" t="s">
        <v>1323</v>
      </c>
      <c r="M6" t="s">
        <v>1324</v>
      </c>
      <c r="N6" s="22">
        <v>44120</v>
      </c>
      <c r="O6" t="s">
        <v>1303</v>
      </c>
      <c r="P6">
        <v>123456</v>
      </c>
      <c r="Q6" t="s">
        <v>1317</v>
      </c>
      <c r="R6" t="s">
        <v>246</v>
      </c>
      <c r="S6" s="22">
        <v>44120.453587962962</v>
      </c>
      <c r="T6" s="22" t="s">
        <v>2222</v>
      </c>
    </row>
    <row r="7" spans="1:20" x14ac:dyDescent="0.25">
      <c r="A7" t="s">
        <v>1294</v>
      </c>
      <c r="B7" t="s">
        <v>893</v>
      </c>
      <c r="C7">
        <v>10</v>
      </c>
      <c r="D7" t="s">
        <v>895</v>
      </c>
      <c r="E7" s="22">
        <v>43731</v>
      </c>
      <c r="F7" t="s">
        <v>1297</v>
      </c>
      <c r="G7">
        <v>3</v>
      </c>
      <c r="H7" t="s">
        <v>1330</v>
      </c>
      <c r="I7" t="s">
        <v>1299</v>
      </c>
      <c r="J7">
        <v>48205823646</v>
      </c>
      <c r="K7" t="s">
        <v>1331</v>
      </c>
      <c r="L7" t="s">
        <v>1323</v>
      </c>
      <c r="M7" t="s">
        <v>1324</v>
      </c>
      <c r="N7" s="22">
        <v>44120</v>
      </c>
      <c r="O7" t="s">
        <v>1303</v>
      </c>
      <c r="P7">
        <v>123456</v>
      </c>
      <c r="Q7" t="s">
        <v>1317</v>
      </c>
      <c r="R7" t="s">
        <v>246</v>
      </c>
      <c r="S7" s="22">
        <v>44120.671643518515</v>
      </c>
      <c r="T7" s="22" t="s">
        <v>2222</v>
      </c>
    </row>
    <row r="8" spans="1:20" x14ac:dyDescent="0.25">
      <c r="A8" t="s">
        <v>1294</v>
      </c>
      <c r="B8" t="s">
        <v>1332</v>
      </c>
      <c r="C8">
        <v>10</v>
      </c>
      <c r="D8" t="s">
        <v>1333</v>
      </c>
      <c r="E8" s="22">
        <v>43731</v>
      </c>
      <c r="F8" t="s">
        <v>1297</v>
      </c>
      <c r="G8">
        <v>4</v>
      </c>
      <c r="H8" t="s">
        <v>1334</v>
      </c>
      <c r="I8" t="s">
        <v>1299</v>
      </c>
      <c r="J8" t="s">
        <v>1335</v>
      </c>
      <c r="K8" t="s">
        <v>1336</v>
      </c>
      <c r="L8" t="s">
        <v>1301</v>
      </c>
      <c r="M8" t="s">
        <v>1302</v>
      </c>
      <c r="N8" s="22">
        <v>44120</v>
      </c>
      <c r="O8" t="s">
        <v>1303</v>
      </c>
      <c r="P8">
        <v>123456</v>
      </c>
      <c r="Q8" t="s">
        <v>1317</v>
      </c>
      <c r="R8" t="s">
        <v>246</v>
      </c>
      <c r="S8" s="22">
        <v>44120.457731481481</v>
      </c>
      <c r="T8" s="22" t="s">
        <v>2222</v>
      </c>
    </row>
    <row r="9" spans="1:20" x14ac:dyDescent="0.25">
      <c r="A9" t="s">
        <v>1294</v>
      </c>
      <c r="B9" t="s">
        <v>1337</v>
      </c>
      <c r="C9">
        <v>10</v>
      </c>
      <c r="D9" t="s">
        <v>1338</v>
      </c>
      <c r="E9" s="22">
        <v>43466</v>
      </c>
      <c r="F9" t="s">
        <v>1307</v>
      </c>
      <c r="G9">
        <v>4</v>
      </c>
      <c r="H9" t="s">
        <v>1339</v>
      </c>
      <c r="I9" t="s">
        <v>1340</v>
      </c>
      <c r="J9" t="s">
        <v>1341</v>
      </c>
      <c r="K9" t="s">
        <v>1311</v>
      </c>
      <c r="L9" t="s">
        <v>1301</v>
      </c>
      <c r="M9" t="s">
        <v>1302</v>
      </c>
      <c r="N9" s="22">
        <v>44159</v>
      </c>
      <c r="O9" t="s">
        <v>1303</v>
      </c>
      <c r="P9">
        <v>123456</v>
      </c>
      <c r="Q9" t="s">
        <v>1312</v>
      </c>
      <c r="R9" t="s">
        <v>246</v>
      </c>
      <c r="S9" s="22">
        <v>44159.583749999998</v>
      </c>
      <c r="T9" s="22" t="s">
        <v>2221</v>
      </c>
    </row>
    <row r="10" spans="1:20" x14ac:dyDescent="0.25">
      <c r="A10" t="s">
        <v>1294</v>
      </c>
      <c r="B10" t="s">
        <v>1342</v>
      </c>
      <c r="C10">
        <v>10</v>
      </c>
      <c r="D10" t="s">
        <v>1343</v>
      </c>
      <c r="E10" s="22">
        <v>43697</v>
      </c>
      <c r="F10" t="s">
        <v>1297</v>
      </c>
      <c r="G10">
        <v>3</v>
      </c>
      <c r="H10" t="s">
        <v>1344</v>
      </c>
      <c r="I10" t="s">
        <v>1299</v>
      </c>
      <c r="J10" t="s">
        <v>1345</v>
      </c>
      <c r="K10" t="s">
        <v>1346</v>
      </c>
      <c r="L10" t="s">
        <v>1323</v>
      </c>
      <c r="M10" t="s">
        <v>1324</v>
      </c>
      <c r="N10" s="22">
        <v>44159</v>
      </c>
      <c r="O10" t="s">
        <v>1303</v>
      </c>
      <c r="P10">
        <v>123456</v>
      </c>
      <c r="Q10">
        <v>1</v>
      </c>
      <c r="R10" t="s">
        <v>246</v>
      </c>
      <c r="S10" s="22">
        <v>44159.584583333337</v>
      </c>
      <c r="T10" s="22" t="s">
        <v>2221</v>
      </c>
    </row>
    <row r="11" spans="1:20" x14ac:dyDescent="0.25">
      <c r="A11" t="s">
        <v>1294</v>
      </c>
      <c r="B11" t="s">
        <v>1214</v>
      </c>
      <c r="C11">
        <v>10</v>
      </c>
      <c r="D11" t="s">
        <v>1216</v>
      </c>
      <c r="E11" s="22">
        <v>43731</v>
      </c>
      <c r="F11" t="s">
        <v>1297</v>
      </c>
      <c r="G11">
        <v>3</v>
      </c>
      <c r="H11" t="s">
        <v>1347</v>
      </c>
      <c r="I11" t="s">
        <v>1299</v>
      </c>
      <c r="J11" t="s">
        <v>1299</v>
      </c>
      <c r="K11" t="s">
        <v>1348</v>
      </c>
      <c r="L11" t="s">
        <v>1301</v>
      </c>
      <c r="M11" t="s">
        <v>1324</v>
      </c>
      <c r="N11" s="22">
        <v>44120</v>
      </c>
      <c r="O11" t="s">
        <v>1303</v>
      </c>
      <c r="P11" t="s">
        <v>1349</v>
      </c>
      <c r="Q11" t="s">
        <v>1317</v>
      </c>
      <c r="R11" t="s">
        <v>246</v>
      </c>
      <c r="S11" s="22">
        <v>44120.458923611113</v>
      </c>
      <c r="T11" s="22" t="s">
        <v>2222</v>
      </c>
    </row>
    <row r="12" spans="1:20" x14ac:dyDescent="0.25">
      <c r="A12" t="s">
        <v>1294</v>
      </c>
      <c r="B12" t="s">
        <v>1350</v>
      </c>
      <c r="C12">
        <v>10</v>
      </c>
      <c r="D12" t="s">
        <v>1351</v>
      </c>
      <c r="E12" s="22">
        <v>32874</v>
      </c>
      <c r="F12" t="s">
        <v>1307</v>
      </c>
      <c r="G12">
        <v>4</v>
      </c>
      <c r="H12" t="s">
        <v>1352</v>
      </c>
      <c r="I12" t="s">
        <v>1353</v>
      </c>
      <c r="J12">
        <v>48208923646</v>
      </c>
      <c r="K12" t="s">
        <v>1331</v>
      </c>
      <c r="L12" t="s">
        <v>1323</v>
      </c>
      <c r="M12" t="s">
        <v>1302</v>
      </c>
      <c r="N12" s="22">
        <v>44159</v>
      </c>
      <c r="O12" t="s">
        <v>1303</v>
      </c>
      <c r="P12">
        <v>123456</v>
      </c>
      <c r="Q12" t="s">
        <v>1312</v>
      </c>
      <c r="R12" t="s">
        <v>246</v>
      </c>
      <c r="S12" s="22">
        <v>44159.582939814813</v>
      </c>
      <c r="T12" s="22" t="s">
        <v>2221</v>
      </c>
    </row>
    <row r="13" spans="1:20" x14ac:dyDescent="0.25">
      <c r="A13" t="s">
        <v>1294</v>
      </c>
      <c r="B13" t="s">
        <v>329</v>
      </c>
      <c r="C13">
        <v>10</v>
      </c>
      <c r="D13" t="s">
        <v>331</v>
      </c>
      <c r="E13" s="22">
        <v>43731</v>
      </c>
      <c r="F13" t="s">
        <v>1297</v>
      </c>
      <c r="G13">
        <v>3</v>
      </c>
      <c r="H13" t="s">
        <v>1354</v>
      </c>
      <c r="I13" t="s">
        <v>1299</v>
      </c>
      <c r="J13">
        <v>48206723646</v>
      </c>
      <c r="K13" t="s">
        <v>1355</v>
      </c>
      <c r="L13" t="s">
        <v>1301</v>
      </c>
      <c r="M13" t="s">
        <v>1302</v>
      </c>
      <c r="N13" s="22">
        <v>44120</v>
      </c>
      <c r="O13" t="s">
        <v>1303</v>
      </c>
      <c r="P13">
        <v>123456</v>
      </c>
      <c r="Q13" t="s">
        <v>1317</v>
      </c>
      <c r="R13" t="s">
        <v>246</v>
      </c>
      <c r="S13" s="22">
        <v>44120.459768518522</v>
      </c>
      <c r="T13" s="22" t="s">
        <v>2222</v>
      </c>
    </row>
    <row r="14" spans="1:20" x14ac:dyDescent="0.25">
      <c r="A14" t="s">
        <v>1294</v>
      </c>
      <c r="B14" t="s">
        <v>1356</v>
      </c>
      <c r="C14">
        <v>10</v>
      </c>
      <c r="D14" t="s">
        <v>1357</v>
      </c>
      <c r="E14" s="22">
        <v>43731</v>
      </c>
      <c r="F14" t="s">
        <v>1297</v>
      </c>
      <c r="G14">
        <v>3</v>
      </c>
      <c r="H14" t="s">
        <v>1358</v>
      </c>
      <c r="I14" t="s">
        <v>1299</v>
      </c>
      <c r="J14" t="s">
        <v>1299</v>
      </c>
      <c r="K14" t="s">
        <v>1359</v>
      </c>
      <c r="L14" t="s">
        <v>1301</v>
      </c>
      <c r="M14" t="s">
        <v>1302</v>
      </c>
      <c r="N14" s="22">
        <v>44120</v>
      </c>
      <c r="O14" t="s">
        <v>1303</v>
      </c>
      <c r="P14">
        <v>123456</v>
      </c>
      <c r="Q14" t="s">
        <v>1317</v>
      </c>
      <c r="R14" t="s">
        <v>246</v>
      </c>
      <c r="S14" s="22">
        <v>44120.460312499999</v>
      </c>
      <c r="T14" s="22" t="s">
        <v>2222</v>
      </c>
    </row>
    <row r="15" spans="1:20" x14ac:dyDescent="0.25">
      <c r="A15" t="s">
        <v>1294</v>
      </c>
      <c r="B15" t="s">
        <v>1360</v>
      </c>
      <c r="C15">
        <v>10</v>
      </c>
      <c r="D15" t="s">
        <v>1361</v>
      </c>
      <c r="E15" s="22">
        <v>43466</v>
      </c>
      <c r="F15" t="s">
        <v>1307</v>
      </c>
      <c r="G15">
        <v>3</v>
      </c>
      <c r="H15" t="s">
        <v>1362</v>
      </c>
      <c r="I15" t="s">
        <v>1363</v>
      </c>
      <c r="J15" t="s">
        <v>1364</v>
      </c>
      <c r="K15" t="s">
        <v>1365</v>
      </c>
      <c r="L15" t="s">
        <v>1323</v>
      </c>
      <c r="M15" t="s">
        <v>1324</v>
      </c>
      <c r="N15" s="22">
        <v>44159</v>
      </c>
      <c r="O15" t="s">
        <v>1303</v>
      </c>
      <c r="P15">
        <v>123456</v>
      </c>
      <c r="Q15" t="s">
        <v>1366</v>
      </c>
      <c r="R15" t="s">
        <v>246</v>
      </c>
      <c r="S15" s="22">
        <v>44159.583287037036</v>
      </c>
      <c r="T15" s="22" t="s">
        <v>2221</v>
      </c>
    </row>
    <row r="16" spans="1:20" x14ac:dyDescent="0.25">
      <c r="A16" t="s">
        <v>1294</v>
      </c>
      <c r="B16" t="s">
        <v>1367</v>
      </c>
      <c r="C16">
        <v>10</v>
      </c>
      <c r="D16" t="s">
        <v>1368</v>
      </c>
      <c r="E16" s="22">
        <v>43663</v>
      </c>
      <c r="F16" t="s">
        <v>1297</v>
      </c>
      <c r="G16">
        <v>4</v>
      </c>
      <c r="H16" t="s">
        <v>1369</v>
      </c>
      <c r="I16" t="s">
        <v>1299</v>
      </c>
      <c r="J16">
        <v>48204023646</v>
      </c>
      <c r="K16" t="s">
        <v>1370</v>
      </c>
      <c r="L16" t="s">
        <v>1323</v>
      </c>
      <c r="M16" t="s">
        <v>1324</v>
      </c>
      <c r="N16" s="22">
        <v>44120</v>
      </c>
      <c r="O16" t="s">
        <v>1303</v>
      </c>
      <c r="P16">
        <v>123456</v>
      </c>
      <c r="Q16" t="s">
        <v>1317</v>
      </c>
      <c r="R16" t="s">
        <v>246</v>
      </c>
      <c r="S16" s="22">
        <v>44120.461608796293</v>
      </c>
      <c r="T16" s="22" t="s">
        <v>2222</v>
      </c>
    </row>
    <row r="17" spans="1:20" x14ac:dyDescent="0.25">
      <c r="A17" t="s">
        <v>1371</v>
      </c>
      <c r="B17" t="s">
        <v>1372</v>
      </c>
      <c r="C17">
        <v>11</v>
      </c>
      <c r="D17" t="s">
        <v>1373</v>
      </c>
      <c r="E17" s="22">
        <v>32874</v>
      </c>
      <c r="F17" t="s">
        <v>1307</v>
      </c>
      <c r="G17">
        <v>3</v>
      </c>
      <c r="H17" t="s">
        <v>1374</v>
      </c>
      <c r="I17" t="s">
        <v>1299</v>
      </c>
      <c r="J17">
        <v>1234</v>
      </c>
      <c r="K17" t="s">
        <v>1375</v>
      </c>
      <c r="L17" t="s">
        <v>1301</v>
      </c>
      <c r="M17" t="s">
        <v>1302</v>
      </c>
      <c r="N17" s="22">
        <v>44120</v>
      </c>
      <c r="O17" t="s">
        <v>1303</v>
      </c>
      <c r="P17">
        <v>123456</v>
      </c>
      <c r="Q17" t="s">
        <v>1317</v>
      </c>
      <c r="R17" t="s">
        <v>246</v>
      </c>
      <c r="S17" s="22">
        <v>44120.46361111111</v>
      </c>
      <c r="T17" s="22" t="s">
        <v>2222</v>
      </c>
    </row>
    <row r="18" spans="1:20" x14ac:dyDescent="0.25">
      <c r="A18" t="s">
        <v>1371</v>
      </c>
      <c r="B18" t="s">
        <v>1376</v>
      </c>
      <c r="C18">
        <v>11</v>
      </c>
      <c r="D18" t="s">
        <v>1377</v>
      </c>
      <c r="E18" s="22">
        <v>43466</v>
      </c>
      <c r="F18" t="s">
        <v>1378</v>
      </c>
      <c r="G18">
        <v>4</v>
      </c>
      <c r="H18" t="s">
        <v>1379</v>
      </c>
      <c r="I18" t="s">
        <v>1299</v>
      </c>
      <c r="J18" t="s">
        <v>1380</v>
      </c>
      <c r="K18" t="s">
        <v>1381</v>
      </c>
      <c r="L18" t="s">
        <v>1301</v>
      </c>
      <c r="M18" t="s">
        <v>1302</v>
      </c>
      <c r="N18" s="22">
        <v>44120</v>
      </c>
      <c r="O18" t="s">
        <v>1303</v>
      </c>
      <c r="P18">
        <v>123456</v>
      </c>
      <c r="Q18" t="s">
        <v>1312</v>
      </c>
      <c r="R18" t="s">
        <v>246</v>
      </c>
      <c r="S18" s="22">
        <v>44120.464270833334</v>
      </c>
      <c r="T18" s="22" t="s">
        <v>2222</v>
      </c>
    </row>
    <row r="19" spans="1:20" x14ac:dyDescent="0.25">
      <c r="A19" t="s">
        <v>1371</v>
      </c>
      <c r="B19" t="s">
        <v>1382</v>
      </c>
      <c r="C19" t="s">
        <v>1293</v>
      </c>
      <c r="D19" t="s">
        <v>1293</v>
      </c>
      <c r="E19" t="s">
        <v>1293</v>
      </c>
      <c r="F19" t="s">
        <v>1293</v>
      </c>
      <c r="G19" t="s">
        <v>1293</v>
      </c>
      <c r="H19" t="s">
        <v>1293</v>
      </c>
      <c r="I19" t="s">
        <v>1293</v>
      </c>
      <c r="J19" t="s">
        <v>1293</v>
      </c>
      <c r="K19" t="s">
        <v>1293</v>
      </c>
      <c r="L19" t="s">
        <v>1293</v>
      </c>
      <c r="M19" t="s">
        <v>1293</v>
      </c>
      <c r="N19" t="s">
        <v>1293</v>
      </c>
      <c r="O19" t="s">
        <v>1293</v>
      </c>
      <c r="P19" t="s">
        <v>1293</v>
      </c>
      <c r="Q19" t="s">
        <v>1293</v>
      </c>
      <c r="R19" t="s">
        <v>1293</v>
      </c>
      <c r="S19" t="s">
        <v>1293</v>
      </c>
      <c r="T19" t="s">
        <v>2220</v>
      </c>
    </row>
    <row r="20" spans="1:20" x14ac:dyDescent="0.25">
      <c r="A20" t="s">
        <v>1371</v>
      </c>
      <c r="B20" t="s">
        <v>1383</v>
      </c>
      <c r="C20">
        <v>11</v>
      </c>
      <c r="D20" t="s">
        <v>1384</v>
      </c>
      <c r="E20" s="22">
        <v>43466</v>
      </c>
      <c r="F20" t="s">
        <v>1378</v>
      </c>
      <c r="G20">
        <v>4</v>
      </c>
      <c r="H20" t="s">
        <v>1385</v>
      </c>
      <c r="I20" t="s">
        <v>1299</v>
      </c>
      <c r="J20">
        <v>1234</v>
      </c>
      <c r="K20" t="s">
        <v>1381</v>
      </c>
      <c r="L20" t="s">
        <v>1301</v>
      </c>
      <c r="M20" t="s">
        <v>1302</v>
      </c>
      <c r="N20" s="22">
        <v>44120</v>
      </c>
      <c r="O20" t="s">
        <v>1303</v>
      </c>
      <c r="P20">
        <v>123456</v>
      </c>
      <c r="Q20" t="s">
        <v>1312</v>
      </c>
      <c r="R20" t="s">
        <v>246</v>
      </c>
      <c r="S20" s="22">
        <v>44120.464814814812</v>
      </c>
      <c r="T20" s="22" t="s">
        <v>2222</v>
      </c>
    </row>
    <row r="21" spans="1:20" x14ac:dyDescent="0.25">
      <c r="A21" t="s">
        <v>1371</v>
      </c>
      <c r="B21" t="s">
        <v>1386</v>
      </c>
      <c r="C21">
        <v>11</v>
      </c>
      <c r="D21" t="s">
        <v>1387</v>
      </c>
      <c r="E21" s="22">
        <v>43731</v>
      </c>
      <c r="F21" t="s">
        <v>1297</v>
      </c>
      <c r="G21">
        <v>4</v>
      </c>
      <c r="H21" t="s">
        <v>1388</v>
      </c>
      <c r="I21" t="s">
        <v>1299</v>
      </c>
      <c r="J21" t="s">
        <v>1299</v>
      </c>
      <c r="K21" t="s">
        <v>1389</v>
      </c>
      <c r="L21" t="s">
        <v>1323</v>
      </c>
      <c r="M21" t="s">
        <v>1302</v>
      </c>
      <c r="N21" s="22">
        <v>44120</v>
      </c>
      <c r="O21" t="s">
        <v>1303</v>
      </c>
      <c r="P21">
        <v>123456</v>
      </c>
      <c r="Q21" t="s">
        <v>1312</v>
      </c>
      <c r="R21" t="s">
        <v>246</v>
      </c>
      <c r="S21" s="22">
        <v>44120.476597222223</v>
      </c>
      <c r="T21" s="22" t="s">
        <v>2222</v>
      </c>
    </row>
    <row r="22" spans="1:20" x14ac:dyDescent="0.25">
      <c r="A22" t="s">
        <v>1371</v>
      </c>
      <c r="B22" t="s">
        <v>396</v>
      </c>
      <c r="C22">
        <v>11</v>
      </c>
      <c r="D22" t="s">
        <v>398</v>
      </c>
      <c r="E22" s="22">
        <v>43466</v>
      </c>
      <c r="F22" t="s">
        <v>1378</v>
      </c>
      <c r="G22">
        <v>3</v>
      </c>
      <c r="H22" t="s">
        <v>1390</v>
      </c>
      <c r="I22" t="s">
        <v>1299</v>
      </c>
      <c r="J22">
        <v>1234</v>
      </c>
      <c r="K22" t="s">
        <v>1391</v>
      </c>
      <c r="L22" t="s">
        <v>1301</v>
      </c>
      <c r="M22" t="s">
        <v>1324</v>
      </c>
      <c r="N22" s="22">
        <v>44120</v>
      </c>
      <c r="O22" t="s">
        <v>1303</v>
      </c>
      <c r="P22">
        <v>123456</v>
      </c>
      <c r="Q22" t="s">
        <v>1317</v>
      </c>
      <c r="R22" t="s">
        <v>246</v>
      </c>
      <c r="S22" s="22">
        <v>44120.465636574074</v>
      </c>
      <c r="T22" s="22" t="s">
        <v>2222</v>
      </c>
    </row>
    <row r="23" spans="1:20" x14ac:dyDescent="0.25">
      <c r="A23" t="s">
        <v>1371</v>
      </c>
      <c r="B23" t="s">
        <v>1242</v>
      </c>
      <c r="C23">
        <v>11</v>
      </c>
      <c r="D23" t="s">
        <v>1244</v>
      </c>
      <c r="E23" s="22">
        <v>43711</v>
      </c>
      <c r="F23" t="s">
        <v>1297</v>
      </c>
      <c r="G23">
        <v>3</v>
      </c>
      <c r="H23" t="s">
        <v>1392</v>
      </c>
      <c r="I23" t="s">
        <v>1299</v>
      </c>
      <c r="J23">
        <v>48200623646</v>
      </c>
      <c r="K23" t="s">
        <v>1355</v>
      </c>
      <c r="L23" t="s">
        <v>1301</v>
      </c>
      <c r="M23" t="s">
        <v>1302</v>
      </c>
      <c r="N23" s="22">
        <v>44120</v>
      </c>
      <c r="O23" t="s">
        <v>1303</v>
      </c>
      <c r="P23" t="s">
        <v>1393</v>
      </c>
      <c r="Q23" t="s">
        <v>1317</v>
      </c>
      <c r="R23" t="s">
        <v>246</v>
      </c>
      <c r="S23" s="22">
        <v>44120.471284722225</v>
      </c>
      <c r="T23" s="22" t="s">
        <v>2222</v>
      </c>
    </row>
    <row r="24" spans="1:20" x14ac:dyDescent="0.25">
      <c r="A24" t="s">
        <v>1371</v>
      </c>
      <c r="B24" t="s">
        <v>1394</v>
      </c>
      <c r="C24">
        <v>11</v>
      </c>
      <c r="D24" t="s">
        <v>1395</v>
      </c>
      <c r="E24" s="22">
        <v>43466</v>
      </c>
      <c r="F24" t="s">
        <v>1320</v>
      </c>
      <c r="G24">
        <v>4</v>
      </c>
      <c r="H24" t="s">
        <v>1396</v>
      </c>
      <c r="I24" t="s">
        <v>1299</v>
      </c>
      <c r="J24">
        <v>1234</v>
      </c>
      <c r="K24" t="s">
        <v>1381</v>
      </c>
      <c r="L24" t="s">
        <v>1301</v>
      </c>
      <c r="M24" t="s">
        <v>1302</v>
      </c>
      <c r="N24" s="22">
        <v>44120</v>
      </c>
      <c r="O24" t="s">
        <v>1303</v>
      </c>
      <c r="P24">
        <v>123456</v>
      </c>
      <c r="Q24" t="s">
        <v>1317</v>
      </c>
      <c r="R24" t="s">
        <v>246</v>
      </c>
      <c r="S24" s="22">
        <v>44120.473101851851</v>
      </c>
      <c r="T24" s="22" t="s">
        <v>2222</v>
      </c>
    </row>
    <row r="25" spans="1:20" x14ac:dyDescent="0.25">
      <c r="A25" t="s">
        <v>1371</v>
      </c>
      <c r="B25" t="s">
        <v>1397</v>
      </c>
      <c r="C25">
        <v>11</v>
      </c>
      <c r="D25" t="s">
        <v>1398</v>
      </c>
      <c r="E25" s="22">
        <v>43466</v>
      </c>
      <c r="F25" t="s">
        <v>1378</v>
      </c>
      <c r="G25">
        <v>3</v>
      </c>
      <c r="H25" t="s">
        <v>1399</v>
      </c>
      <c r="I25" t="s">
        <v>1400</v>
      </c>
      <c r="J25" t="s">
        <v>1401</v>
      </c>
      <c r="K25" t="s">
        <v>1402</v>
      </c>
      <c r="L25" t="s">
        <v>1323</v>
      </c>
      <c r="M25" t="s">
        <v>1324</v>
      </c>
      <c r="N25" s="22">
        <v>44120</v>
      </c>
      <c r="O25" t="s">
        <v>1303</v>
      </c>
      <c r="P25" t="s">
        <v>1403</v>
      </c>
      <c r="Q25" t="s">
        <v>1317</v>
      </c>
      <c r="R25" t="s">
        <v>246</v>
      </c>
      <c r="S25" s="22">
        <v>44120.474675925929</v>
      </c>
      <c r="T25" s="22" t="s">
        <v>2222</v>
      </c>
    </row>
    <row r="26" spans="1:20" x14ac:dyDescent="0.25">
      <c r="A26" t="s">
        <v>1371</v>
      </c>
      <c r="B26" t="s">
        <v>1404</v>
      </c>
      <c r="C26">
        <v>11</v>
      </c>
      <c r="D26" t="s">
        <v>1405</v>
      </c>
      <c r="E26" s="22">
        <v>43466</v>
      </c>
      <c r="F26" t="s">
        <v>1378</v>
      </c>
      <c r="G26">
        <v>3</v>
      </c>
      <c r="H26" t="s">
        <v>1406</v>
      </c>
      <c r="I26" t="s">
        <v>1299</v>
      </c>
      <c r="J26" t="s">
        <v>1407</v>
      </c>
      <c r="K26" t="s">
        <v>1381</v>
      </c>
      <c r="L26" t="s">
        <v>1301</v>
      </c>
      <c r="M26" t="s">
        <v>1311</v>
      </c>
      <c r="N26" s="22">
        <v>44120</v>
      </c>
      <c r="O26" t="s">
        <v>1303</v>
      </c>
      <c r="P26">
        <v>123456</v>
      </c>
      <c r="Q26" t="s">
        <v>1312</v>
      </c>
      <c r="R26" t="s">
        <v>246</v>
      </c>
      <c r="S26" s="22">
        <v>44120.476145833331</v>
      </c>
      <c r="T26" s="22" t="s">
        <v>2222</v>
      </c>
    </row>
    <row r="27" spans="1:20" x14ac:dyDescent="0.25">
      <c r="A27" t="s">
        <v>1371</v>
      </c>
      <c r="B27" t="s">
        <v>615</v>
      </c>
      <c r="C27">
        <v>11</v>
      </c>
      <c r="D27" t="s">
        <v>617</v>
      </c>
      <c r="E27" s="22">
        <v>43466</v>
      </c>
      <c r="F27" t="s">
        <v>1408</v>
      </c>
      <c r="G27">
        <v>3</v>
      </c>
      <c r="H27" t="s">
        <v>1409</v>
      </c>
      <c r="I27" t="s">
        <v>1299</v>
      </c>
      <c r="J27">
        <v>1234</v>
      </c>
      <c r="K27" t="s">
        <v>1355</v>
      </c>
      <c r="L27" t="s">
        <v>1301</v>
      </c>
      <c r="M27" t="s">
        <v>1302</v>
      </c>
      <c r="N27" s="22">
        <v>44120</v>
      </c>
      <c r="O27" t="s">
        <v>1303</v>
      </c>
      <c r="P27">
        <v>123456</v>
      </c>
      <c r="Q27" t="s">
        <v>1312</v>
      </c>
      <c r="R27" t="s">
        <v>246</v>
      </c>
      <c r="S27" s="22">
        <v>44120.475613425922</v>
      </c>
      <c r="T27" s="22" t="s">
        <v>2222</v>
      </c>
    </row>
    <row r="28" spans="1:20" x14ac:dyDescent="0.25">
      <c r="A28" t="s">
        <v>1371</v>
      </c>
      <c r="B28" t="s">
        <v>1410</v>
      </c>
      <c r="C28" t="s">
        <v>1293</v>
      </c>
      <c r="D28" t="s">
        <v>1293</v>
      </c>
      <c r="E28" t="s">
        <v>1293</v>
      </c>
      <c r="F28" t="s">
        <v>1293</v>
      </c>
      <c r="G28" t="s">
        <v>1293</v>
      </c>
      <c r="H28" t="s">
        <v>1293</v>
      </c>
      <c r="I28" t="s">
        <v>1293</v>
      </c>
      <c r="J28" t="s">
        <v>1293</v>
      </c>
      <c r="K28" t="s">
        <v>1293</v>
      </c>
      <c r="L28" t="s">
        <v>1293</v>
      </c>
      <c r="M28" t="s">
        <v>1293</v>
      </c>
      <c r="N28" t="s">
        <v>1293</v>
      </c>
      <c r="O28" t="s">
        <v>1293</v>
      </c>
      <c r="P28" t="s">
        <v>1293</v>
      </c>
      <c r="Q28" t="s">
        <v>1293</v>
      </c>
      <c r="R28" t="s">
        <v>1293</v>
      </c>
      <c r="S28" t="s">
        <v>1293</v>
      </c>
      <c r="T28" s="21" t="s">
        <v>2220</v>
      </c>
    </row>
    <row r="29" spans="1:20" x14ac:dyDescent="0.25">
      <c r="A29" t="s">
        <v>1371</v>
      </c>
      <c r="B29" t="s">
        <v>1411</v>
      </c>
      <c r="C29">
        <v>11</v>
      </c>
      <c r="D29" t="s">
        <v>1412</v>
      </c>
      <c r="E29" s="22">
        <v>43466</v>
      </c>
      <c r="F29" t="s">
        <v>1320</v>
      </c>
      <c r="G29">
        <v>3</v>
      </c>
      <c r="H29" t="s">
        <v>1413</v>
      </c>
      <c r="I29" t="s">
        <v>1299</v>
      </c>
      <c r="J29">
        <v>1234</v>
      </c>
      <c r="K29" t="s">
        <v>1414</v>
      </c>
      <c r="L29" t="s">
        <v>1301</v>
      </c>
      <c r="M29" t="s">
        <v>1324</v>
      </c>
      <c r="N29" s="22">
        <v>44120</v>
      </c>
      <c r="O29" t="s">
        <v>1303</v>
      </c>
      <c r="P29">
        <v>123456</v>
      </c>
      <c r="Q29" t="s">
        <v>1317</v>
      </c>
      <c r="R29" t="s">
        <v>246</v>
      </c>
      <c r="S29" s="22">
        <v>44120.467141203706</v>
      </c>
      <c r="T29" s="22" t="s">
        <v>2222</v>
      </c>
    </row>
    <row r="30" spans="1:20" x14ac:dyDescent="0.25">
      <c r="A30" t="s">
        <v>1371</v>
      </c>
      <c r="B30" t="s">
        <v>1415</v>
      </c>
      <c r="C30">
        <v>11</v>
      </c>
      <c r="D30" t="s">
        <v>1416</v>
      </c>
      <c r="E30" s="22">
        <v>43466</v>
      </c>
      <c r="F30" t="s">
        <v>1378</v>
      </c>
      <c r="G30">
        <v>3</v>
      </c>
      <c r="H30" t="s">
        <v>1417</v>
      </c>
      <c r="I30" t="s">
        <v>1418</v>
      </c>
      <c r="J30" t="s">
        <v>1419</v>
      </c>
      <c r="K30" t="s">
        <v>1355</v>
      </c>
      <c r="L30" t="s">
        <v>1301</v>
      </c>
      <c r="M30" t="s">
        <v>1302</v>
      </c>
      <c r="N30" s="22">
        <v>44120</v>
      </c>
      <c r="O30" t="s">
        <v>1303</v>
      </c>
      <c r="P30">
        <v>123456</v>
      </c>
      <c r="Q30" t="s">
        <v>1317</v>
      </c>
      <c r="R30" t="s">
        <v>246</v>
      </c>
      <c r="S30" s="22">
        <v>44120.475057870368</v>
      </c>
      <c r="T30" s="22" t="s">
        <v>2222</v>
      </c>
    </row>
    <row r="31" spans="1:20" x14ac:dyDescent="0.25">
      <c r="A31" t="s">
        <v>1371</v>
      </c>
      <c r="B31" t="s">
        <v>492</v>
      </c>
      <c r="C31" t="s">
        <v>1293</v>
      </c>
      <c r="D31" t="s">
        <v>1293</v>
      </c>
      <c r="E31" t="s">
        <v>1293</v>
      </c>
      <c r="F31" t="s">
        <v>1293</v>
      </c>
      <c r="G31" t="s">
        <v>1293</v>
      </c>
      <c r="H31" t="s">
        <v>1293</v>
      </c>
      <c r="I31" t="s">
        <v>1293</v>
      </c>
      <c r="J31" t="s">
        <v>1293</v>
      </c>
      <c r="K31" t="s">
        <v>1293</v>
      </c>
      <c r="L31" t="s">
        <v>1293</v>
      </c>
      <c r="M31" t="s">
        <v>1293</v>
      </c>
      <c r="N31" t="s">
        <v>1293</v>
      </c>
      <c r="O31" t="s">
        <v>1293</v>
      </c>
      <c r="P31" t="s">
        <v>1293</v>
      </c>
      <c r="Q31" t="s">
        <v>1293</v>
      </c>
      <c r="R31" t="s">
        <v>1293</v>
      </c>
      <c r="S31" t="s">
        <v>1293</v>
      </c>
      <c r="T31" s="21" t="s">
        <v>2220</v>
      </c>
    </row>
    <row r="32" spans="1:20" x14ac:dyDescent="0.25">
      <c r="A32" t="s">
        <v>1371</v>
      </c>
      <c r="B32" t="s">
        <v>1420</v>
      </c>
      <c r="C32">
        <v>10</v>
      </c>
      <c r="D32" t="s">
        <v>1421</v>
      </c>
      <c r="E32" s="22">
        <v>43466</v>
      </c>
      <c r="F32" t="s">
        <v>1378</v>
      </c>
      <c r="G32">
        <v>4</v>
      </c>
      <c r="H32" t="s">
        <v>1422</v>
      </c>
      <c r="I32" t="s">
        <v>1299</v>
      </c>
      <c r="J32">
        <v>1234</v>
      </c>
      <c r="K32" t="s">
        <v>1423</v>
      </c>
      <c r="L32" t="s">
        <v>1301</v>
      </c>
      <c r="M32" t="s">
        <v>1302</v>
      </c>
      <c r="N32" s="22">
        <v>44120</v>
      </c>
      <c r="O32" t="s">
        <v>1303</v>
      </c>
      <c r="P32">
        <v>123456</v>
      </c>
      <c r="Q32" t="s">
        <v>1304</v>
      </c>
      <c r="R32" t="s">
        <v>246</v>
      </c>
      <c r="S32" s="22">
        <v>44120.46769675926</v>
      </c>
      <c r="T32" s="22" t="s">
        <v>2222</v>
      </c>
    </row>
    <row r="33" spans="1:20" x14ac:dyDescent="0.25">
      <c r="A33" t="s">
        <v>1371</v>
      </c>
      <c r="B33" t="s">
        <v>1424</v>
      </c>
      <c r="C33" t="s">
        <v>1293</v>
      </c>
      <c r="D33" t="s">
        <v>1293</v>
      </c>
      <c r="E33" t="s">
        <v>1293</v>
      </c>
      <c r="F33" t="s">
        <v>1293</v>
      </c>
      <c r="G33" t="s">
        <v>1293</v>
      </c>
      <c r="H33" t="s">
        <v>1293</v>
      </c>
      <c r="I33" t="s">
        <v>1293</v>
      </c>
      <c r="J33" t="s">
        <v>1293</v>
      </c>
      <c r="K33" t="s">
        <v>1293</v>
      </c>
      <c r="L33" t="s">
        <v>1293</v>
      </c>
      <c r="M33" t="s">
        <v>1293</v>
      </c>
      <c r="N33" t="s">
        <v>1293</v>
      </c>
      <c r="O33" t="s">
        <v>1293</v>
      </c>
      <c r="P33" t="s">
        <v>1293</v>
      </c>
      <c r="Q33" t="s">
        <v>1293</v>
      </c>
      <c r="R33" t="s">
        <v>1293</v>
      </c>
      <c r="S33" t="s">
        <v>1293</v>
      </c>
      <c r="T33" s="21" t="s">
        <v>2220</v>
      </c>
    </row>
    <row r="34" spans="1:20" x14ac:dyDescent="0.25">
      <c r="A34" t="s">
        <v>1371</v>
      </c>
      <c r="B34" t="s">
        <v>1039</v>
      </c>
      <c r="C34">
        <v>11</v>
      </c>
      <c r="D34" t="s">
        <v>1041</v>
      </c>
      <c r="E34" s="22">
        <v>43466</v>
      </c>
      <c r="F34" t="s">
        <v>1378</v>
      </c>
      <c r="G34">
        <v>4</v>
      </c>
      <c r="H34" t="s">
        <v>1425</v>
      </c>
      <c r="I34" t="s">
        <v>1299</v>
      </c>
      <c r="J34">
        <v>1234</v>
      </c>
      <c r="K34" t="s">
        <v>1426</v>
      </c>
      <c r="L34" t="s">
        <v>1301</v>
      </c>
      <c r="M34" t="s">
        <v>1324</v>
      </c>
      <c r="N34" s="22">
        <v>44120</v>
      </c>
      <c r="O34" t="s">
        <v>1303</v>
      </c>
      <c r="P34">
        <v>123456</v>
      </c>
      <c r="Q34" t="s">
        <v>1317</v>
      </c>
      <c r="R34" t="s">
        <v>246</v>
      </c>
      <c r="S34" s="22">
        <v>44120.472546296296</v>
      </c>
      <c r="T34" s="22" t="s">
        <v>2222</v>
      </c>
    </row>
    <row r="35" spans="1:20" x14ac:dyDescent="0.25">
      <c r="A35" t="s">
        <v>1371</v>
      </c>
      <c r="B35" t="s">
        <v>734</v>
      </c>
      <c r="C35">
        <v>11</v>
      </c>
      <c r="D35" t="s">
        <v>736</v>
      </c>
      <c r="E35" s="22">
        <v>43466</v>
      </c>
      <c r="F35" t="s">
        <v>1427</v>
      </c>
      <c r="G35">
        <v>4</v>
      </c>
      <c r="H35" t="s">
        <v>1428</v>
      </c>
      <c r="I35" t="s">
        <v>1299</v>
      </c>
      <c r="J35">
        <v>1234</v>
      </c>
      <c r="K35" t="s">
        <v>1355</v>
      </c>
      <c r="L35" t="s">
        <v>1301</v>
      </c>
      <c r="M35" t="s">
        <v>1302</v>
      </c>
      <c r="N35" s="22">
        <v>44120</v>
      </c>
      <c r="O35" t="s">
        <v>1303</v>
      </c>
      <c r="P35">
        <v>123456</v>
      </c>
      <c r="Q35" t="s">
        <v>1312</v>
      </c>
      <c r="R35" t="s">
        <v>246</v>
      </c>
      <c r="S35" s="22">
        <v>44120.473796296297</v>
      </c>
      <c r="T35" s="22" t="s">
        <v>2222</v>
      </c>
    </row>
    <row r="36" spans="1:20" x14ac:dyDescent="0.25">
      <c r="A36" t="s">
        <v>1371</v>
      </c>
      <c r="B36" t="s">
        <v>1429</v>
      </c>
      <c r="C36">
        <v>11</v>
      </c>
      <c r="D36" t="s">
        <v>1430</v>
      </c>
      <c r="E36" s="22">
        <v>43466</v>
      </c>
      <c r="F36" t="s">
        <v>1378</v>
      </c>
      <c r="G36">
        <v>4</v>
      </c>
      <c r="H36" t="s">
        <v>1431</v>
      </c>
      <c r="I36" t="s">
        <v>1299</v>
      </c>
      <c r="J36" t="s">
        <v>1432</v>
      </c>
      <c r="K36" t="s">
        <v>1381</v>
      </c>
      <c r="L36" t="s">
        <v>1301</v>
      </c>
      <c r="M36" t="s">
        <v>1302</v>
      </c>
      <c r="N36" s="22">
        <v>44120</v>
      </c>
      <c r="O36" t="s">
        <v>1303</v>
      </c>
      <c r="P36">
        <v>123456</v>
      </c>
      <c r="Q36" t="s">
        <v>1317</v>
      </c>
      <c r="R36" t="s">
        <v>246</v>
      </c>
      <c r="S36" s="22">
        <v>44120.474259259259</v>
      </c>
      <c r="T36" s="22" t="s">
        <v>2222</v>
      </c>
    </row>
    <row r="37" spans="1:20" x14ac:dyDescent="0.25">
      <c r="A37" t="s">
        <v>1371</v>
      </c>
      <c r="B37" t="s">
        <v>1433</v>
      </c>
      <c r="C37">
        <v>11</v>
      </c>
      <c r="D37" t="s">
        <v>1434</v>
      </c>
      <c r="E37" s="22">
        <v>43466</v>
      </c>
      <c r="F37" t="s">
        <v>1378</v>
      </c>
      <c r="G37">
        <v>3</v>
      </c>
      <c r="H37" t="s">
        <v>1435</v>
      </c>
      <c r="I37" t="s">
        <v>1436</v>
      </c>
      <c r="J37">
        <v>1234</v>
      </c>
      <c r="K37" t="s">
        <v>1437</v>
      </c>
      <c r="L37" t="s">
        <v>1301</v>
      </c>
      <c r="M37" t="s">
        <v>1302</v>
      </c>
      <c r="N37" s="22">
        <v>44120</v>
      </c>
      <c r="O37" t="s">
        <v>1303</v>
      </c>
      <c r="P37">
        <v>123456</v>
      </c>
      <c r="Q37" t="s">
        <v>1317</v>
      </c>
      <c r="R37" t="s">
        <v>246</v>
      </c>
      <c r="S37" s="22">
        <v>44131.569907407407</v>
      </c>
      <c r="T37" s="22" t="s">
        <v>2222</v>
      </c>
    </row>
    <row r="38" spans="1:20" x14ac:dyDescent="0.25">
      <c r="A38" t="s">
        <v>1438</v>
      </c>
      <c r="B38" t="s">
        <v>1439</v>
      </c>
      <c r="C38">
        <v>12</v>
      </c>
      <c r="D38" t="s">
        <v>1440</v>
      </c>
      <c r="E38" s="22">
        <v>43731</v>
      </c>
      <c r="F38" t="s">
        <v>1297</v>
      </c>
      <c r="G38">
        <v>4</v>
      </c>
      <c r="H38" t="s">
        <v>1441</v>
      </c>
      <c r="I38" t="s">
        <v>1442</v>
      </c>
      <c r="J38" t="s">
        <v>1443</v>
      </c>
      <c r="K38" t="s">
        <v>1444</v>
      </c>
      <c r="L38" t="s">
        <v>1323</v>
      </c>
      <c r="M38" t="s">
        <v>1324</v>
      </c>
      <c r="N38" s="22">
        <v>44120</v>
      </c>
      <c r="O38" t="s">
        <v>1303</v>
      </c>
      <c r="P38">
        <v>123456</v>
      </c>
      <c r="Q38" t="s">
        <v>1312</v>
      </c>
      <c r="R38" t="s">
        <v>246</v>
      </c>
      <c r="S38" s="22">
        <v>44120.496203703704</v>
      </c>
      <c r="T38" s="22" t="s">
        <v>2222</v>
      </c>
    </row>
    <row r="39" spans="1:20" x14ac:dyDescent="0.25">
      <c r="A39" t="s">
        <v>1438</v>
      </c>
      <c r="B39" t="s">
        <v>1445</v>
      </c>
      <c r="C39">
        <v>12</v>
      </c>
      <c r="D39" t="s">
        <v>1446</v>
      </c>
      <c r="E39" s="22">
        <v>43749</v>
      </c>
      <c r="F39" t="s">
        <v>1297</v>
      </c>
      <c r="G39">
        <v>4</v>
      </c>
      <c r="H39" t="s">
        <v>1447</v>
      </c>
      <c r="I39" t="s">
        <v>1299</v>
      </c>
      <c r="J39" t="s">
        <v>1299</v>
      </c>
      <c r="K39" t="s">
        <v>1355</v>
      </c>
      <c r="L39" t="s">
        <v>1301</v>
      </c>
      <c r="M39" t="s">
        <v>1302</v>
      </c>
      <c r="N39" s="22">
        <v>44120</v>
      </c>
      <c r="O39" t="s">
        <v>1303</v>
      </c>
      <c r="P39">
        <v>123456</v>
      </c>
      <c r="Q39" t="s">
        <v>1448</v>
      </c>
      <c r="R39" t="s">
        <v>246</v>
      </c>
      <c r="S39" s="22">
        <v>44120.484780092593</v>
      </c>
      <c r="T39" s="22" t="s">
        <v>2222</v>
      </c>
    </row>
    <row r="40" spans="1:20" x14ac:dyDescent="0.25">
      <c r="A40" t="s">
        <v>1438</v>
      </c>
      <c r="B40" t="s">
        <v>1449</v>
      </c>
      <c r="C40">
        <v>12</v>
      </c>
      <c r="D40" t="s">
        <v>1450</v>
      </c>
      <c r="E40" s="22">
        <v>43466</v>
      </c>
      <c r="F40" t="s">
        <v>1378</v>
      </c>
      <c r="G40">
        <v>4</v>
      </c>
      <c r="H40" t="s">
        <v>1451</v>
      </c>
      <c r="I40" t="s">
        <v>1299</v>
      </c>
      <c r="J40" t="s">
        <v>1452</v>
      </c>
      <c r="K40" t="s">
        <v>1453</v>
      </c>
      <c r="L40" t="s">
        <v>1323</v>
      </c>
      <c r="M40" t="s">
        <v>1302</v>
      </c>
      <c r="N40" s="22">
        <v>44120</v>
      </c>
      <c r="O40" t="s">
        <v>1303</v>
      </c>
      <c r="P40">
        <v>123456</v>
      </c>
      <c r="Q40" t="s">
        <v>1317</v>
      </c>
      <c r="R40" t="s">
        <v>246</v>
      </c>
      <c r="S40" s="22">
        <v>44120.496724537035</v>
      </c>
      <c r="T40" s="22" t="s">
        <v>2222</v>
      </c>
    </row>
    <row r="41" spans="1:20" x14ac:dyDescent="0.25">
      <c r="A41" t="s">
        <v>1438</v>
      </c>
      <c r="B41" t="s">
        <v>424</v>
      </c>
      <c r="C41">
        <v>12</v>
      </c>
      <c r="D41" t="s">
        <v>426</v>
      </c>
      <c r="E41" s="22">
        <v>43466</v>
      </c>
      <c r="F41" t="s">
        <v>1378</v>
      </c>
      <c r="G41">
        <v>4</v>
      </c>
      <c r="H41" t="s">
        <v>1454</v>
      </c>
      <c r="I41" t="s">
        <v>1299</v>
      </c>
      <c r="J41" t="s">
        <v>1455</v>
      </c>
      <c r="K41" t="s">
        <v>1381</v>
      </c>
      <c r="L41" t="s">
        <v>1301</v>
      </c>
      <c r="M41" t="s">
        <v>1302</v>
      </c>
      <c r="N41" s="22">
        <v>44120</v>
      </c>
      <c r="O41" t="s">
        <v>1303</v>
      </c>
      <c r="P41">
        <v>123456</v>
      </c>
      <c r="Q41" t="s">
        <v>1304</v>
      </c>
      <c r="R41" t="s">
        <v>246</v>
      </c>
      <c r="S41" s="22">
        <v>44120.491041666668</v>
      </c>
      <c r="T41" s="22" t="s">
        <v>2222</v>
      </c>
    </row>
    <row r="42" spans="1:20" x14ac:dyDescent="0.25">
      <c r="A42" t="s">
        <v>1438</v>
      </c>
      <c r="B42" t="s">
        <v>1456</v>
      </c>
      <c r="C42">
        <v>12</v>
      </c>
      <c r="D42" t="s">
        <v>1457</v>
      </c>
      <c r="E42" s="22">
        <v>43466</v>
      </c>
      <c r="F42" t="s">
        <v>1378</v>
      </c>
      <c r="G42">
        <v>4</v>
      </c>
      <c r="H42" t="s">
        <v>1458</v>
      </c>
      <c r="I42" t="s">
        <v>1299</v>
      </c>
      <c r="J42">
        <v>1234</v>
      </c>
      <c r="K42" t="s">
        <v>1459</v>
      </c>
      <c r="L42" t="s">
        <v>1323</v>
      </c>
      <c r="M42" t="s">
        <v>1324</v>
      </c>
      <c r="N42" s="22">
        <v>44120</v>
      </c>
      <c r="O42" t="s">
        <v>1303</v>
      </c>
      <c r="P42">
        <v>123456</v>
      </c>
      <c r="Q42" t="s">
        <v>1460</v>
      </c>
      <c r="R42" t="s">
        <v>246</v>
      </c>
      <c r="S42" s="22">
        <v>44120.495740740742</v>
      </c>
      <c r="T42" s="22" t="s">
        <v>2222</v>
      </c>
    </row>
    <row r="43" spans="1:20" x14ac:dyDescent="0.25">
      <c r="A43" t="s">
        <v>1438</v>
      </c>
      <c r="B43" t="s">
        <v>1461</v>
      </c>
      <c r="C43">
        <v>12</v>
      </c>
      <c r="D43" t="s">
        <v>1462</v>
      </c>
      <c r="E43" s="22">
        <v>43466</v>
      </c>
      <c r="F43" t="s">
        <v>1378</v>
      </c>
      <c r="G43">
        <v>3</v>
      </c>
      <c r="H43" t="s">
        <v>1463</v>
      </c>
      <c r="I43" t="s">
        <v>1299</v>
      </c>
      <c r="J43">
        <v>4823423646190</v>
      </c>
      <c r="K43" t="s">
        <v>1381</v>
      </c>
      <c r="L43" t="s">
        <v>1301</v>
      </c>
      <c r="M43" t="s">
        <v>1302</v>
      </c>
      <c r="N43" s="22">
        <v>44120</v>
      </c>
      <c r="O43" t="s">
        <v>1303</v>
      </c>
      <c r="P43">
        <v>123456</v>
      </c>
      <c r="Q43" t="s">
        <v>1312</v>
      </c>
      <c r="R43" t="s">
        <v>246</v>
      </c>
      <c r="S43" s="22">
        <v>44120.491562499999</v>
      </c>
      <c r="T43" s="22" t="s">
        <v>2222</v>
      </c>
    </row>
    <row r="44" spans="1:20" x14ac:dyDescent="0.25">
      <c r="A44" t="s">
        <v>1438</v>
      </c>
      <c r="B44" t="s">
        <v>1251</v>
      </c>
      <c r="C44">
        <v>12</v>
      </c>
      <c r="D44" t="s">
        <v>1253</v>
      </c>
      <c r="E44" s="22">
        <v>43466</v>
      </c>
      <c r="F44" t="s">
        <v>1320</v>
      </c>
      <c r="G44">
        <v>4</v>
      </c>
      <c r="H44" t="s">
        <v>1464</v>
      </c>
      <c r="I44" t="s">
        <v>1299</v>
      </c>
      <c r="J44">
        <v>1234</v>
      </c>
      <c r="K44" t="s">
        <v>1465</v>
      </c>
      <c r="L44" t="s">
        <v>1301</v>
      </c>
      <c r="M44" t="s">
        <v>1302</v>
      </c>
      <c r="N44" s="22">
        <v>44120</v>
      </c>
      <c r="O44" t="s">
        <v>1303</v>
      </c>
      <c r="P44">
        <v>123456</v>
      </c>
      <c r="Q44" t="s">
        <v>1312</v>
      </c>
      <c r="R44" t="s">
        <v>246</v>
      </c>
      <c r="S44" s="22">
        <v>44120.496377314812</v>
      </c>
      <c r="T44" s="22" t="s">
        <v>2222</v>
      </c>
    </row>
    <row r="45" spans="1:20" x14ac:dyDescent="0.25">
      <c r="A45" t="s">
        <v>1438</v>
      </c>
      <c r="B45" t="s">
        <v>1466</v>
      </c>
      <c r="C45">
        <v>12</v>
      </c>
      <c r="D45" t="s">
        <v>1467</v>
      </c>
      <c r="E45" s="22">
        <v>43466</v>
      </c>
      <c r="F45" t="s">
        <v>1378</v>
      </c>
      <c r="G45">
        <v>4</v>
      </c>
      <c r="H45" t="s">
        <v>1468</v>
      </c>
      <c r="I45" t="s">
        <v>1299</v>
      </c>
      <c r="J45">
        <v>1234</v>
      </c>
      <c r="K45" t="s">
        <v>1355</v>
      </c>
      <c r="L45" t="s">
        <v>1301</v>
      </c>
      <c r="M45" t="s">
        <v>1302</v>
      </c>
      <c r="N45" s="22">
        <v>44120</v>
      </c>
      <c r="O45" t="s">
        <v>1303</v>
      </c>
      <c r="P45">
        <v>123456</v>
      </c>
      <c r="Q45" t="s">
        <v>1317</v>
      </c>
      <c r="R45" t="s">
        <v>246</v>
      </c>
      <c r="S45" s="22">
        <v>44120.489791666667</v>
      </c>
      <c r="T45" s="22" t="s">
        <v>2222</v>
      </c>
    </row>
    <row r="46" spans="1:20" x14ac:dyDescent="0.25">
      <c r="A46" t="s">
        <v>1438</v>
      </c>
      <c r="B46" t="s">
        <v>1469</v>
      </c>
      <c r="C46">
        <v>12</v>
      </c>
      <c r="D46" t="s">
        <v>1470</v>
      </c>
      <c r="E46" s="22">
        <v>43466</v>
      </c>
      <c r="F46" t="s">
        <v>1378</v>
      </c>
      <c r="G46">
        <v>4</v>
      </c>
      <c r="H46" t="s">
        <v>1471</v>
      </c>
      <c r="I46" t="s">
        <v>1299</v>
      </c>
      <c r="J46">
        <v>1234</v>
      </c>
      <c r="K46" t="s">
        <v>1472</v>
      </c>
      <c r="L46" t="s">
        <v>1301</v>
      </c>
      <c r="M46" t="s">
        <v>1324</v>
      </c>
      <c r="N46" s="22">
        <v>44120</v>
      </c>
      <c r="O46" t="s">
        <v>1303</v>
      </c>
      <c r="P46">
        <v>123456</v>
      </c>
      <c r="Q46" t="s">
        <v>1312</v>
      </c>
      <c r="R46" t="s">
        <v>246</v>
      </c>
      <c r="S46" s="22">
        <v>44120.495300925926</v>
      </c>
      <c r="T46" s="22" t="s">
        <v>2222</v>
      </c>
    </row>
    <row r="47" spans="1:20" x14ac:dyDescent="0.25">
      <c r="A47" t="s">
        <v>1438</v>
      </c>
      <c r="B47" t="s">
        <v>1473</v>
      </c>
      <c r="C47">
        <v>12</v>
      </c>
      <c r="D47" t="s">
        <v>1474</v>
      </c>
      <c r="E47" s="22">
        <v>43731</v>
      </c>
      <c r="F47" t="s">
        <v>1297</v>
      </c>
      <c r="G47">
        <v>4</v>
      </c>
      <c r="H47" t="s">
        <v>1475</v>
      </c>
      <c r="I47" t="s">
        <v>1476</v>
      </c>
      <c r="J47" t="s">
        <v>1477</v>
      </c>
      <c r="K47" t="s">
        <v>1478</v>
      </c>
      <c r="L47" t="s">
        <v>1301</v>
      </c>
      <c r="M47" t="s">
        <v>1324</v>
      </c>
      <c r="N47" s="22">
        <v>44120</v>
      </c>
      <c r="O47" t="s">
        <v>1303</v>
      </c>
      <c r="P47">
        <v>123456</v>
      </c>
      <c r="Q47" t="s">
        <v>1312</v>
      </c>
      <c r="R47" t="s">
        <v>246</v>
      </c>
      <c r="S47" s="22">
        <v>44120.490347222221</v>
      </c>
      <c r="T47" s="22" t="s">
        <v>2222</v>
      </c>
    </row>
    <row r="48" spans="1:20" x14ac:dyDescent="0.25">
      <c r="A48" t="s">
        <v>1438</v>
      </c>
      <c r="B48" t="s">
        <v>1093</v>
      </c>
      <c r="C48">
        <v>12</v>
      </c>
      <c r="D48" t="s">
        <v>1095</v>
      </c>
      <c r="E48" s="22">
        <v>43731</v>
      </c>
      <c r="F48" t="s">
        <v>1297</v>
      </c>
      <c r="G48">
        <v>4</v>
      </c>
      <c r="H48" t="s">
        <v>1479</v>
      </c>
      <c r="I48" t="s">
        <v>1299</v>
      </c>
      <c r="J48" t="s">
        <v>1480</v>
      </c>
      <c r="K48" t="s">
        <v>1381</v>
      </c>
      <c r="L48" t="s">
        <v>1301</v>
      </c>
      <c r="M48" t="s">
        <v>1302</v>
      </c>
      <c r="N48" s="22">
        <v>44120</v>
      </c>
      <c r="O48" t="s">
        <v>1303</v>
      </c>
      <c r="P48">
        <v>123456</v>
      </c>
      <c r="Q48" t="s">
        <v>1317</v>
      </c>
      <c r="R48" t="s">
        <v>246</v>
      </c>
      <c r="S48" s="22">
        <v>44120.488668981481</v>
      </c>
      <c r="T48" s="22" t="s">
        <v>2222</v>
      </c>
    </row>
    <row r="49" spans="1:20" x14ac:dyDescent="0.25">
      <c r="A49" t="s">
        <v>1438</v>
      </c>
      <c r="B49" t="s">
        <v>1481</v>
      </c>
      <c r="C49">
        <v>12</v>
      </c>
      <c r="D49" t="s">
        <v>1482</v>
      </c>
      <c r="E49" s="22">
        <v>43466</v>
      </c>
      <c r="F49" t="s">
        <v>1378</v>
      </c>
      <c r="G49">
        <v>3</v>
      </c>
      <c r="H49" t="s">
        <v>1483</v>
      </c>
      <c r="I49" t="s">
        <v>1299</v>
      </c>
      <c r="J49">
        <v>1234</v>
      </c>
      <c r="K49" t="s">
        <v>1484</v>
      </c>
      <c r="L49" t="s">
        <v>1323</v>
      </c>
      <c r="M49" t="s">
        <v>1324</v>
      </c>
      <c r="N49" s="22">
        <v>44120</v>
      </c>
      <c r="O49" t="s">
        <v>1303</v>
      </c>
      <c r="P49">
        <v>123456</v>
      </c>
      <c r="Q49" t="s">
        <v>1312</v>
      </c>
      <c r="R49" t="s">
        <v>246</v>
      </c>
      <c r="S49" s="22">
        <v>44120.49590277778</v>
      </c>
      <c r="T49" s="22" t="s">
        <v>2222</v>
      </c>
    </row>
    <row r="50" spans="1:20" x14ac:dyDescent="0.25">
      <c r="A50" t="s">
        <v>1485</v>
      </c>
      <c r="B50" t="s">
        <v>1486</v>
      </c>
      <c r="C50">
        <v>16</v>
      </c>
      <c r="D50" t="s">
        <v>1487</v>
      </c>
      <c r="E50" s="22">
        <v>43729</v>
      </c>
      <c r="F50" t="s">
        <v>1297</v>
      </c>
      <c r="G50">
        <v>3</v>
      </c>
      <c r="H50" t="s">
        <v>1488</v>
      </c>
      <c r="I50" t="s">
        <v>1299</v>
      </c>
      <c r="J50" t="s">
        <v>1299</v>
      </c>
      <c r="K50" t="s">
        <v>1489</v>
      </c>
      <c r="L50" t="s">
        <v>1323</v>
      </c>
      <c r="M50" t="s">
        <v>1324</v>
      </c>
      <c r="N50" s="22">
        <v>44120</v>
      </c>
      <c r="O50" t="s">
        <v>1303</v>
      </c>
      <c r="P50">
        <v>123456</v>
      </c>
      <c r="Q50" t="s">
        <v>1448</v>
      </c>
      <c r="R50" t="s">
        <v>246</v>
      </c>
      <c r="S50" s="22">
        <v>44120.498425925929</v>
      </c>
      <c r="T50" s="22" t="s">
        <v>2222</v>
      </c>
    </row>
    <row r="51" spans="1:20" x14ac:dyDescent="0.25">
      <c r="A51" t="s">
        <v>1485</v>
      </c>
      <c r="B51" t="s">
        <v>1490</v>
      </c>
      <c r="C51">
        <v>16</v>
      </c>
      <c r="D51" t="s">
        <v>1491</v>
      </c>
      <c r="E51" s="22">
        <v>43729</v>
      </c>
      <c r="F51" t="s">
        <v>1492</v>
      </c>
      <c r="G51">
        <v>4</v>
      </c>
      <c r="H51" t="s">
        <v>1493</v>
      </c>
      <c r="I51" t="s">
        <v>1494</v>
      </c>
      <c r="J51" t="s">
        <v>1299</v>
      </c>
      <c r="K51" t="s">
        <v>1495</v>
      </c>
      <c r="L51" t="s">
        <v>1323</v>
      </c>
      <c r="M51" t="s">
        <v>1496</v>
      </c>
      <c r="N51" s="22">
        <v>44120</v>
      </c>
      <c r="O51" t="s">
        <v>1303</v>
      </c>
      <c r="P51">
        <v>123456</v>
      </c>
      <c r="Q51" t="s">
        <v>1497</v>
      </c>
      <c r="R51" t="s">
        <v>246</v>
      </c>
      <c r="S51" s="22">
        <v>44120.67287037037</v>
      </c>
      <c r="T51" s="22" t="s">
        <v>2222</v>
      </c>
    </row>
    <row r="52" spans="1:20" x14ac:dyDescent="0.25">
      <c r="A52" t="s">
        <v>1485</v>
      </c>
      <c r="B52" t="s">
        <v>1498</v>
      </c>
      <c r="C52">
        <v>16</v>
      </c>
      <c r="D52" t="s">
        <v>1499</v>
      </c>
      <c r="E52" s="22">
        <v>43831</v>
      </c>
      <c r="F52" t="s">
        <v>1307</v>
      </c>
      <c r="G52">
        <v>4</v>
      </c>
      <c r="H52" t="s">
        <v>1500</v>
      </c>
      <c r="I52" t="s">
        <v>1501</v>
      </c>
      <c r="J52" t="s">
        <v>1310</v>
      </c>
      <c r="K52" t="s">
        <v>1502</v>
      </c>
      <c r="L52" t="s">
        <v>1301</v>
      </c>
      <c r="M52" t="s">
        <v>1324</v>
      </c>
      <c r="N52" s="22">
        <v>44120</v>
      </c>
      <c r="O52" t="s">
        <v>1303</v>
      </c>
      <c r="P52">
        <v>123456</v>
      </c>
      <c r="Q52" t="s">
        <v>1312</v>
      </c>
      <c r="R52" t="s">
        <v>246</v>
      </c>
      <c r="S52" s="22">
        <v>44120.549421296295</v>
      </c>
      <c r="T52" s="22" t="s">
        <v>2222</v>
      </c>
    </row>
    <row r="53" spans="1:20" x14ac:dyDescent="0.25">
      <c r="A53" t="s">
        <v>1485</v>
      </c>
      <c r="B53" t="s">
        <v>1503</v>
      </c>
      <c r="C53">
        <v>16</v>
      </c>
      <c r="D53" t="s">
        <v>1504</v>
      </c>
      <c r="E53" s="22">
        <v>43831</v>
      </c>
      <c r="F53" t="s">
        <v>1307</v>
      </c>
      <c r="G53">
        <v>4</v>
      </c>
      <c r="H53" t="s">
        <v>1505</v>
      </c>
      <c r="I53" t="s">
        <v>1506</v>
      </c>
      <c r="J53" t="s">
        <v>1507</v>
      </c>
      <c r="K53" t="s">
        <v>1508</v>
      </c>
      <c r="L53" t="s">
        <v>1323</v>
      </c>
      <c r="M53" t="s">
        <v>1509</v>
      </c>
      <c r="N53" s="22">
        <v>44120</v>
      </c>
      <c r="O53" t="s">
        <v>1303</v>
      </c>
      <c r="P53">
        <v>123456</v>
      </c>
      <c r="Q53" t="s">
        <v>1510</v>
      </c>
      <c r="R53" t="s">
        <v>246</v>
      </c>
      <c r="S53" s="22">
        <v>44120.673402777778</v>
      </c>
      <c r="T53" s="22" t="s">
        <v>2222</v>
      </c>
    </row>
    <row r="54" spans="1:20" x14ac:dyDescent="0.25">
      <c r="A54" t="s">
        <v>1485</v>
      </c>
      <c r="B54" t="s">
        <v>1511</v>
      </c>
      <c r="C54">
        <v>16</v>
      </c>
      <c r="D54" t="s">
        <v>1512</v>
      </c>
      <c r="E54" s="22">
        <v>43729</v>
      </c>
      <c r="F54" t="s">
        <v>1297</v>
      </c>
      <c r="G54">
        <v>4</v>
      </c>
      <c r="H54" t="s">
        <v>1513</v>
      </c>
      <c r="I54" t="s">
        <v>1299</v>
      </c>
      <c r="J54" t="s">
        <v>1299</v>
      </c>
      <c r="K54" t="s">
        <v>1331</v>
      </c>
      <c r="L54" t="s">
        <v>1323</v>
      </c>
      <c r="M54" t="s">
        <v>1324</v>
      </c>
      <c r="N54" s="22">
        <v>44120</v>
      </c>
      <c r="O54" t="s">
        <v>1303</v>
      </c>
      <c r="P54">
        <v>123456</v>
      </c>
      <c r="Q54" t="s">
        <v>1312</v>
      </c>
      <c r="R54" t="s">
        <v>246</v>
      </c>
      <c r="S54" s="22">
        <v>44120.553136574075</v>
      </c>
      <c r="T54" s="22" t="s">
        <v>2222</v>
      </c>
    </row>
    <row r="55" spans="1:20" x14ac:dyDescent="0.25">
      <c r="A55" t="s">
        <v>1485</v>
      </c>
      <c r="B55" t="s">
        <v>1514</v>
      </c>
      <c r="C55">
        <v>16</v>
      </c>
      <c r="D55" t="s">
        <v>1515</v>
      </c>
      <c r="E55" s="22">
        <v>43729</v>
      </c>
      <c r="F55" t="s">
        <v>1516</v>
      </c>
      <c r="G55">
        <v>4</v>
      </c>
      <c r="H55" t="s">
        <v>1517</v>
      </c>
      <c r="I55" t="s">
        <v>1517</v>
      </c>
      <c r="J55" t="s">
        <v>1517</v>
      </c>
      <c r="K55" t="s">
        <v>1518</v>
      </c>
      <c r="L55" t="s">
        <v>1323</v>
      </c>
      <c r="M55" t="s">
        <v>1324</v>
      </c>
      <c r="N55" s="22">
        <v>44086</v>
      </c>
      <c r="O55" t="s">
        <v>1303</v>
      </c>
      <c r="P55">
        <v>123456</v>
      </c>
      <c r="Q55" t="s">
        <v>1312</v>
      </c>
      <c r="R55" t="s">
        <v>246</v>
      </c>
      <c r="S55" s="22">
        <v>44086.640439814815</v>
      </c>
      <c r="T55" s="22" t="s">
        <v>2222</v>
      </c>
    </row>
    <row r="56" spans="1:20" x14ac:dyDescent="0.25">
      <c r="A56" t="s">
        <v>1485</v>
      </c>
      <c r="B56" t="s">
        <v>57</v>
      </c>
      <c r="C56">
        <v>16</v>
      </c>
      <c r="D56" t="s">
        <v>59</v>
      </c>
      <c r="E56" s="22">
        <v>43729</v>
      </c>
      <c r="F56" t="s">
        <v>1297</v>
      </c>
      <c r="G56">
        <v>3</v>
      </c>
      <c r="H56" t="s">
        <v>1519</v>
      </c>
      <c r="I56" t="s">
        <v>1299</v>
      </c>
      <c r="J56">
        <v>48204123646</v>
      </c>
      <c r="K56" t="s">
        <v>1520</v>
      </c>
      <c r="L56" t="s">
        <v>1323</v>
      </c>
      <c r="M56" t="s">
        <v>1324</v>
      </c>
      <c r="N56" s="22">
        <v>44120</v>
      </c>
      <c r="O56" t="s">
        <v>1303</v>
      </c>
      <c r="P56">
        <v>123456</v>
      </c>
      <c r="Q56" t="s">
        <v>1448</v>
      </c>
      <c r="R56" t="s">
        <v>246</v>
      </c>
      <c r="S56" s="22">
        <v>44120.674189814818</v>
      </c>
      <c r="T56" s="22" t="s">
        <v>2222</v>
      </c>
    </row>
    <row r="57" spans="1:20" x14ac:dyDescent="0.25">
      <c r="A57" t="s">
        <v>1485</v>
      </c>
      <c r="B57" t="s">
        <v>1521</v>
      </c>
      <c r="C57">
        <v>16</v>
      </c>
      <c r="D57" t="s">
        <v>1522</v>
      </c>
      <c r="E57" s="22">
        <v>43729</v>
      </c>
      <c r="F57" t="s">
        <v>1297</v>
      </c>
      <c r="G57">
        <v>3</v>
      </c>
      <c r="H57" t="s">
        <v>1523</v>
      </c>
      <c r="I57" t="s">
        <v>1299</v>
      </c>
      <c r="J57" t="s">
        <v>1524</v>
      </c>
      <c r="K57" t="s">
        <v>1525</v>
      </c>
      <c r="L57" t="s">
        <v>1301</v>
      </c>
      <c r="M57" t="s">
        <v>1324</v>
      </c>
      <c r="N57" s="22">
        <v>44120</v>
      </c>
      <c r="O57" t="s">
        <v>1303</v>
      </c>
      <c r="P57">
        <v>123456</v>
      </c>
      <c r="Q57" t="s">
        <v>1312</v>
      </c>
      <c r="R57" t="s">
        <v>246</v>
      </c>
      <c r="S57" s="22">
        <v>44120.499571759261</v>
      </c>
      <c r="T57" s="22" t="s">
        <v>2222</v>
      </c>
    </row>
    <row r="58" spans="1:20" x14ac:dyDescent="0.25">
      <c r="A58" t="s">
        <v>1485</v>
      </c>
      <c r="B58" t="s">
        <v>1526</v>
      </c>
      <c r="C58">
        <v>16</v>
      </c>
      <c r="D58" t="s">
        <v>1527</v>
      </c>
      <c r="E58" s="22">
        <v>43729</v>
      </c>
      <c r="F58" t="s">
        <v>1297</v>
      </c>
      <c r="G58">
        <v>4</v>
      </c>
      <c r="H58" t="s">
        <v>1528</v>
      </c>
      <c r="I58" t="s">
        <v>1299</v>
      </c>
      <c r="J58" t="s">
        <v>1299</v>
      </c>
      <c r="K58" t="s">
        <v>1529</v>
      </c>
      <c r="L58" t="s">
        <v>1301</v>
      </c>
      <c r="M58" t="s">
        <v>1302</v>
      </c>
      <c r="N58" s="22">
        <v>44121</v>
      </c>
      <c r="O58" t="s">
        <v>1303</v>
      </c>
      <c r="P58">
        <v>123456</v>
      </c>
      <c r="Q58" t="s">
        <v>1312</v>
      </c>
      <c r="R58" t="s">
        <v>246</v>
      </c>
      <c r="S58" s="22">
        <v>44121.540196759262</v>
      </c>
      <c r="T58" s="22" t="s">
        <v>2222</v>
      </c>
    </row>
    <row r="59" spans="1:20" x14ac:dyDescent="0.25">
      <c r="A59" t="s">
        <v>1485</v>
      </c>
      <c r="B59" t="s">
        <v>1530</v>
      </c>
      <c r="C59">
        <v>16</v>
      </c>
      <c r="D59" t="s">
        <v>1531</v>
      </c>
      <c r="E59" s="22">
        <v>43729</v>
      </c>
      <c r="F59" t="s">
        <v>1297</v>
      </c>
      <c r="G59">
        <v>4</v>
      </c>
      <c r="H59" t="s">
        <v>1532</v>
      </c>
      <c r="I59" t="s">
        <v>1299</v>
      </c>
      <c r="J59">
        <v>4824423646</v>
      </c>
      <c r="K59" t="s">
        <v>1381</v>
      </c>
      <c r="L59" t="s">
        <v>1301</v>
      </c>
      <c r="M59" t="s">
        <v>1311</v>
      </c>
      <c r="N59" s="22">
        <v>44120</v>
      </c>
      <c r="O59" t="s">
        <v>1303</v>
      </c>
      <c r="P59">
        <v>123456</v>
      </c>
      <c r="Q59" t="s">
        <v>1366</v>
      </c>
      <c r="R59" t="s">
        <v>246</v>
      </c>
      <c r="S59" s="22">
        <v>44120.500104166669</v>
      </c>
      <c r="T59" s="22" t="s">
        <v>2222</v>
      </c>
    </row>
    <row r="60" spans="1:20" x14ac:dyDescent="0.25">
      <c r="A60" t="s">
        <v>1485</v>
      </c>
      <c r="B60" t="s">
        <v>717</v>
      </c>
      <c r="C60">
        <v>16</v>
      </c>
      <c r="D60" t="s">
        <v>719</v>
      </c>
      <c r="E60" s="22">
        <v>43750</v>
      </c>
      <c r="F60" t="s">
        <v>1297</v>
      </c>
      <c r="G60">
        <v>3</v>
      </c>
      <c r="H60" t="s">
        <v>1533</v>
      </c>
      <c r="I60" t="s">
        <v>1299</v>
      </c>
      <c r="J60">
        <v>4822423646019</v>
      </c>
      <c r="K60" t="s">
        <v>1534</v>
      </c>
      <c r="L60" t="s">
        <v>1301</v>
      </c>
      <c r="M60" t="s">
        <v>1302</v>
      </c>
      <c r="N60" s="22">
        <v>44120</v>
      </c>
      <c r="O60" t="s">
        <v>1303</v>
      </c>
      <c r="P60">
        <v>123456</v>
      </c>
      <c r="Q60" t="s">
        <v>1304</v>
      </c>
      <c r="R60" t="s">
        <v>246</v>
      </c>
      <c r="S60" s="22">
        <v>44120.674687500003</v>
      </c>
      <c r="T60" s="22" t="s">
        <v>2222</v>
      </c>
    </row>
    <row r="61" spans="1:20" x14ac:dyDescent="0.25">
      <c r="A61" t="s">
        <v>1485</v>
      </c>
      <c r="B61" t="s">
        <v>1535</v>
      </c>
      <c r="C61">
        <v>16</v>
      </c>
      <c r="D61" t="s">
        <v>1536</v>
      </c>
      <c r="E61" s="22">
        <v>43729</v>
      </c>
      <c r="F61" t="s">
        <v>1297</v>
      </c>
      <c r="G61">
        <v>3</v>
      </c>
      <c r="H61" t="s">
        <v>1537</v>
      </c>
      <c r="I61" t="s">
        <v>1299</v>
      </c>
      <c r="J61" t="s">
        <v>1299</v>
      </c>
      <c r="K61" t="s">
        <v>1489</v>
      </c>
      <c r="L61" t="s">
        <v>1323</v>
      </c>
      <c r="M61" t="s">
        <v>1324</v>
      </c>
      <c r="N61" s="22">
        <v>44120</v>
      </c>
      <c r="O61" t="s">
        <v>1303</v>
      </c>
      <c r="P61">
        <v>123456</v>
      </c>
      <c r="Q61" t="s">
        <v>1448</v>
      </c>
      <c r="R61" t="s">
        <v>246</v>
      </c>
      <c r="S61" s="22">
        <v>44120.675104166665</v>
      </c>
      <c r="T61" s="22" t="s">
        <v>2222</v>
      </c>
    </row>
    <row r="62" spans="1:20" x14ac:dyDescent="0.25">
      <c r="A62" t="s">
        <v>1485</v>
      </c>
      <c r="B62" t="s">
        <v>1538</v>
      </c>
      <c r="C62">
        <v>16</v>
      </c>
      <c r="D62" t="s">
        <v>1539</v>
      </c>
      <c r="E62" s="22">
        <v>43729</v>
      </c>
      <c r="F62" t="s">
        <v>1297</v>
      </c>
      <c r="G62">
        <v>3</v>
      </c>
      <c r="H62" t="s">
        <v>1540</v>
      </c>
      <c r="I62" t="s">
        <v>1299</v>
      </c>
      <c r="J62" t="s">
        <v>1299</v>
      </c>
      <c r="K62" t="s">
        <v>1489</v>
      </c>
      <c r="L62" t="s">
        <v>1323</v>
      </c>
      <c r="M62" t="s">
        <v>1324</v>
      </c>
      <c r="N62" s="22">
        <v>44120</v>
      </c>
      <c r="O62" t="s">
        <v>1303</v>
      </c>
      <c r="P62">
        <v>123456</v>
      </c>
      <c r="Q62" t="s">
        <v>1366</v>
      </c>
      <c r="R62" t="s">
        <v>246</v>
      </c>
      <c r="S62" s="22">
        <v>44120.675335648149</v>
      </c>
      <c r="T62" s="22" t="s">
        <v>2222</v>
      </c>
    </row>
    <row r="63" spans="1:20" x14ac:dyDescent="0.25">
      <c r="A63" t="s">
        <v>1485</v>
      </c>
      <c r="B63" t="s">
        <v>1541</v>
      </c>
      <c r="C63">
        <v>16</v>
      </c>
      <c r="D63" t="s">
        <v>1542</v>
      </c>
      <c r="E63" s="22">
        <v>43729</v>
      </c>
      <c r="F63" t="s">
        <v>1297</v>
      </c>
      <c r="G63">
        <v>3</v>
      </c>
      <c r="H63" t="s">
        <v>1543</v>
      </c>
      <c r="I63" t="s">
        <v>1299</v>
      </c>
      <c r="J63" t="s">
        <v>1299</v>
      </c>
      <c r="K63" t="s">
        <v>1544</v>
      </c>
      <c r="L63" t="s">
        <v>1301</v>
      </c>
      <c r="M63" t="s">
        <v>1324</v>
      </c>
      <c r="N63" s="22">
        <v>44120</v>
      </c>
      <c r="O63" t="s">
        <v>1303</v>
      </c>
      <c r="P63">
        <v>123456</v>
      </c>
      <c r="Q63" t="s">
        <v>1366</v>
      </c>
      <c r="R63" t="s">
        <v>246</v>
      </c>
      <c r="S63" s="22">
        <v>44120.552291666667</v>
      </c>
      <c r="T63" s="22" t="s">
        <v>2222</v>
      </c>
    </row>
    <row r="64" spans="1:20" x14ac:dyDescent="0.25">
      <c r="A64" t="s">
        <v>1485</v>
      </c>
      <c r="B64" t="s">
        <v>1545</v>
      </c>
      <c r="C64">
        <v>16</v>
      </c>
      <c r="D64" t="s">
        <v>1546</v>
      </c>
      <c r="E64" s="22">
        <v>43532</v>
      </c>
      <c r="F64" t="s">
        <v>1327</v>
      </c>
      <c r="G64">
        <v>3</v>
      </c>
      <c r="H64" t="s">
        <v>1547</v>
      </c>
      <c r="I64" t="s">
        <v>1299</v>
      </c>
      <c r="J64" t="s">
        <v>1299</v>
      </c>
      <c r="K64" t="s">
        <v>1548</v>
      </c>
      <c r="L64" t="s">
        <v>1323</v>
      </c>
      <c r="M64" t="s">
        <v>1324</v>
      </c>
      <c r="N64" s="22">
        <v>44120</v>
      </c>
      <c r="O64" t="s">
        <v>1303</v>
      </c>
      <c r="P64">
        <v>123456</v>
      </c>
      <c r="Q64" t="s">
        <v>1312</v>
      </c>
      <c r="R64" t="s">
        <v>246</v>
      </c>
      <c r="S64" s="22">
        <v>44120.675567129627</v>
      </c>
      <c r="T64" s="22" t="s">
        <v>2222</v>
      </c>
    </row>
    <row r="65" spans="1:20" x14ac:dyDescent="0.25">
      <c r="A65" t="s">
        <v>1485</v>
      </c>
      <c r="B65" t="s">
        <v>161</v>
      </c>
      <c r="C65">
        <v>16</v>
      </c>
      <c r="D65" t="s">
        <v>163</v>
      </c>
      <c r="E65" s="22">
        <v>43729</v>
      </c>
      <c r="F65" t="s">
        <v>1549</v>
      </c>
      <c r="G65">
        <v>4</v>
      </c>
      <c r="H65" t="s">
        <v>1550</v>
      </c>
      <c r="I65" t="s">
        <v>1299</v>
      </c>
      <c r="J65" t="s">
        <v>1299</v>
      </c>
      <c r="K65" t="s">
        <v>1551</v>
      </c>
      <c r="L65" t="s">
        <v>1323</v>
      </c>
      <c r="M65" t="s">
        <v>1324</v>
      </c>
      <c r="N65" s="22">
        <v>44120</v>
      </c>
      <c r="O65" t="s">
        <v>1303</v>
      </c>
      <c r="P65">
        <v>12345</v>
      </c>
      <c r="Q65" t="s">
        <v>1317</v>
      </c>
      <c r="R65" t="s">
        <v>246</v>
      </c>
      <c r="S65" s="22">
        <v>44120.675856481481</v>
      </c>
      <c r="T65" s="22" t="s">
        <v>2222</v>
      </c>
    </row>
    <row r="66" spans="1:20" x14ac:dyDescent="0.25">
      <c r="A66" t="s">
        <v>1485</v>
      </c>
      <c r="B66" t="s">
        <v>722</v>
      </c>
      <c r="C66">
        <v>16</v>
      </c>
      <c r="D66" t="s">
        <v>724</v>
      </c>
      <c r="E66" s="22">
        <v>44075</v>
      </c>
      <c r="F66" t="s">
        <v>1307</v>
      </c>
      <c r="G66">
        <v>4</v>
      </c>
      <c r="H66" t="s">
        <v>1552</v>
      </c>
      <c r="I66" t="s">
        <v>1553</v>
      </c>
      <c r="J66" t="s">
        <v>1554</v>
      </c>
      <c r="K66" t="s">
        <v>1555</v>
      </c>
      <c r="L66" t="s">
        <v>1323</v>
      </c>
      <c r="M66" t="s">
        <v>1509</v>
      </c>
      <c r="N66" s="22">
        <v>44120</v>
      </c>
      <c r="O66" t="s">
        <v>1303</v>
      </c>
      <c r="P66">
        <v>123456</v>
      </c>
      <c r="Q66" t="s">
        <v>1556</v>
      </c>
      <c r="R66" t="s">
        <v>246</v>
      </c>
      <c r="S66" s="22">
        <v>44120.553912037038</v>
      </c>
      <c r="T66" s="22" t="s">
        <v>2222</v>
      </c>
    </row>
    <row r="67" spans="1:20" x14ac:dyDescent="0.25">
      <c r="A67" t="s">
        <v>1485</v>
      </c>
      <c r="B67" t="s">
        <v>1019</v>
      </c>
      <c r="C67">
        <v>16</v>
      </c>
      <c r="D67" t="s">
        <v>1021</v>
      </c>
      <c r="E67" s="22">
        <v>43532</v>
      </c>
      <c r="F67" t="s">
        <v>1297</v>
      </c>
      <c r="G67">
        <v>4</v>
      </c>
      <c r="H67" t="s">
        <v>1557</v>
      </c>
      <c r="I67" t="s">
        <v>1299</v>
      </c>
      <c r="J67" t="s">
        <v>1299</v>
      </c>
      <c r="K67" t="s">
        <v>1558</v>
      </c>
      <c r="L67" t="s">
        <v>1323</v>
      </c>
      <c r="M67" t="s">
        <v>1324</v>
      </c>
      <c r="N67" s="22">
        <v>44120</v>
      </c>
      <c r="O67" t="s">
        <v>1303</v>
      </c>
      <c r="P67">
        <v>123456</v>
      </c>
      <c r="Q67" t="s">
        <v>1312</v>
      </c>
      <c r="R67" t="s">
        <v>246</v>
      </c>
      <c r="S67" s="22">
        <v>44120.553703703707</v>
      </c>
      <c r="T67" s="22" t="s">
        <v>2222</v>
      </c>
    </row>
    <row r="68" spans="1:20" x14ac:dyDescent="0.25">
      <c r="A68" t="s">
        <v>1485</v>
      </c>
      <c r="B68" t="s">
        <v>1559</v>
      </c>
      <c r="C68">
        <v>16</v>
      </c>
      <c r="D68" t="s">
        <v>1560</v>
      </c>
      <c r="E68" s="22">
        <v>43729</v>
      </c>
      <c r="F68" t="s">
        <v>1297</v>
      </c>
      <c r="G68">
        <v>4</v>
      </c>
      <c r="H68" t="s">
        <v>1561</v>
      </c>
      <c r="I68" t="s">
        <v>1299</v>
      </c>
      <c r="J68" t="s">
        <v>1299</v>
      </c>
      <c r="K68" t="s">
        <v>1562</v>
      </c>
      <c r="L68" t="s">
        <v>1323</v>
      </c>
      <c r="M68" t="s">
        <v>1324</v>
      </c>
      <c r="N68" s="22">
        <v>44120</v>
      </c>
      <c r="O68" t="s">
        <v>1303</v>
      </c>
      <c r="P68">
        <v>123456</v>
      </c>
      <c r="Q68" t="s">
        <v>1366</v>
      </c>
      <c r="R68" t="s">
        <v>246</v>
      </c>
      <c r="S68" s="22">
        <v>44120.553356481483</v>
      </c>
      <c r="T68" s="22" t="s">
        <v>2222</v>
      </c>
    </row>
    <row r="69" spans="1:20" x14ac:dyDescent="0.25">
      <c r="A69" t="s">
        <v>1485</v>
      </c>
      <c r="B69" t="s">
        <v>1563</v>
      </c>
      <c r="C69">
        <v>16</v>
      </c>
      <c r="D69" t="s">
        <v>1564</v>
      </c>
      <c r="E69" s="22">
        <v>43729</v>
      </c>
      <c r="F69" t="s">
        <v>1516</v>
      </c>
      <c r="G69">
        <v>3</v>
      </c>
      <c r="H69" t="s">
        <v>1565</v>
      </c>
      <c r="I69" t="s">
        <v>1299</v>
      </c>
      <c r="J69" t="s">
        <v>1299</v>
      </c>
      <c r="K69" t="s">
        <v>1566</v>
      </c>
      <c r="L69" t="s">
        <v>1301</v>
      </c>
      <c r="M69" t="s">
        <v>1302</v>
      </c>
      <c r="N69" s="22">
        <v>44120</v>
      </c>
      <c r="O69" t="s">
        <v>1303</v>
      </c>
      <c r="P69">
        <v>123456</v>
      </c>
      <c r="Q69" t="s">
        <v>1448</v>
      </c>
      <c r="R69" t="s">
        <v>246</v>
      </c>
      <c r="S69" s="22">
        <v>44120.551388888889</v>
      </c>
      <c r="T69" s="22" t="s">
        <v>2222</v>
      </c>
    </row>
    <row r="70" spans="1:20" x14ac:dyDescent="0.25">
      <c r="A70" t="s">
        <v>1485</v>
      </c>
      <c r="B70" t="s">
        <v>1567</v>
      </c>
      <c r="C70">
        <v>16</v>
      </c>
      <c r="D70" t="s">
        <v>1568</v>
      </c>
      <c r="E70" s="22">
        <v>43729</v>
      </c>
      <c r="F70" t="s">
        <v>1297</v>
      </c>
      <c r="G70">
        <v>4</v>
      </c>
      <c r="H70" t="s">
        <v>1569</v>
      </c>
      <c r="I70" t="s">
        <v>1299</v>
      </c>
      <c r="J70" t="s">
        <v>1299</v>
      </c>
      <c r="K70" t="s">
        <v>1570</v>
      </c>
      <c r="L70" t="s">
        <v>1301</v>
      </c>
      <c r="M70" t="s">
        <v>1324</v>
      </c>
      <c r="N70" s="22">
        <v>44120</v>
      </c>
      <c r="O70" t="s">
        <v>1303</v>
      </c>
      <c r="P70">
        <v>123456</v>
      </c>
      <c r="Q70" t="s">
        <v>1448</v>
      </c>
      <c r="R70" t="s">
        <v>246</v>
      </c>
      <c r="S70" s="22">
        <v>44120.499143518522</v>
      </c>
      <c r="T70" s="22" t="s">
        <v>2222</v>
      </c>
    </row>
    <row r="71" spans="1:20" x14ac:dyDescent="0.25">
      <c r="A71" t="s">
        <v>1571</v>
      </c>
      <c r="B71" t="s">
        <v>1572</v>
      </c>
      <c r="C71">
        <v>20</v>
      </c>
      <c r="D71" t="s">
        <v>1573</v>
      </c>
      <c r="E71" s="22">
        <v>43729</v>
      </c>
      <c r="F71" t="s">
        <v>1297</v>
      </c>
      <c r="G71">
        <v>4</v>
      </c>
      <c r="H71" t="s">
        <v>1574</v>
      </c>
      <c r="I71" t="s">
        <v>1299</v>
      </c>
      <c r="J71" t="s">
        <v>1299</v>
      </c>
      <c r="K71" t="s">
        <v>1575</v>
      </c>
      <c r="L71" t="s">
        <v>1323</v>
      </c>
      <c r="M71" t="s">
        <v>1324</v>
      </c>
      <c r="N71" s="22">
        <v>44123</v>
      </c>
      <c r="O71" t="s">
        <v>1303</v>
      </c>
      <c r="P71">
        <v>123456</v>
      </c>
      <c r="Q71" t="s">
        <v>1312</v>
      </c>
      <c r="R71" t="s">
        <v>246</v>
      </c>
      <c r="S71" s="22">
        <v>44123.472974537035</v>
      </c>
      <c r="T71" s="22" t="s">
        <v>2222</v>
      </c>
    </row>
    <row r="72" spans="1:20" x14ac:dyDescent="0.25">
      <c r="A72" t="s">
        <v>1571</v>
      </c>
      <c r="B72" t="s">
        <v>1576</v>
      </c>
      <c r="C72">
        <v>20</v>
      </c>
      <c r="D72" t="s">
        <v>1577</v>
      </c>
      <c r="E72" s="22">
        <v>43729</v>
      </c>
      <c r="F72" t="s">
        <v>1297</v>
      </c>
      <c r="G72">
        <v>4</v>
      </c>
      <c r="H72" t="s">
        <v>1578</v>
      </c>
      <c r="I72" t="s">
        <v>1480</v>
      </c>
      <c r="J72" t="s">
        <v>1299</v>
      </c>
      <c r="K72" t="s">
        <v>1579</v>
      </c>
      <c r="L72" t="s">
        <v>1323</v>
      </c>
      <c r="M72" t="s">
        <v>1324</v>
      </c>
      <c r="N72" s="22">
        <v>44123</v>
      </c>
      <c r="O72" t="s">
        <v>1303</v>
      </c>
      <c r="P72">
        <v>123456</v>
      </c>
      <c r="Q72" t="s">
        <v>1312</v>
      </c>
      <c r="R72" t="s">
        <v>246</v>
      </c>
      <c r="S72" s="22">
        <v>44123.473287037035</v>
      </c>
      <c r="T72" s="22" t="s">
        <v>2222</v>
      </c>
    </row>
    <row r="73" spans="1:20" x14ac:dyDescent="0.25">
      <c r="A73" t="s">
        <v>1571</v>
      </c>
      <c r="B73" t="s">
        <v>1580</v>
      </c>
      <c r="C73">
        <v>20</v>
      </c>
      <c r="D73" t="s">
        <v>1581</v>
      </c>
      <c r="E73" s="22">
        <v>43729</v>
      </c>
      <c r="F73" t="s">
        <v>1297</v>
      </c>
      <c r="G73">
        <v>3</v>
      </c>
      <c r="H73" t="s">
        <v>1582</v>
      </c>
      <c r="I73" t="s">
        <v>1299</v>
      </c>
      <c r="J73" t="s">
        <v>1299</v>
      </c>
      <c r="K73" t="s">
        <v>1566</v>
      </c>
      <c r="L73" t="s">
        <v>1301</v>
      </c>
      <c r="M73" t="s">
        <v>1302</v>
      </c>
      <c r="N73" s="22">
        <v>44123</v>
      </c>
      <c r="O73" t="s">
        <v>1303</v>
      </c>
      <c r="P73">
        <v>123456</v>
      </c>
      <c r="Q73" t="s">
        <v>1312</v>
      </c>
      <c r="R73" t="s">
        <v>246</v>
      </c>
      <c r="S73" s="22">
        <v>44123.473530092589</v>
      </c>
      <c r="T73" s="22" t="s">
        <v>2222</v>
      </c>
    </row>
    <row r="74" spans="1:20" x14ac:dyDescent="0.25">
      <c r="A74" t="s">
        <v>1571</v>
      </c>
      <c r="B74" t="s">
        <v>1583</v>
      </c>
      <c r="C74">
        <v>20</v>
      </c>
      <c r="D74" t="s">
        <v>1584</v>
      </c>
      <c r="E74" s="22">
        <v>43729</v>
      </c>
      <c r="F74" t="s">
        <v>1297</v>
      </c>
      <c r="G74">
        <v>4</v>
      </c>
      <c r="H74" t="s">
        <v>1585</v>
      </c>
      <c r="I74" t="s">
        <v>1299</v>
      </c>
      <c r="J74">
        <v>4822123646</v>
      </c>
      <c r="K74" t="s">
        <v>1586</v>
      </c>
      <c r="L74" t="s">
        <v>1323</v>
      </c>
      <c r="M74" t="s">
        <v>1324</v>
      </c>
      <c r="N74" s="22">
        <v>44123</v>
      </c>
      <c r="O74" t="s">
        <v>1303</v>
      </c>
      <c r="P74">
        <v>123456</v>
      </c>
      <c r="Q74" t="s">
        <v>1312</v>
      </c>
      <c r="R74" t="s">
        <v>246</v>
      </c>
      <c r="S74" s="22">
        <v>44123.477534722224</v>
      </c>
      <c r="T74" s="22" t="s">
        <v>2222</v>
      </c>
    </row>
    <row r="75" spans="1:20" x14ac:dyDescent="0.25">
      <c r="A75" t="s">
        <v>1571</v>
      </c>
      <c r="B75" t="s">
        <v>1587</v>
      </c>
      <c r="C75">
        <v>20</v>
      </c>
      <c r="D75" t="s">
        <v>1588</v>
      </c>
      <c r="E75" s="22">
        <v>43729</v>
      </c>
      <c r="F75" t="s">
        <v>1297</v>
      </c>
      <c r="G75">
        <v>3</v>
      </c>
      <c r="H75" t="s">
        <v>1589</v>
      </c>
      <c r="I75" t="s">
        <v>1299</v>
      </c>
      <c r="J75" t="s">
        <v>1299</v>
      </c>
      <c r="K75" t="s">
        <v>1590</v>
      </c>
      <c r="L75" t="s">
        <v>1301</v>
      </c>
      <c r="M75" t="s">
        <v>1302</v>
      </c>
      <c r="N75" s="22">
        <v>44123</v>
      </c>
      <c r="O75" t="s">
        <v>1303</v>
      </c>
      <c r="P75">
        <v>123456</v>
      </c>
      <c r="Q75" t="s">
        <v>1312</v>
      </c>
      <c r="R75" t="s">
        <v>246</v>
      </c>
      <c r="S75" s="22">
        <v>44123.477337962962</v>
      </c>
      <c r="T75" s="22" t="s">
        <v>2222</v>
      </c>
    </row>
    <row r="76" spans="1:20" x14ac:dyDescent="0.25">
      <c r="A76" t="s">
        <v>1571</v>
      </c>
      <c r="B76" t="s">
        <v>1591</v>
      </c>
      <c r="C76">
        <v>20</v>
      </c>
      <c r="D76" t="s">
        <v>1592</v>
      </c>
      <c r="E76" s="22">
        <v>43729</v>
      </c>
      <c r="F76" t="s">
        <v>1593</v>
      </c>
      <c r="G76">
        <v>4</v>
      </c>
      <c r="H76" t="s">
        <v>1594</v>
      </c>
      <c r="I76" t="s">
        <v>1299</v>
      </c>
      <c r="J76">
        <v>4821823646</v>
      </c>
      <c r="K76" t="s">
        <v>1575</v>
      </c>
      <c r="L76" t="s">
        <v>1323</v>
      </c>
      <c r="M76" t="s">
        <v>1324</v>
      </c>
      <c r="N76" s="22">
        <v>44123</v>
      </c>
      <c r="O76" t="s">
        <v>1303</v>
      </c>
      <c r="P76">
        <v>123456</v>
      </c>
      <c r="Q76" t="s">
        <v>1312</v>
      </c>
      <c r="R76" t="s">
        <v>246</v>
      </c>
      <c r="S76" s="22">
        <v>44123.477789351855</v>
      </c>
      <c r="T76" s="22" t="s">
        <v>2222</v>
      </c>
    </row>
    <row r="77" spans="1:20" x14ac:dyDescent="0.25">
      <c r="A77" t="s">
        <v>1571</v>
      </c>
      <c r="B77" t="s">
        <v>1595</v>
      </c>
      <c r="C77" t="s">
        <v>1293</v>
      </c>
      <c r="D77" t="s">
        <v>1293</v>
      </c>
      <c r="E77" t="s">
        <v>1293</v>
      </c>
      <c r="F77" t="s">
        <v>1293</v>
      </c>
      <c r="G77" t="s">
        <v>1293</v>
      </c>
      <c r="H77" t="s">
        <v>1293</v>
      </c>
      <c r="I77" t="s">
        <v>1293</v>
      </c>
      <c r="J77" t="s">
        <v>1293</v>
      </c>
      <c r="K77" t="s">
        <v>1293</v>
      </c>
      <c r="L77" t="s">
        <v>1293</v>
      </c>
      <c r="M77" t="s">
        <v>1293</v>
      </c>
      <c r="N77" t="s">
        <v>1293</v>
      </c>
      <c r="O77" t="s">
        <v>1293</v>
      </c>
      <c r="P77" t="s">
        <v>1293</v>
      </c>
      <c r="Q77" t="s">
        <v>1293</v>
      </c>
      <c r="R77" t="s">
        <v>1293</v>
      </c>
      <c r="S77" t="s">
        <v>1293</v>
      </c>
      <c r="T77" s="21" t="s">
        <v>2220</v>
      </c>
    </row>
    <row r="78" spans="1:20" x14ac:dyDescent="0.25">
      <c r="A78" t="s">
        <v>1571</v>
      </c>
      <c r="B78" t="s">
        <v>1596</v>
      </c>
      <c r="C78">
        <v>20</v>
      </c>
      <c r="D78" t="s">
        <v>1597</v>
      </c>
      <c r="E78" s="22">
        <v>43729</v>
      </c>
      <c r="F78" t="s">
        <v>1297</v>
      </c>
      <c r="G78">
        <v>3</v>
      </c>
      <c r="H78" t="s">
        <v>1598</v>
      </c>
      <c r="I78" t="s">
        <v>1299</v>
      </c>
      <c r="J78" t="s">
        <v>1299</v>
      </c>
      <c r="K78" t="s">
        <v>1599</v>
      </c>
      <c r="L78" t="s">
        <v>1301</v>
      </c>
      <c r="M78" t="s">
        <v>1324</v>
      </c>
      <c r="N78" s="22">
        <v>44123</v>
      </c>
      <c r="O78" t="s">
        <v>1303</v>
      </c>
      <c r="P78">
        <v>123456</v>
      </c>
      <c r="Q78" t="s">
        <v>1312</v>
      </c>
      <c r="R78" t="s">
        <v>246</v>
      </c>
      <c r="S78" s="22">
        <v>44123.479212962964</v>
      </c>
      <c r="T78" s="22" t="s">
        <v>2222</v>
      </c>
    </row>
    <row r="79" spans="1:20" x14ac:dyDescent="0.25">
      <c r="A79" t="s">
        <v>1571</v>
      </c>
      <c r="B79" t="s">
        <v>1600</v>
      </c>
      <c r="C79">
        <v>20</v>
      </c>
      <c r="D79" t="s">
        <v>1601</v>
      </c>
      <c r="E79" s="22">
        <v>43729</v>
      </c>
      <c r="F79" t="s">
        <v>1297</v>
      </c>
      <c r="G79">
        <v>3</v>
      </c>
      <c r="H79" t="s">
        <v>1602</v>
      </c>
      <c r="I79" t="s">
        <v>1299</v>
      </c>
      <c r="J79">
        <v>4825323646</v>
      </c>
      <c r="K79" t="s">
        <v>1603</v>
      </c>
      <c r="L79" t="s">
        <v>1301</v>
      </c>
      <c r="M79" t="s">
        <v>1302</v>
      </c>
      <c r="N79" s="22">
        <v>44123</v>
      </c>
      <c r="O79" t="s">
        <v>1303</v>
      </c>
      <c r="P79">
        <v>123456</v>
      </c>
      <c r="Q79" t="s">
        <v>1312</v>
      </c>
      <c r="R79" t="s">
        <v>246</v>
      </c>
      <c r="S79" s="22">
        <v>44123.480787037035</v>
      </c>
      <c r="T79" s="22" t="s">
        <v>2222</v>
      </c>
    </row>
    <row r="80" spans="1:20" x14ac:dyDescent="0.25">
      <c r="A80" t="s">
        <v>1571</v>
      </c>
      <c r="B80" t="s">
        <v>1604</v>
      </c>
      <c r="C80">
        <v>20</v>
      </c>
      <c r="D80" t="s">
        <v>1605</v>
      </c>
      <c r="E80" s="22">
        <v>43615</v>
      </c>
      <c r="F80" t="s">
        <v>1606</v>
      </c>
      <c r="G80">
        <v>4</v>
      </c>
      <c r="H80" t="s">
        <v>1607</v>
      </c>
      <c r="I80" t="s">
        <v>1299</v>
      </c>
      <c r="J80" t="s">
        <v>1299</v>
      </c>
      <c r="K80" t="s">
        <v>1608</v>
      </c>
      <c r="L80" t="s">
        <v>1323</v>
      </c>
      <c r="M80" t="s">
        <v>1324</v>
      </c>
      <c r="N80" s="22">
        <v>44123</v>
      </c>
      <c r="O80" t="s">
        <v>1303</v>
      </c>
      <c r="P80">
        <v>123456</v>
      </c>
      <c r="Q80" t="s">
        <v>1448</v>
      </c>
      <c r="R80" t="s">
        <v>246</v>
      </c>
      <c r="S80" s="22">
        <v>44123.481053240743</v>
      </c>
      <c r="T80" s="22" t="s">
        <v>2222</v>
      </c>
    </row>
    <row r="81" spans="1:20" x14ac:dyDescent="0.25">
      <c r="A81" t="s">
        <v>1571</v>
      </c>
      <c r="B81" t="s">
        <v>1609</v>
      </c>
      <c r="C81">
        <v>20</v>
      </c>
      <c r="D81" t="s">
        <v>1610</v>
      </c>
      <c r="E81" s="22">
        <v>43729</v>
      </c>
      <c r="F81" t="s">
        <v>1297</v>
      </c>
      <c r="G81">
        <v>4</v>
      </c>
      <c r="H81" t="s">
        <v>1611</v>
      </c>
      <c r="I81" t="s">
        <v>1299</v>
      </c>
      <c r="J81">
        <v>48203723646019</v>
      </c>
      <c r="K81" t="s">
        <v>1612</v>
      </c>
      <c r="L81" t="s">
        <v>1301</v>
      </c>
      <c r="M81" t="s">
        <v>1324</v>
      </c>
      <c r="N81" s="22">
        <v>44123</v>
      </c>
      <c r="O81" t="s">
        <v>1303</v>
      </c>
      <c r="P81">
        <v>123456</v>
      </c>
      <c r="Q81" t="s">
        <v>1312</v>
      </c>
      <c r="R81" t="s">
        <v>246</v>
      </c>
      <c r="S81" s="22">
        <v>44123.481273148151</v>
      </c>
      <c r="T81" s="22" t="s">
        <v>2222</v>
      </c>
    </row>
    <row r="82" spans="1:20" x14ac:dyDescent="0.25">
      <c r="A82" t="s">
        <v>1571</v>
      </c>
      <c r="B82" t="s">
        <v>1613</v>
      </c>
      <c r="C82">
        <v>20</v>
      </c>
      <c r="D82" t="s">
        <v>1614</v>
      </c>
      <c r="E82" s="22">
        <v>44075</v>
      </c>
      <c r="F82" t="s">
        <v>1307</v>
      </c>
      <c r="G82">
        <v>4</v>
      </c>
      <c r="H82" t="s">
        <v>1615</v>
      </c>
      <c r="I82" t="s">
        <v>1616</v>
      </c>
      <c r="J82" t="s">
        <v>1617</v>
      </c>
      <c r="K82" t="s">
        <v>1618</v>
      </c>
      <c r="L82" t="s">
        <v>1323</v>
      </c>
      <c r="M82" t="s">
        <v>1324</v>
      </c>
      <c r="N82" s="22">
        <v>44123</v>
      </c>
      <c r="O82" t="s">
        <v>1303</v>
      </c>
      <c r="P82">
        <v>123456</v>
      </c>
      <c r="Q82" t="s">
        <v>1312</v>
      </c>
      <c r="R82" t="s">
        <v>246</v>
      </c>
      <c r="S82" s="22">
        <v>44123.48238425926</v>
      </c>
      <c r="T82" s="22" t="s">
        <v>2222</v>
      </c>
    </row>
    <row r="83" spans="1:20" x14ac:dyDescent="0.25">
      <c r="A83" t="s">
        <v>1571</v>
      </c>
      <c r="B83" t="s">
        <v>1619</v>
      </c>
      <c r="C83">
        <v>20</v>
      </c>
      <c r="D83" t="s">
        <v>1620</v>
      </c>
      <c r="E83" s="22">
        <v>43729</v>
      </c>
      <c r="F83" t="s">
        <v>1297</v>
      </c>
      <c r="G83">
        <v>4</v>
      </c>
      <c r="H83" t="s">
        <v>1621</v>
      </c>
      <c r="I83" t="s">
        <v>1299</v>
      </c>
      <c r="J83" t="s">
        <v>1299</v>
      </c>
      <c r="K83" t="s">
        <v>1575</v>
      </c>
      <c r="L83" t="s">
        <v>1323</v>
      </c>
      <c r="M83" t="s">
        <v>1324</v>
      </c>
      <c r="N83" s="22">
        <v>44123</v>
      </c>
      <c r="O83" t="s">
        <v>1303</v>
      </c>
      <c r="P83">
        <v>123456</v>
      </c>
      <c r="Q83" t="s">
        <v>1312</v>
      </c>
      <c r="R83" t="s">
        <v>246</v>
      </c>
      <c r="S83" s="22">
        <v>44123.482604166667</v>
      </c>
      <c r="T83" s="22" t="s">
        <v>2222</v>
      </c>
    </row>
    <row r="84" spans="1:20" x14ac:dyDescent="0.25">
      <c r="A84" t="s">
        <v>1571</v>
      </c>
      <c r="B84" t="s">
        <v>1622</v>
      </c>
      <c r="C84">
        <v>20</v>
      </c>
      <c r="D84" t="s">
        <v>1623</v>
      </c>
      <c r="E84" s="22">
        <v>43729</v>
      </c>
      <c r="F84" t="s">
        <v>1297</v>
      </c>
      <c r="G84">
        <v>4</v>
      </c>
      <c r="H84" t="s">
        <v>1624</v>
      </c>
      <c r="I84" t="s">
        <v>1299</v>
      </c>
      <c r="J84" t="s">
        <v>1299</v>
      </c>
      <c r="K84" t="s">
        <v>1625</v>
      </c>
      <c r="L84" t="s">
        <v>1323</v>
      </c>
      <c r="M84" t="s">
        <v>1324</v>
      </c>
      <c r="N84" s="22">
        <v>44123</v>
      </c>
      <c r="O84" t="s">
        <v>1303</v>
      </c>
      <c r="P84">
        <v>123456</v>
      </c>
      <c r="Q84" t="s">
        <v>1312</v>
      </c>
      <c r="R84" t="s">
        <v>246</v>
      </c>
      <c r="S84" s="22">
        <v>44123.482858796298</v>
      </c>
      <c r="T84" s="22" t="s">
        <v>2222</v>
      </c>
    </row>
    <row r="85" spans="1:20" x14ac:dyDescent="0.25">
      <c r="A85" t="s">
        <v>1571</v>
      </c>
      <c r="B85" t="s">
        <v>1626</v>
      </c>
      <c r="C85">
        <v>20</v>
      </c>
      <c r="D85" t="s">
        <v>1627</v>
      </c>
      <c r="E85" s="22">
        <v>43729</v>
      </c>
      <c r="F85" t="s">
        <v>1297</v>
      </c>
      <c r="G85">
        <v>4</v>
      </c>
      <c r="H85" t="s">
        <v>1628</v>
      </c>
      <c r="I85" t="s">
        <v>1299</v>
      </c>
      <c r="J85" t="s">
        <v>1629</v>
      </c>
      <c r="K85" t="s">
        <v>1525</v>
      </c>
      <c r="L85" t="s">
        <v>1301</v>
      </c>
      <c r="M85" t="s">
        <v>1324</v>
      </c>
      <c r="N85" s="22">
        <v>44123</v>
      </c>
      <c r="O85" t="s">
        <v>1303</v>
      </c>
      <c r="P85">
        <v>123456</v>
      </c>
      <c r="Q85" t="s">
        <v>1312</v>
      </c>
      <c r="R85" t="s">
        <v>246</v>
      </c>
      <c r="S85" s="22">
        <v>44123.483518518522</v>
      </c>
      <c r="T85" s="22" t="s">
        <v>2222</v>
      </c>
    </row>
    <row r="86" spans="1:20" x14ac:dyDescent="0.25">
      <c r="A86" t="s">
        <v>1630</v>
      </c>
      <c r="B86" t="s">
        <v>1631</v>
      </c>
      <c r="C86" t="s">
        <v>1293</v>
      </c>
      <c r="D86" t="s">
        <v>1293</v>
      </c>
      <c r="E86" t="s">
        <v>1293</v>
      </c>
      <c r="F86" t="s">
        <v>1293</v>
      </c>
      <c r="G86" t="s">
        <v>1293</v>
      </c>
      <c r="H86" t="s">
        <v>1293</v>
      </c>
      <c r="I86" t="s">
        <v>1293</v>
      </c>
      <c r="J86" t="s">
        <v>1293</v>
      </c>
      <c r="K86" t="s">
        <v>1293</v>
      </c>
      <c r="L86" t="s">
        <v>1293</v>
      </c>
      <c r="M86" t="s">
        <v>1293</v>
      </c>
      <c r="N86" t="s">
        <v>1293</v>
      </c>
      <c r="O86" t="s">
        <v>1293</v>
      </c>
      <c r="P86" t="s">
        <v>1293</v>
      </c>
      <c r="Q86" t="s">
        <v>1293</v>
      </c>
      <c r="R86" t="s">
        <v>1293</v>
      </c>
      <c r="S86" t="s">
        <v>1293</v>
      </c>
      <c r="T86" s="21" t="s">
        <v>2220</v>
      </c>
    </row>
    <row r="87" spans="1:20" x14ac:dyDescent="0.25">
      <c r="A87" t="s">
        <v>1630</v>
      </c>
      <c r="B87" t="s">
        <v>1632</v>
      </c>
      <c r="C87" t="s">
        <v>1293</v>
      </c>
      <c r="D87" t="s">
        <v>1293</v>
      </c>
      <c r="E87" t="s">
        <v>1293</v>
      </c>
      <c r="F87" t="s">
        <v>1293</v>
      </c>
      <c r="G87" t="s">
        <v>1293</v>
      </c>
      <c r="H87" t="s">
        <v>1293</v>
      </c>
      <c r="I87" t="s">
        <v>1293</v>
      </c>
      <c r="J87" t="s">
        <v>1293</v>
      </c>
      <c r="K87" t="s">
        <v>1293</v>
      </c>
      <c r="L87" t="s">
        <v>1293</v>
      </c>
      <c r="M87" t="s">
        <v>1293</v>
      </c>
      <c r="N87" t="s">
        <v>1293</v>
      </c>
      <c r="O87" t="s">
        <v>1293</v>
      </c>
      <c r="P87" t="s">
        <v>1293</v>
      </c>
      <c r="Q87" t="s">
        <v>1293</v>
      </c>
      <c r="R87" t="s">
        <v>1293</v>
      </c>
      <c r="S87" t="s">
        <v>1293</v>
      </c>
      <c r="T87" s="21" t="s">
        <v>2220</v>
      </c>
    </row>
    <row r="88" spans="1:20" x14ac:dyDescent="0.25">
      <c r="A88" t="s">
        <v>1630</v>
      </c>
      <c r="B88" t="s">
        <v>279</v>
      </c>
      <c r="C88" t="s">
        <v>1293</v>
      </c>
      <c r="D88" t="s">
        <v>1293</v>
      </c>
      <c r="E88" t="s">
        <v>1293</v>
      </c>
      <c r="F88" t="s">
        <v>1293</v>
      </c>
      <c r="G88" t="s">
        <v>1293</v>
      </c>
      <c r="H88" t="s">
        <v>1293</v>
      </c>
      <c r="I88" t="s">
        <v>1293</v>
      </c>
      <c r="J88" t="s">
        <v>1293</v>
      </c>
      <c r="K88" t="s">
        <v>1293</v>
      </c>
      <c r="L88" t="s">
        <v>1293</v>
      </c>
      <c r="M88" t="s">
        <v>1293</v>
      </c>
      <c r="N88" t="s">
        <v>1293</v>
      </c>
      <c r="O88" t="s">
        <v>1293</v>
      </c>
      <c r="P88" t="s">
        <v>1293</v>
      </c>
      <c r="Q88" t="s">
        <v>1293</v>
      </c>
      <c r="R88" t="s">
        <v>1293</v>
      </c>
      <c r="S88" t="s">
        <v>1293</v>
      </c>
      <c r="T88" s="21" t="s">
        <v>2220</v>
      </c>
    </row>
    <row r="89" spans="1:20" x14ac:dyDescent="0.25">
      <c r="A89" t="s">
        <v>1630</v>
      </c>
      <c r="B89" t="s">
        <v>1633</v>
      </c>
      <c r="C89" t="s">
        <v>1293</v>
      </c>
      <c r="D89" t="s">
        <v>1293</v>
      </c>
      <c r="E89" t="s">
        <v>1293</v>
      </c>
      <c r="F89" t="s">
        <v>1293</v>
      </c>
      <c r="G89" t="s">
        <v>1293</v>
      </c>
      <c r="H89" t="s">
        <v>1293</v>
      </c>
      <c r="I89" t="s">
        <v>1293</v>
      </c>
      <c r="J89" t="s">
        <v>1293</v>
      </c>
      <c r="K89" t="s">
        <v>1293</v>
      </c>
      <c r="L89" t="s">
        <v>1293</v>
      </c>
      <c r="M89" t="s">
        <v>1293</v>
      </c>
      <c r="N89" t="s">
        <v>1293</v>
      </c>
      <c r="O89" t="s">
        <v>1293</v>
      </c>
      <c r="P89" t="s">
        <v>1293</v>
      </c>
      <c r="Q89" t="s">
        <v>1293</v>
      </c>
      <c r="R89" t="s">
        <v>1293</v>
      </c>
      <c r="S89" t="s">
        <v>1293</v>
      </c>
      <c r="T89" s="21" t="s">
        <v>2220</v>
      </c>
    </row>
    <row r="90" spans="1:20" x14ac:dyDescent="0.25">
      <c r="A90" t="s">
        <v>1630</v>
      </c>
      <c r="B90" t="s">
        <v>1634</v>
      </c>
      <c r="C90" t="s">
        <v>1293</v>
      </c>
      <c r="D90" t="s">
        <v>1293</v>
      </c>
      <c r="E90" t="s">
        <v>1293</v>
      </c>
      <c r="F90" t="s">
        <v>1293</v>
      </c>
      <c r="G90" t="s">
        <v>1293</v>
      </c>
      <c r="H90" t="s">
        <v>1293</v>
      </c>
      <c r="I90" t="s">
        <v>1293</v>
      </c>
      <c r="J90" t="s">
        <v>1293</v>
      </c>
      <c r="K90" t="s">
        <v>1293</v>
      </c>
      <c r="L90" t="s">
        <v>1293</v>
      </c>
      <c r="M90" t="s">
        <v>1293</v>
      </c>
      <c r="N90" t="s">
        <v>1293</v>
      </c>
      <c r="O90" t="s">
        <v>1293</v>
      </c>
      <c r="P90" t="s">
        <v>1293</v>
      </c>
      <c r="Q90" t="s">
        <v>1293</v>
      </c>
      <c r="R90" t="s">
        <v>1293</v>
      </c>
      <c r="S90" t="s">
        <v>1293</v>
      </c>
      <c r="T90" s="21" t="s">
        <v>2220</v>
      </c>
    </row>
    <row r="91" spans="1:20" x14ac:dyDescent="0.25">
      <c r="A91" t="s">
        <v>1630</v>
      </c>
      <c r="B91" t="s">
        <v>1635</v>
      </c>
      <c r="C91" t="s">
        <v>1293</v>
      </c>
      <c r="D91" t="s">
        <v>1293</v>
      </c>
      <c r="E91" t="s">
        <v>1293</v>
      </c>
      <c r="F91" t="s">
        <v>1293</v>
      </c>
      <c r="G91" t="s">
        <v>1293</v>
      </c>
      <c r="H91" t="s">
        <v>1293</v>
      </c>
      <c r="I91" t="s">
        <v>1293</v>
      </c>
      <c r="J91" t="s">
        <v>1293</v>
      </c>
      <c r="K91" t="s">
        <v>1293</v>
      </c>
      <c r="L91" t="s">
        <v>1293</v>
      </c>
      <c r="M91" t="s">
        <v>1293</v>
      </c>
      <c r="N91" t="s">
        <v>1293</v>
      </c>
      <c r="O91" t="s">
        <v>1293</v>
      </c>
      <c r="P91" t="s">
        <v>1293</v>
      </c>
      <c r="Q91" t="s">
        <v>1293</v>
      </c>
      <c r="R91" t="s">
        <v>1293</v>
      </c>
      <c r="S91" t="s">
        <v>1293</v>
      </c>
      <c r="T91" s="21" t="s">
        <v>2220</v>
      </c>
    </row>
    <row r="92" spans="1:20" x14ac:dyDescent="0.25">
      <c r="A92" t="s">
        <v>1630</v>
      </c>
      <c r="B92" t="s">
        <v>1636</v>
      </c>
      <c r="C92" t="s">
        <v>1293</v>
      </c>
      <c r="D92" t="s">
        <v>1293</v>
      </c>
      <c r="E92" t="s">
        <v>1293</v>
      </c>
      <c r="F92" t="s">
        <v>1293</v>
      </c>
      <c r="G92" t="s">
        <v>1293</v>
      </c>
      <c r="H92" t="s">
        <v>1293</v>
      </c>
      <c r="I92" t="s">
        <v>1293</v>
      </c>
      <c r="J92" t="s">
        <v>1293</v>
      </c>
      <c r="K92" t="s">
        <v>1293</v>
      </c>
      <c r="L92" t="s">
        <v>1293</v>
      </c>
      <c r="M92" t="s">
        <v>1293</v>
      </c>
      <c r="N92" t="s">
        <v>1293</v>
      </c>
      <c r="O92" t="s">
        <v>1293</v>
      </c>
      <c r="P92" t="s">
        <v>1293</v>
      </c>
      <c r="Q92" t="s">
        <v>1293</v>
      </c>
      <c r="R92" t="s">
        <v>1293</v>
      </c>
      <c r="S92" t="s">
        <v>1293</v>
      </c>
      <c r="T92" s="21" t="s">
        <v>2220</v>
      </c>
    </row>
    <row r="93" spans="1:20" x14ac:dyDescent="0.25">
      <c r="A93" t="s">
        <v>1637</v>
      </c>
      <c r="B93" t="s">
        <v>1638</v>
      </c>
      <c r="C93" t="s">
        <v>1293</v>
      </c>
      <c r="D93" t="s">
        <v>1293</v>
      </c>
      <c r="E93" t="s">
        <v>1293</v>
      </c>
      <c r="F93" t="s">
        <v>1293</v>
      </c>
      <c r="G93" t="s">
        <v>1293</v>
      </c>
      <c r="H93" t="s">
        <v>1293</v>
      </c>
      <c r="I93" t="s">
        <v>1293</v>
      </c>
      <c r="J93" t="s">
        <v>1293</v>
      </c>
      <c r="K93" t="s">
        <v>1293</v>
      </c>
      <c r="L93" t="s">
        <v>1293</v>
      </c>
      <c r="M93" t="s">
        <v>1293</v>
      </c>
      <c r="N93" t="s">
        <v>1293</v>
      </c>
      <c r="O93" t="s">
        <v>1293</v>
      </c>
      <c r="P93" t="s">
        <v>1293</v>
      </c>
      <c r="Q93" t="s">
        <v>1293</v>
      </c>
      <c r="R93" t="s">
        <v>1293</v>
      </c>
      <c r="S93" t="s">
        <v>1293</v>
      </c>
      <c r="T93" s="21" t="s">
        <v>2220</v>
      </c>
    </row>
    <row r="94" spans="1:20" x14ac:dyDescent="0.25">
      <c r="A94" t="s">
        <v>1637</v>
      </c>
      <c r="B94" t="s">
        <v>18</v>
      </c>
      <c r="C94">
        <v>24</v>
      </c>
      <c r="D94" t="s">
        <v>22</v>
      </c>
      <c r="E94" s="22">
        <v>32874</v>
      </c>
      <c r="F94" t="s">
        <v>1307</v>
      </c>
      <c r="G94">
        <v>8</v>
      </c>
      <c r="H94" t="s">
        <v>1639</v>
      </c>
      <c r="I94" t="s">
        <v>1640</v>
      </c>
      <c r="J94" t="s">
        <v>1641</v>
      </c>
      <c r="K94" t="s">
        <v>1642</v>
      </c>
      <c r="L94" t="s">
        <v>1301</v>
      </c>
      <c r="M94" t="s">
        <v>1302</v>
      </c>
      <c r="N94" s="22">
        <v>44130</v>
      </c>
      <c r="O94" t="s">
        <v>1303</v>
      </c>
      <c r="P94">
        <v>123456</v>
      </c>
      <c r="Q94" t="s">
        <v>1304</v>
      </c>
      <c r="R94" t="s">
        <v>246</v>
      </c>
      <c r="S94" s="22">
        <v>44130.418541666666</v>
      </c>
      <c r="T94" s="22" t="s">
        <v>2222</v>
      </c>
    </row>
    <row r="95" spans="1:20" x14ac:dyDescent="0.25">
      <c r="A95" t="s">
        <v>1637</v>
      </c>
      <c r="B95" t="s">
        <v>78</v>
      </c>
      <c r="C95" t="s">
        <v>1293</v>
      </c>
      <c r="D95" t="s">
        <v>1293</v>
      </c>
      <c r="E95" t="s">
        <v>1293</v>
      </c>
      <c r="F95" t="s">
        <v>1293</v>
      </c>
      <c r="G95" t="s">
        <v>1293</v>
      </c>
      <c r="H95" t="s">
        <v>1293</v>
      </c>
      <c r="I95" t="s">
        <v>1293</v>
      </c>
      <c r="J95" t="s">
        <v>1293</v>
      </c>
      <c r="K95" t="s">
        <v>1293</v>
      </c>
      <c r="L95" t="s">
        <v>1293</v>
      </c>
      <c r="M95" t="s">
        <v>1293</v>
      </c>
      <c r="N95" t="s">
        <v>1293</v>
      </c>
      <c r="O95" t="s">
        <v>1293</v>
      </c>
      <c r="P95" t="s">
        <v>1293</v>
      </c>
      <c r="Q95" t="s">
        <v>1293</v>
      </c>
      <c r="R95" t="s">
        <v>1293</v>
      </c>
      <c r="S95" t="s">
        <v>1293</v>
      </c>
      <c r="T95" s="21" t="s">
        <v>2220</v>
      </c>
    </row>
    <row r="96" spans="1:20" x14ac:dyDescent="0.25">
      <c r="A96" t="s">
        <v>1637</v>
      </c>
      <c r="B96" t="s">
        <v>194</v>
      </c>
      <c r="C96">
        <v>24</v>
      </c>
      <c r="D96" t="s">
        <v>196</v>
      </c>
      <c r="E96" s="22">
        <v>43466</v>
      </c>
      <c r="F96" t="s">
        <v>1378</v>
      </c>
      <c r="G96">
        <v>36</v>
      </c>
      <c r="H96">
        <v>48269661945029</v>
      </c>
      <c r="I96" t="s">
        <v>1643</v>
      </c>
      <c r="J96" t="s">
        <v>1644</v>
      </c>
      <c r="K96" t="s">
        <v>1603</v>
      </c>
      <c r="L96" t="s">
        <v>1301</v>
      </c>
      <c r="M96" t="s">
        <v>1302</v>
      </c>
      <c r="N96" s="22">
        <v>44130</v>
      </c>
      <c r="O96" t="s">
        <v>1303</v>
      </c>
      <c r="P96">
        <v>123456</v>
      </c>
      <c r="Q96" t="s">
        <v>1317</v>
      </c>
      <c r="R96" t="s">
        <v>246</v>
      </c>
      <c r="S96" s="22">
        <v>44130.418692129628</v>
      </c>
      <c r="T96" s="22" t="s">
        <v>2222</v>
      </c>
    </row>
    <row r="97" spans="1:20" x14ac:dyDescent="0.25">
      <c r="A97" t="s">
        <v>1645</v>
      </c>
      <c r="B97" t="s">
        <v>1646</v>
      </c>
      <c r="C97">
        <v>9</v>
      </c>
      <c r="D97" t="s">
        <v>1647</v>
      </c>
      <c r="E97" s="22">
        <v>43101</v>
      </c>
      <c r="F97" t="s">
        <v>1648</v>
      </c>
      <c r="G97">
        <v>4</v>
      </c>
      <c r="H97" t="s">
        <v>1649</v>
      </c>
      <c r="I97" t="s">
        <v>1650</v>
      </c>
      <c r="J97">
        <v>1234</v>
      </c>
      <c r="K97" t="s">
        <v>1651</v>
      </c>
      <c r="L97" t="s">
        <v>1301</v>
      </c>
      <c r="M97" t="s">
        <v>1302</v>
      </c>
      <c r="N97" s="22">
        <v>44130</v>
      </c>
      <c r="O97" t="s">
        <v>1303</v>
      </c>
      <c r="P97">
        <v>123456</v>
      </c>
      <c r="Q97" t="s">
        <v>1652</v>
      </c>
      <c r="R97" t="s">
        <v>246</v>
      </c>
      <c r="S97" s="22">
        <v>44130.625416666669</v>
      </c>
      <c r="T97" s="22" t="s">
        <v>2222</v>
      </c>
    </row>
    <row r="98" spans="1:20" x14ac:dyDescent="0.25">
      <c r="A98" t="s">
        <v>1645</v>
      </c>
      <c r="B98" t="s">
        <v>1653</v>
      </c>
      <c r="C98">
        <v>9</v>
      </c>
      <c r="D98" t="s">
        <v>1654</v>
      </c>
      <c r="E98" s="22">
        <v>43101</v>
      </c>
      <c r="F98" t="s">
        <v>1648</v>
      </c>
      <c r="G98">
        <v>4</v>
      </c>
      <c r="H98" t="s">
        <v>1655</v>
      </c>
      <c r="I98" t="s">
        <v>1299</v>
      </c>
      <c r="J98">
        <v>1234</v>
      </c>
      <c r="K98" t="s">
        <v>1656</v>
      </c>
      <c r="L98" t="s">
        <v>1301</v>
      </c>
      <c r="M98" t="s">
        <v>1324</v>
      </c>
      <c r="N98" s="22">
        <v>44130</v>
      </c>
      <c r="O98" t="s">
        <v>1303</v>
      </c>
      <c r="P98">
        <v>123456</v>
      </c>
      <c r="Q98" t="s">
        <v>1652</v>
      </c>
      <c r="R98" t="s">
        <v>246</v>
      </c>
      <c r="S98" s="22">
        <v>44130.622939814813</v>
      </c>
      <c r="T98" s="22" t="s">
        <v>2222</v>
      </c>
    </row>
    <row r="99" spans="1:20" x14ac:dyDescent="0.25">
      <c r="A99" t="s">
        <v>1645</v>
      </c>
      <c r="B99" t="s">
        <v>944</v>
      </c>
      <c r="C99">
        <v>9</v>
      </c>
      <c r="D99" t="s">
        <v>946</v>
      </c>
      <c r="E99" s="22">
        <v>43101</v>
      </c>
      <c r="F99" t="s">
        <v>1648</v>
      </c>
      <c r="G99">
        <v>4</v>
      </c>
      <c r="H99" t="s">
        <v>1390</v>
      </c>
      <c r="I99" t="s">
        <v>1657</v>
      </c>
      <c r="J99">
        <v>1234</v>
      </c>
      <c r="K99" t="s">
        <v>1618</v>
      </c>
      <c r="L99" t="s">
        <v>1323</v>
      </c>
      <c r="M99" t="s">
        <v>1324</v>
      </c>
      <c r="N99" s="22">
        <v>44130</v>
      </c>
      <c r="O99" t="s">
        <v>1303</v>
      </c>
      <c r="P99">
        <v>123456</v>
      </c>
      <c r="Q99" t="s">
        <v>1652</v>
      </c>
      <c r="R99" t="s">
        <v>246</v>
      </c>
      <c r="S99" s="22">
        <v>44130.625162037039</v>
      </c>
      <c r="T99" s="22" t="s">
        <v>2222</v>
      </c>
    </row>
    <row r="100" spans="1:20" x14ac:dyDescent="0.25">
      <c r="A100" t="s">
        <v>1645</v>
      </c>
      <c r="B100" t="s">
        <v>1658</v>
      </c>
      <c r="C100">
        <v>9</v>
      </c>
      <c r="D100" t="s">
        <v>1659</v>
      </c>
      <c r="E100" s="22">
        <v>43101</v>
      </c>
      <c r="F100" t="s">
        <v>1648</v>
      </c>
      <c r="G100">
        <v>4</v>
      </c>
      <c r="H100" t="s">
        <v>1660</v>
      </c>
      <c r="I100" t="s">
        <v>1661</v>
      </c>
      <c r="J100">
        <v>442013823646</v>
      </c>
      <c r="K100" t="s">
        <v>1566</v>
      </c>
      <c r="L100" t="s">
        <v>1301</v>
      </c>
      <c r="M100" t="s">
        <v>1302</v>
      </c>
      <c r="N100" s="22">
        <v>44130</v>
      </c>
      <c r="O100" t="s">
        <v>1303</v>
      </c>
      <c r="P100">
        <v>123456</v>
      </c>
      <c r="Q100" t="s">
        <v>1662</v>
      </c>
      <c r="R100" t="s">
        <v>246</v>
      </c>
      <c r="S100" s="22">
        <v>44130.6246875</v>
      </c>
      <c r="T100" s="22" t="s">
        <v>2222</v>
      </c>
    </row>
    <row r="101" spans="1:20" x14ac:dyDescent="0.25">
      <c r="A101" t="s">
        <v>1645</v>
      </c>
      <c r="B101" t="s">
        <v>1663</v>
      </c>
      <c r="C101">
        <v>9</v>
      </c>
      <c r="D101" t="s">
        <v>1664</v>
      </c>
      <c r="E101" s="22">
        <v>43101</v>
      </c>
      <c r="F101" t="s">
        <v>1648</v>
      </c>
      <c r="G101">
        <v>4</v>
      </c>
      <c r="H101" t="s">
        <v>1665</v>
      </c>
      <c r="I101" t="s">
        <v>1299</v>
      </c>
      <c r="J101">
        <v>1234</v>
      </c>
      <c r="K101" t="s">
        <v>1666</v>
      </c>
      <c r="L101" t="s">
        <v>1323</v>
      </c>
      <c r="M101" t="s">
        <v>1324</v>
      </c>
      <c r="N101" s="22">
        <v>44130</v>
      </c>
      <c r="O101" t="s">
        <v>1303</v>
      </c>
      <c r="P101" t="s">
        <v>1667</v>
      </c>
      <c r="Q101" t="s">
        <v>1652</v>
      </c>
      <c r="R101" t="s">
        <v>246</v>
      </c>
      <c r="S101" s="22">
        <v>44130.420347222222</v>
      </c>
      <c r="T101" s="22" t="s">
        <v>2222</v>
      </c>
    </row>
    <row r="102" spans="1:20" x14ac:dyDescent="0.25">
      <c r="A102" t="s">
        <v>1645</v>
      </c>
      <c r="B102" t="s">
        <v>1668</v>
      </c>
      <c r="C102">
        <v>9</v>
      </c>
      <c r="D102" t="s">
        <v>1669</v>
      </c>
      <c r="E102" s="22">
        <v>43375</v>
      </c>
      <c r="F102" t="s">
        <v>1648</v>
      </c>
      <c r="G102">
        <v>4</v>
      </c>
      <c r="H102" t="s">
        <v>1670</v>
      </c>
      <c r="I102" t="s">
        <v>1671</v>
      </c>
      <c r="J102" t="s">
        <v>1299</v>
      </c>
      <c r="K102" t="s">
        <v>1566</v>
      </c>
      <c r="L102" t="s">
        <v>1301</v>
      </c>
      <c r="M102" t="s">
        <v>1302</v>
      </c>
      <c r="N102" s="22">
        <v>44130</v>
      </c>
      <c r="O102" t="s">
        <v>1303</v>
      </c>
      <c r="P102" t="s">
        <v>1672</v>
      </c>
      <c r="Q102" t="s">
        <v>1652</v>
      </c>
      <c r="R102" t="s">
        <v>246</v>
      </c>
      <c r="S102" s="22">
        <v>44130.624027777776</v>
      </c>
      <c r="T102" s="22" t="s">
        <v>2222</v>
      </c>
    </row>
    <row r="103" spans="1:20" x14ac:dyDescent="0.25">
      <c r="A103" t="s">
        <v>1645</v>
      </c>
      <c r="B103" t="s">
        <v>1673</v>
      </c>
      <c r="C103">
        <v>9</v>
      </c>
      <c r="D103" t="s">
        <v>1674</v>
      </c>
      <c r="E103" s="22">
        <v>43101</v>
      </c>
      <c r="F103" t="s">
        <v>1648</v>
      </c>
      <c r="G103">
        <v>4</v>
      </c>
      <c r="H103" t="s">
        <v>1675</v>
      </c>
      <c r="I103" t="s">
        <v>1299</v>
      </c>
      <c r="J103">
        <v>1234</v>
      </c>
      <c r="K103" t="s">
        <v>1676</v>
      </c>
      <c r="L103" t="s">
        <v>1323</v>
      </c>
      <c r="M103" t="s">
        <v>1324</v>
      </c>
      <c r="N103" s="22">
        <v>44130</v>
      </c>
      <c r="O103" t="s">
        <v>1303</v>
      </c>
      <c r="P103" t="s">
        <v>1677</v>
      </c>
      <c r="Q103" t="s">
        <v>1652</v>
      </c>
      <c r="R103" t="s">
        <v>246</v>
      </c>
      <c r="S103" s="22">
        <v>44130.623773148145</v>
      </c>
      <c r="T103" s="22" t="s">
        <v>2222</v>
      </c>
    </row>
    <row r="104" spans="1:20" x14ac:dyDescent="0.25">
      <c r="A104" t="s">
        <v>1645</v>
      </c>
      <c r="B104" t="s">
        <v>1678</v>
      </c>
      <c r="C104">
        <v>9</v>
      </c>
      <c r="D104" t="s">
        <v>1679</v>
      </c>
      <c r="E104" s="22">
        <v>43101</v>
      </c>
      <c r="F104" t="s">
        <v>1648</v>
      </c>
      <c r="G104">
        <v>4</v>
      </c>
      <c r="H104" t="s">
        <v>1680</v>
      </c>
      <c r="I104" t="s">
        <v>1299</v>
      </c>
      <c r="J104">
        <v>1234</v>
      </c>
      <c r="K104" t="s">
        <v>1681</v>
      </c>
      <c r="L104" t="s">
        <v>1323</v>
      </c>
      <c r="M104" t="s">
        <v>1324</v>
      </c>
      <c r="N104" s="22">
        <v>44130</v>
      </c>
      <c r="O104" t="s">
        <v>1303</v>
      </c>
      <c r="P104" t="s">
        <v>1682</v>
      </c>
      <c r="Q104" t="s">
        <v>1652</v>
      </c>
      <c r="R104" t="s">
        <v>246</v>
      </c>
      <c r="S104" s="22">
        <v>44130.419976851852</v>
      </c>
      <c r="T104" s="22" t="s">
        <v>2222</v>
      </c>
    </row>
    <row r="105" spans="1:20" x14ac:dyDescent="0.25">
      <c r="A105" t="s">
        <v>1645</v>
      </c>
      <c r="B105" t="s">
        <v>336</v>
      </c>
      <c r="C105">
        <v>9</v>
      </c>
      <c r="D105" t="s">
        <v>338</v>
      </c>
      <c r="E105" s="22">
        <v>43745</v>
      </c>
      <c r="F105" t="s">
        <v>1683</v>
      </c>
      <c r="G105">
        <v>4</v>
      </c>
      <c r="H105">
        <v>12415</v>
      </c>
      <c r="I105" t="s">
        <v>1684</v>
      </c>
      <c r="J105">
        <v>2345</v>
      </c>
      <c r="K105" t="s">
        <v>1685</v>
      </c>
      <c r="L105" t="s">
        <v>1301</v>
      </c>
      <c r="M105" t="s">
        <v>1302</v>
      </c>
      <c r="N105" s="22">
        <v>44130</v>
      </c>
      <c r="O105" t="s">
        <v>1303</v>
      </c>
      <c r="P105">
        <v>123456</v>
      </c>
      <c r="Q105" t="s">
        <v>1652</v>
      </c>
      <c r="R105" t="s">
        <v>246</v>
      </c>
      <c r="S105" s="22">
        <v>44130.624247685184</v>
      </c>
      <c r="T105" s="22" t="s">
        <v>2222</v>
      </c>
    </row>
    <row r="106" spans="1:20" x14ac:dyDescent="0.25">
      <c r="A106" t="s">
        <v>1645</v>
      </c>
      <c r="B106" t="s">
        <v>1686</v>
      </c>
      <c r="C106">
        <v>9</v>
      </c>
      <c r="D106" t="s">
        <v>1687</v>
      </c>
      <c r="E106" s="22">
        <v>43101</v>
      </c>
      <c r="F106" t="s">
        <v>1648</v>
      </c>
      <c r="G106">
        <v>4</v>
      </c>
      <c r="H106" t="s">
        <v>1688</v>
      </c>
      <c r="I106" t="s">
        <v>1689</v>
      </c>
      <c r="J106">
        <v>1234</v>
      </c>
      <c r="K106" t="s">
        <v>1566</v>
      </c>
      <c r="L106" t="s">
        <v>1301</v>
      </c>
      <c r="M106" t="s">
        <v>1302</v>
      </c>
      <c r="N106" s="22">
        <v>44130</v>
      </c>
      <c r="O106" t="s">
        <v>1303</v>
      </c>
      <c r="P106" t="s">
        <v>1690</v>
      </c>
      <c r="Q106" t="s">
        <v>1652</v>
      </c>
      <c r="R106" t="s">
        <v>246</v>
      </c>
      <c r="S106" s="22">
        <v>44130.623194444444</v>
      </c>
      <c r="T106" s="22" t="s">
        <v>2222</v>
      </c>
    </row>
    <row r="107" spans="1:20" x14ac:dyDescent="0.25">
      <c r="A107" t="s">
        <v>1645</v>
      </c>
      <c r="B107" t="s">
        <v>1257</v>
      </c>
      <c r="C107">
        <v>9</v>
      </c>
      <c r="D107" t="s">
        <v>1259</v>
      </c>
      <c r="E107" s="22">
        <v>43101</v>
      </c>
      <c r="F107" t="s">
        <v>1648</v>
      </c>
      <c r="G107">
        <v>4</v>
      </c>
      <c r="H107" t="s">
        <v>1691</v>
      </c>
      <c r="I107" t="s">
        <v>1692</v>
      </c>
      <c r="J107">
        <v>44234023656019</v>
      </c>
      <c r="K107" t="s">
        <v>1566</v>
      </c>
      <c r="L107" t="s">
        <v>1301</v>
      </c>
      <c r="M107" t="s">
        <v>1302</v>
      </c>
      <c r="N107" s="22">
        <v>44130</v>
      </c>
      <c r="O107" t="s">
        <v>1303</v>
      </c>
      <c r="P107" t="s">
        <v>1693</v>
      </c>
      <c r="Q107" t="s">
        <v>1652</v>
      </c>
      <c r="R107" t="s">
        <v>246</v>
      </c>
      <c r="S107" s="22">
        <v>44130.623368055552</v>
      </c>
      <c r="T107" s="22" t="s">
        <v>2222</v>
      </c>
    </row>
    <row r="108" spans="1:20" x14ac:dyDescent="0.25">
      <c r="A108" t="s">
        <v>1694</v>
      </c>
      <c r="B108" t="s">
        <v>1136</v>
      </c>
      <c r="C108">
        <v>1</v>
      </c>
      <c r="D108" t="s">
        <v>1138</v>
      </c>
      <c r="E108" s="22">
        <v>43730</v>
      </c>
      <c r="F108" t="s">
        <v>1297</v>
      </c>
      <c r="G108">
        <v>4</v>
      </c>
      <c r="H108" t="s">
        <v>1695</v>
      </c>
      <c r="I108" t="s">
        <v>1299</v>
      </c>
      <c r="J108">
        <v>44204123646</v>
      </c>
      <c r="K108" t="s">
        <v>1696</v>
      </c>
      <c r="L108" t="s">
        <v>1323</v>
      </c>
      <c r="M108" t="s">
        <v>1324</v>
      </c>
      <c r="N108" s="22">
        <v>44162</v>
      </c>
      <c r="O108" t="s">
        <v>1303</v>
      </c>
      <c r="P108" t="s">
        <v>1697</v>
      </c>
      <c r="Q108" t="s">
        <v>1698</v>
      </c>
      <c r="R108" t="s">
        <v>246</v>
      </c>
      <c r="S108" s="22">
        <v>44162.580358796295</v>
      </c>
      <c r="T108" s="22" t="s">
        <v>2221</v>
      </c>
    </row>
    <row r="109" spans="1:20" x14ac:dyDescent="0.25">
      <c r="A109" t="s">
        <v>1694</v>
      </c>
      <c r="B109" t="s">
        <v>1140</v>
      </c>
      <c r="C109">
        <v>1</v>
      </c>
      <c r="D109" t="s">
        <v>1142</v>
      </c>
      <c r="E109" s="22">
        <v>43728</v>
      </c>
      <c r="F109" t="s">
        <v>1297</v>
      </c>
      <c r="G109">
        <v>4</v>
      </c>
      <c r="H109" t="s">
        <v>1699</v>
      </c>
      <c r="I109" t="s">
        <v>1657</v>
      </c>
      <c r="J109" t="s">
        <v>1700</v>
      </c>
      <c r="K109" t="s">
        <v>1701</v>
      </c>
      <c r="L109" t="s">
        <v>1301</v>
      </c>
      <c r="M109" t="s">
        <v>1324</v>
      </c>
      <c r="N109" s="22">
        <v>44162</v>
      </c>
      <c r="O109" t="s">
        <v>1303</v>
      </c>
      <c r="P109" t="s">
        <v>1702</v>
      </c>
      <c r="Q109" t="s">
        <v>1698</v>
      </c>
      <c r="R109" t="s">
        <v>246</v>
      </c>
      <c r="S109" s="22">
        <v>44162.584675925929</v>
      </c>
      <c r="T109" s="22" t="s">
        <v>2221</v>
      </c>
    </row>
    <row r="110" spans="1:20" x14ac:dyDescent="0.25">
      <c r="A110" t="s">
        <v>1694</v>
      </c>
      <c r="B110" t="s">
        <v>1143</v>
      </c>
      <c r="C110">
        <v>1</v>
      </c>
      <c r="D110" t="s">
        <v>1145</v>
      </c>
      <c r="E110" s="22">
        <v>43728</v>
      </c>
      <c r="F110" t="s">
        <v>1297</v>
      </c>
      <c r="G110">
        <v>4</v>
      </c>
      <c r="H110" t="s">
        <v>1703</v>
      </c>
      <c r="I110" t="s">
        <v>1657</v>
      </c>
      <c r="J110">
        <v>44203123646</v>
      </c>
      <c r="K110" t="s">
        <v>1704</v>
      </c>
      <c r="L110" t="s">
        <v>1301</v>
      </c>
      <c r="M110" t="s">
        <v>1324</v>
      </c>
      <c r="N110" s="22">
        <v>44162</v>
      </c>
      <c r="O110" t="s">
        <v>1303</v>
      </c>
      <c r="P110" t="s">
        <v>1705</v>
      </c>
      <c r="Q110" t="s">
        <v>1698</v>
      </c>
      <c r="R110" t="s">
        <v>246</v>
      </c>
      <c r="S110" s="22">
        <v>44162.582824074074</v>
      </c>
      <c r="T110" s="22" t="s">
        <v>2221</v>
      </c>
    </row>
    <row r="111" spans="1:20" x14ac:dyDescent="0.25">
      <c r="A111" t="s">
        <v>1694</v>
      </c>
      <c r="B111" t="s">
        <v>1146</v>
      </c>
      <c r="C111">
        <v>1</v>
      </c>
      <c r="D111" t="s">
        <v>1148</v>
      </c>
      <c r="E111" s="22">
        <v>43748</v>
      </c>
      <c r="F111" t="s">
        <v>1297</v>
      </c>
      <c r="G111">
        <v>4</v>
      </c>
      <c r="H111" t="s">
        <v>1706</v>
      </c>
      <c r="I111" t="s">
        <v>1657</v>
      </c>
      <c r="J111" t="s">
        <v>1707</v>
      </c>
      <c r="K111" t="s">
        <v>1708</v>
      </c>
      <c r="L111" t="s">
        <v>1323</v>
      </c>
      <c r="M111" t="s">
        <v>1324</v>
      </c>
      <c r="N111" s="22">
        <v>44162</v>
      </c>
      <c r="O111" t="s">
        <v>1303</v>
      </c>
      <c r="P111" t="s">
        <v>1709</v>
      </c>
      <c r="Q111" t="s">
        <v>1698</v>
      </c>
      <c r="R111" t="s">
        <v>246</v>
      </c>
      <c r="S111" s="22">
        <v>44162.58258101852</v>
      </c>
      <c r="T111" s="22" t="s">
        <v>2221</v>
      </c>
    </row>
    <row r="112" spans="1:20" x14ac:dyDescent="0.25">
      <c r="A112" t="s">
        <v>1694</v>
      </c>
      <c r="B112" t="s">
        <v>1149</v>
      </c>
      <c r="C112">
        <v>1</v>
      </c>
      <c r="D112" t="s">
        <v>1151</v>
      </c>
      <c r="E112" s="22">
        <v>43822</v>
      </c>
      <c r="F112" t="s">
        <v>1307</v>
      </c>
      <c r="G112">
        <v>4</v>
      </c>
      <c r="H112" t="s">
        <v>1710</v>
      </c>
      <c r="I112" t="s">
        <v>1711</v>
      </c>
      <c r="J112">
        <v>44215723646</v>
      </c>
      <c r="K112" t="s">
        <v>1712</v>
      </c>
      <c r="L112" t="s">
        <v>1301</v>
      </c>
      <c r="M112" t="s">
        <v>1324</v>
      </c>
      <c r="N112" s="22">
        <v>44162</v>
      </c>
      <c r="O112" t="s">
        <v>1303</v>
      </c>
      <c r="P112">
        <v>123456</v>
      </c>
      <c r="Q112" t="s">
        <v>1366</v>
      </c>
      <c r="R112" t="s">
        <v>246</v>
      </c>
      <c r="S112" s="22">
        <v>44162.570821759262</v>
      </c>
      <c r="T112" s="22" t="s">
        <v>2221</v>
      </c>
    </row>
    <row r="113" spans="1:20" x14ac:dyDescent="0.25">
      <c r="A113" t="s">
        <v>1694</v>
      </c>
      <c r="B113" t="s">
        <v>1152</v>
      </c>
      <c r="C113">
        <v>1</v>
      </c>
      <c r="D113" t="s">
        <v>1154</v>
      </c>
      <c r="E113" s="22">
        <v>44075</v>
      </c>
      <c r="F113" t="s">
        <v>1307</v>
      </c>
      <c r="G113">
        <v>4</v>
      </c>
      <c r="H113" t="s">
        <v>1713</v>
      </c>
      <c r="I113" t="s">
        <v>1714</v>
      </c>
      <c r="J113" t="s">
        <v>1715</v>
      </c>
      <c r="K113" t="s">
        <v>1618</v>
      </c>
      <c r="L113" t="s">
        <v>1323</v>
      </c>
      <c r="M113" t="s">
        <v>1324</v>
      </c>
      <c r="N113" s="22">
        <v>44162</v>
      </c>
      <c r="O113" t="s">
        <v>1303</v>
      </c>
      <c r="P113">
        <v>123456</v>
      </c>
      <c r="Q113" t="s">
        <v>1312</v>
      </c>
      <c r="R113" t="s">
        <v>246</v>
      </c>
      <c r="S113" s="22">
        <v>44162.616886574076</v>
      </c>
      <c r="T113" s="22" t="s">
        <v>2221</v>
      </c>
    </row>
    <row r="114" spans="1:20" x14ac:dyDescent="0.25">
      <c r="A114" t="s">
        <v>1694</v>
      </c>
      <c r="B114" t="s">
        <v>1155</v>
      </c>
      <c r="C114">
        <v>1</v>
      </c>
      <c r="D114" t="s">
        <v>1157</v>
      </c>
      <c r="E114" s="22">
        <v>43602</v>
      </c>
      <c r="F114" t="s">
        <v>1297</v>
      </c>
      <c r="G114">
        <v>4</v>
      </c>
      <c r="H114" t="s">
        <v>1716</v>
      </c>
      <c r="I114" t="s">
        <v>1299</v>
      </c>
      <c r="J114" t="s">
        <v>1299</v>
      </c>
      <c r="K114" t="s">
        <v>1381</v>
      </c>
      <c r="L114" t="s">
        <v>1301</v>
      </c>
      <c r="M114" t="s">
        <v>1302</v>
      </c>
      <c r="N114" s="22">
        <v>44162</v>
      </c>
      <c r="O114" t="s">
        <v>1303</v>
      </c>
      <c r="P114" t="s">
        <v>1717</v>
      </c>
      <c r="Q114" t="s">
        <v>1698</v>
      </c>
      <c r="R114" t="s">
        <v>246</v>
      </c>
      <c r="S114" s="22">
        <v>44162.582314814812</v>
      </c>
      <c r="T114" s="22" t="s">
        <v>2221</v>
      </c>
    </row>
    <row r="115" spans="1:20" x14ac:dyDescent="0.25">
      <c r="A115" t="s">
        <v>1694</v>
      </c>
      <c r="B115" t="s">
        <v>1158</v>
      </c>
      <c r="C115">
        <v>1</v>
      </c>
      <c r="D115" t="s">
        <v>1160</v>
      </c>
      <c r="E115" s="22">
        <v>43629</v>
      </c>
      <c r="F115" t="s">
        <v>1297</v>
      </c>
      <c r="G115">
        <v>4</v>
      </c>
      <c r="H115" t="s">
        <v>1718</v>
      </c>
      <c r="I115" t="s">
        <v>1299</v>
      </c>
      <c r="J115" t="s">
        <v>1299</v>
      </c>
      <c r="K115" t="s">
        <v>1719</v>
      </c>
      <c r="L115" t="s">
        <v>1323</v>
      </c>
      <c r="M115" t="s">
        <v>1324</v>
      </c>
      <c r="N115" s="22">
        <v>44162</v>
      </c>
      <c r="O115" t="s">
        <v>1303</v>
      </c>
      <c r="P115" t="s">
        <v>1720</v>
      </c>
      <c r="Q115" t="s">
        <v>1698</v>
      </c>
      <c r="R115" t="s">
        <v>246</v>
      </c>
      <c r="S115" s="22">
        <v>44162.577951388892</v>
      </c>
      <c r="T115" s="22" t="s">
        <v>2221</v>
      </c>
    </row>
    <row r="116" spans="1:20" x14ac:dyDescent="0.25">
      <c r="A116" t="s">
        <v>1694</v>
      </c>
      <c r="B116" t="s">
        <v>1161</v>
      </c>
      <c r="C116">
        <v>1</v>
      </c>
      <c r="D116" t="s">
        <v>1163</v>
      </c>
      <c r="E116" s="22">
        <v>43730</v>
      </c>
      <c r="F116" t="s">
        <v>1297</v>
      </c>
      <c r="G116">
        <v>4</v>
      </c>
      <c r="H116" t="s">
        <v>1721</v>
      </c>
      <c r="I116" t="s">
        <v>1299</v>
      </c>
      <c r="J116">
        <v>44210423646</v>
      </c>
      <c r="K116" t="s">
        <v>1381</v>
      </c>
      <c r="L116" t="s">
        <v>1301</v>
      </c>
      <c r="M116" t="s">
        <v>1302</v>
      </c>
      <c r="N116" s="22">
        <v>44162</v>
      </c>
      <c r="O116" t="s">
        <v>1303</v>
      </c>
      <c r="P116">
        <v>123456</v>
      </c>
      <c r="Q116" t="s">
        <v>1698</v>
      </c>
      <c r="R116" t="s">
        <v>246</v>
      </c>
      <c r="S116" s="22">
        <v>44162.583171296297</v>
      </c>
      <c r="T116" s="22" t="s">
        <v>2221</v>
      </c>
    </row>
    <row r="117" spans="1:20" x14ac:dyDescent="0.25">
      <c r="A117" t="s">
        <v>1694</v>
      </c>
      <c r="B117" t="s">
        <v>1164</v>
      </c>
      <c r="C117">
        <v>1</v>
      </c>
      <c r="D117" t="s">
        <v>1166</v>
      </c>
      <c r="E117" s="22">
        <v>43728</v>
      </c>
      <c r="F117" t="s">
        <v>1297</v>
      </c>
      <c r="G117">
        <v>4</v>
      </c>
      <c r="H117" t="s">
        <v>1722</v>
      </c>
      <c r="I117" t="s">
        <v>1299</v>
      </c>
      <c r="J117">
        <v>44205523646</v>
      </c>
      <c r="K117" t="s">
        <v>1723</v>
      </c>
      <c r="L117" t="s">
        <v>1323</v>
      </c>
      <c r="M117" t="s">
        <v>1324</v>
      </c>
      <c r="N117" s="22">
        <v>44162</v>
      </c>
      <c r="O117" t="s">
        <v>1303</v>
      </c>
      <c r="P117" t="s">
        <v>1724</v>
      </c>
      <c r="Q117" t="s">
        <v>1698</v>
      </c>
      <c r="R117" t="s">
        <v>246</v>
      </c>
      <c r="S117" s="22">
        <v>44162.583819444444</v>
      </c>
      <c r="T117" s="22" t="s">
        <v>2221</v>
      </c>
    </row>
    <row r="118" spans="1:20" x14ac:dyDescent="0.25">
      <c r="A118" t="s">
        <v>1694</v>
      </c>
      <c r="B118" t="s">
        <v>1167</v>
      </c>
      <c r="C118">
        <v>1</v>
      </c>
      <c r="D118" t="s">
        <v>1169</v>
      </c>
      <c r="E118" s="22">
        <v>43748</v>
      </c>
      <c r="F118" t="s">
        <v>1297</v>
      </c>
      <c r="G118">
        <v>4</v>
      </c>
      <c r="H118" t="s">
        <v>1725</v>
      </c>
      <c r="I118" t="s">
        <v>1299</v>
      </c>
      <c r="J118" t="s">
        <v>1726</v>
      </c>
      <c r="K118" t="s">
        <v>1727</v>
      </c>
      <c r="L118" t="s">
        <v>1323</v>
      </c>
      <c r="M118" t="s">
        <v>1728</v>
      </c>
      <c r="N118" s="22">
        <v>44162</v>
      </c>
      <c r="O118" t="s">
        <v>1303</v>
      </c>
      <c r="P118" t="s">
        <v>1698</v>
      </c>
      <c r="Q118" t="s">
        <v>1698</v>
      </c>
      <c r="R118" t="s">
        <v>246</v>
      </c>
      <c r="S118" s="22">
        <v>44162.585381944446</v>
      </c>
      <c r="T118" s="22" t="s">
        <v>2221</v>
      </c>
    </row>
    <row r="119" spans="1:20" x14ac:dyDescent="0.25">
      <c r="A119" t="s">
        <v>1694</v>
      </c>
      <c r="B119" t="s">
        <v>1170</v>
      </c>
      <c r="C119">
        <v>1</v>
      </c>
      <c r="D119" t="s">
        <v>1172</v>
      </c>
      <c r="E119" s="22">
        <v>43728</v>
      </c>
      <c r="F119" t="s">
        <v>1297</v>
      </c>
      <c r="G119">
        <v>4</v>
      </c>
      <c r="H119" t="s">
        <v>1729</v>
      </c>
      <c r="I119" t="s">
        <v>1657</v>
      </c>
      <c r="J119">
        <v>44200923646</v>
      </c>
      <c r="K119" t="s">
        <v>1730</v>
      </c>
      <c r="L119" t="s">
        <v>1301</v>
      </c>
      <c r="M119" t="s">
        <v>1324</v>
      </c>
      <c r="N119" s="22">
        <v>44162</v>
      </c>
      <c r="O119" t="s">
        <v>1303</v>
      </c>
      <c r="P119" t="s">
        <v>1731</v>
      </c>
      <c r="Q119" t="s">
        <v>1698</v>
      </c>
      <c r="R119" t="s">
        <v>246</v>
      </c>
      <c r="S119" s="22">
        <v>44162.584456018521</v>
      </c>
      <c r="T119" s="22" t="s">
        <v>2221</v>
      </c>
    </row>
    <row r="120" spans="1:20" x14ac:dyDescent="0.25">
      <c r="A120" t="s">
        <v>1694</v>
      </c>
      <c r="B120" t="s">
        <v>1173</v>
      </c>
      <c r="C120">
        <v>1</v>
      </c>
      <c r="D120" t="s">
        <v>1175</v>
      </c>
      <c r="E120" s="22">
        <v>43728</v>
      </c>
      <c r="F120" t="s">
        <v>1297</v>
      </c>
      <c r="G120">
        <v>4</v>
      </c>
      <c r="H120" t="s">
        <v>1732</v>
      </c>
      <c r="I120" t="s">
        <v>1299</v>
      </c>
      <c r="J120" t="s">
        <v>1299</v>
      </c>
      <c r="K120" t="s">
        <v>1381</v>
      </c>
      <c r="L120" t="s">
        <v>1301</v>
      </c>
      <c r="M120" t="s">
        <v>1302</v>
      </c>
      <c r="N120" s="22">
        <v>44162</v>
      </c>
      <c r="O120" t="s">
        <v>1303</v>
      </c>
      <c r="P120" t="s">
        <v>1733</v>
      </c>
      <c r="Q120" t="s">
        <v>1698</v>
      </c>
      <c r="R120" t="s">
        <v>246</v>
      </c>
      <c r="S120" s="22">
        <v>44162.583449074074</v>
      </c>
      <c r="T120" s="22" t="s">
        <v>2221</v>
      </c>
    </row>
    <row r="121" spans="1:20" x14ac:dyDescent="0.25">
      <c r="A121" t="s">
        <v>1694</v>
      </c>
      <c r="B121" t="s">
        <v>250</v>
      </c>
      <c r="C121">
        <v>1</v>
      </c>
      <c r="D121" t="s">
        <v>252</v>
      </c>
      <c r="E121" s="22">
        <v>43731</v>
      </c>
      <c r="F121" t="s">
        <v>1297</v>
      </c>
      <c r="G121">
        <v>4</v>
      </c>
      <c r="H121" t="s">
        <v>1734</v>
      </c>
      <c r="I121" t="s">
        <v>1299</v>
      </c>
      <c r="J121" t="s">
        <v>1299</v>
      </c>
      <c r="K121" t="s">
        <v>1331</v>
      </c>
      <c r="L121" t="s">
        <v>1323</v>
      </c>
      <c r="M121" t="s">
        <v>1302</v>
      </c>
      <c r="N121" s="22">
        <v>44162</v>
      </c>
      <c r="O121" t="s">
        <v>1303</v>
      </c>
      <c r="P121" t="s">
        <v>1705</v>
      </c>
      <c r="Q121" t="s">
        <v>1698</v>
      </c>
      <c r="R121" t="s">
        <v>246</v>
      </c>
      <c r="S121" s="22">
        <v>44162.581550925926</v>
      </c>
      <c r="T121" s="22" t="s">
        <v>2221</v>
      </c>
    </row>
    <row r="122" spans="1:20" x14ac:dyDescent="0.25">
      <c r="A122" t="s">
        <v>1694</v>
      </c>
      <c r="B122" t="s">
        <v>1177</v>
      </c>
      <c r="C122">
        <v>1</v>
      </c>
      <c r="D122" t="s">
        <v>1179</v>
      </c>
      <c r="E122" s="22">
        <v>43728</v>
      </c>
      <c r="F122" t="s">
        <v>1297</v>
      </c>
      <c r="G122">
        <v>4</v>
      </c>
      <c r="H122" t="s">
        <v>1735</v>
      </c>
      <c r="I122" t="s">
        <v>1299</v>
      </c>
      <c r="J122" t="s">
        <v>1299</v>
      </c>
      <c r="K122" t="s">
        <v>1736</v>
      </c>
      <c r="L122" t="s">
        <v>1301</v>
      </c>
      <c r="M122" t="s">
        <v>1324</v>
      </c>
      <c r="N122" s="22">
        <v>44162</v>
      </c>
      <c r="O122" t="s">
        <v>1303</v>
      </c>
      <c r="P122" t="s">
        <v>1737</v>
      </c>
      <c r="Q122" t="s">
        <v>1698</v>
      </c>
      <c r="R122" t="s">
        <v>246</v>
      </c>
      <c r="S122" s="22">
        <v>44162.581909722219</v>
      </c>
      <c r="T122" s="22" t="s">
        <v>2221</v>
      </c>
    </row>
    <row r="123" spans="1:20" x14ac:dyDescent="0.25">
      <c r="A123" t="s">
        <v>1694</v>
      </c>
      <c r="B123" t="s">
        <v>1180</v>
      </c>
      <c r="C123">
        <v>1</v>
      </c>
      <c r="D123" t="s">
        <v>1182</v>
      </c>
      <c r="E123" s="22">
        <v>43728</v>
      </c>
      <c r="F123" t="s">
        <v>1297</v>
      </c>
      <c r="G123">
        <v>4</v>
      </c>
      <c r="H123" t="s">
        <v>1738</v>
      </c>
      <c r="I123" t="s">
        <v>1299</v>
      </c>
      <c r="J123">
        <v>44204923646</v>
      </c>
      <c r="K123" t="s">
        <v>1739</v>
      </c>
      <c r="L123" t="s">
        <v>1301</v>
      </c>
      <c r="M123" t="s">
        <v>1324</v>
      </c>
      <c r="N123" s="22">
        <v>44162</v>
      </c>
      <c r="O123" t="s">
        <v>1303</v>
      </c>
      <c r="P123" t="s">
        <v>1740</v>
      </c>
      <c r="Q123" t="s">
        <v>1698</v>
      </c>
      <c r="R123" t="s">
        <v>246</v>
      </c>
      <c r="S123" s="22">
        <v>44162.584085648145</v>
      </c>
      <c r="T123" s="22" t="s">
        <v>2221</v>
      </c>
    </row>
    <row r="124" spans="1:20" x14ac:dyDescent="0.25">
      <c r="A124" t="s">
        <v>1741</v>
      </c>
      <c r="B124" t="s">
        <v>240</v>
      </c>
      <c r="C124">
        <v>2</v>
      </c>
      <c r="D124" t="s">
        <v>242</v>
      </c>
      <c r="E124" s="22">
        <v>43466</v>
      </c>
      <c r="F124" t="s">
        <v>1378</v>
      </c>
      <c r="G124">
        <v>4</v>
      </c>
      <c r="H124" t="s">
        <v>1742</v>
      </c>
      <c r="I124" t="s">
        <v>1299</v>
      </c>
      <c r="J124">
        <v>1234</v>
      </c>
      <c r="K124" t="s">
        <v>1381</v>
      </c>
      <c r="L124" t="s">
        <v>1301</v>
      </c>
      <c r="M124" t="s">
        <v>1302</v>
      </c>
      <c r="N124" s="22">
        <v>44162</v>
      </c>
      <c r="O124" t="s">
        <v>1303</v>
      </c>
      <c r="P124" t="s">
        <v>1743</v>
      </c>
      <c r="Q124" t="s">
        <v>1698</v>
      </c>
      <c r="R124" t="s">
        <v>246</v>
      </c>
      <c r="S124" s="22">
        <v>44162.618576388886</v>
      </c>
      <c r="T124" s="22" t="s">
        <v>2221</v>
      </c>
    </row>
    <row r="125" spans="1:20" x14ac:dyDescent="0.25">
      <c r="A125" t="s">
        <v>1741</v>
      </c>
      <c r="B125" t="s">
        <v>45</v>
      </c>
      <c r="C125" t="s">
        <v>1293</v>
      </c>
      <c r="D125" t="s">
        <v>1293</v>
      </c>
      <c r="E125" t="s">
        <v>1293</v>
      </c>
      <c r="F125" t="s">
        <v>1293</v>
      </c>
      <c r="G125" t="s">
        <v>1293</v>
      </c>
      <c r="H125" t="s">
        <v>1293</v>
      </c>
      <c r="I125" t="s">
        <v>1293</v>
      </c>
      <c r="J125" t="s">
        <v>1293</v>
      </c>
      <c r="K125" t="s">
        <v>1293</v>
      </c>
      <c r="L125" t="s">
        <v>1293</v>
      </c>
      <c r="M125" t="s">
        <v>1293</v>
      </c>
      <c r="N125" t="s">
        <v>1293</v>
      </c>
      <c r="O125" t="s">
        <v>1293</v>
      </c>
      <c r="P125" t="s">
        <v>1293</v>
      </c>
      <c r="Q125" t="s">
        <v>1293</v>
      </c>
      <c r="R125" t="s">
        <v>1293</v>
      </c>
      <c r="S125" t="s">
        <v>1293</v>
      </c>
      <c r="T125" s="21" t="s">
        <v>2220</v>
      </c>
    </row>
    <row r="126" spans="1:20" x14ac:dyDescent="0.25">
      <c r="A126" t="s">
        <v>1741</v>
      </c>
      <c r="B126" t="s">
        <v>1184</v>
      </c>
      <c r="C126">
        <v>2</v>
      </c>
      <c r="D126" t="s">
        <v>1186</v>
      </c>
      <c r="E126" s="22">
        <v>43466</v>
      </c>
      <c r="F126" t="s">
        <v>1378</v>
      </c>
      <c r="G126">
        <v>4</v>
      </c>
      <c r="H126" t="s">
        <v>1744</v>
      </c>
      <c r="I126" t="s">
        <v>1745</v>
      </c>
      <c r="J126">
        <v>1234</v>
      </c>
      <c r="K126" t="s">
        <v>1723</v>
      </c>
      <c r="L126" t="s">
        <v>1323</v>
      </c>
      <c r="M126" t="s">
        <v>1324</v>
      </c>
      <c r="N126" s="22">
        <v>44130</v>
      </c>
      <c r="O126" t="s">
        <v>1303</v>
      </c>
      <c r="P126" t="s">
        <v>1746</v>
      </c>
      <c r="Q126" t="s">
        <v>1698</v>
      </c>
      <c r="R126" t="s">
        <v>246</v>
      </c>
      <c r="S126" s="22">
        <v>44130.645324074074</v>
      </c>
      <c r="T126" s="22" t="s">
        <v>2222</v>
      </c>
    </row>
    <row r="127" spans="1:20" x14ac:dyDescent="0.25">
      <c r="A127" t="s">
        <v>1741</v>
      </c>
      <c r="B127" t="s">
        <v>212</v>
      </c>
      <c r="C127">
        <v>2</v>
      </c>
      <c r="D127" t="s">
        <v>214</v>
      </c>
      <c r="E127" s="22">
        <v>43466</v>
      </c>
      <c r="F127" t="s">
        <v>1378</v>
      </c>
      <c r="G127">
        <v>4</v>
      </c>
      <c r="H127" t="s">
        <v>1747</v>
      </c>
      <c r="I127" t="s">
        <v>1299</v>
      </c>
      <c r="J127">
        <v>1234</v>
      </c>
      <c r="K127" t="s">
        <v>1748</v>
      </c>
      <c r="L127" t="s">
        <v>1301</v>
      </c>
      <c r="M127" t="s">
        <v>1302</v>
      </c>
      <c r="N127" s="22">
        <v>44130</v>
      </c>
      <c r="O127" t="s">
        <v>1303</v>
      </c>
      <c r="P127" t="s">
        <v>1749</v>
      </c>
      <c r="Q127" t="s">
        <v>1698</v>
      </c>
      <c r="R127" t="s">
        <v>246</v>
      </c>
      <c r="S127" s="22">
        <v>44130.645057870373</v>
      </c>
      <c r="T127" s="22" t="s">
        <v>2222</v>
      </c>
    </row>
    <row r="128" spans="1:20" x14ac:dyDescent="0.25">
      <c r="A128" t="s">
        <v>1741</v>
      </c>
      <c r="B128" t="s">
        <v>172</v>
      </c>
      <c r="C128">
        <v>2</v>
      </c>
      <c r="D128" t="s">
        <v>174</v>
      </c>
      <c r="E128" s="22">
        <v>43466</v>
      </c>
      <c r="F128" t="s">
        <v>1378</v>
      </c>
      <c r="G128">
        <v>4</v>
      </c>
      <c r="H128" t="s">
        <v>1750</v>
      </c>
      <c r="I128" t="s">
        <v>1299</v>
      </c>
      <c r="J128">
        <v>1234</v>
      </c>
      <c r="K128" t="s">
        <v>1751</v>
      </c>
      <c r="L128" t="s">
        <v>1323</v>
      </c>
      <c r="M128" t="s">
        <v>1302</v>
      </c>
      <c r="N128" s="22">
        <v>44162</v>
      </c>
      <c r="O128" t="s">
        <v>1303</v>
      </c>
      <c r="P128">
        <v>123456</v>
      </c>
      <c r="Q128" t="s">
        <v>1698</v>
      </c>
      <c r="R128" t="s">
        <v>246</v>
      </c>
      <c r="S128" s="22">
        <v>44162.684050925927</v>
      </c>
      <c r="T128" s="22" t="s">
        <v>2221</v>
      </c>
    </row>
    <row r="129" spans="1:20" x14ac:dyDescent="0.25">
      <c r="A129" t="s">
        <v>1741</v>
      </c>
      <c r="B129" t="s">
        <v>378</v>
      </c>
      <c r="C129">
        <v>2</v>
      </c>
      <c r="D129" t="s">
        <v>380</v>
      </c>
      <c r="E129" s="22">
        <v>43466</v>
      </c>
      <c r="F129" t="s">
        <v>1378</v>
      </c>
      <c r="G129">
        <v>4</v>
      </c>
      <c r="H129" t="s">
        <v>1752</v>
      </c>
      <c r="I129" t="s">
        <v>1299</v>
      </c>
      <c r="J129">
        <v>1234</v>
      </c>
      <c r="K129" t="s">
        <v>1355</v>
      </c>
      <c r="L129" t="s">
        <v>1301</v>
      </c>
      <c r="M129" t="s">
        <v>1302</v>
      </c>
      <c r="N129" s="22">
        <v>44130</v>
      </c>
      <c r="O129" t="s">
        <v>1303</v>
      </c>
      <c r="P129" t="s">
        <v>1753</v>
      </c>
      <c r="Q129" t="s">
        <v>1698</v>
      </c>
      <c r="R129" t="s">
        <v>246</v>
      </c>
      <c r="S129" s="22">
        <v>44130.639756944445</v>
      </c>
      <c r="T129" s="22" t="s">
        <v>2222</v>
      </c>
    </row>
    <row r="130" spans="1:20" x14ac:dyDescent="0.25">
      <c r="A130" t="s">
        <v>1741</v>
      </c>
      <c r="B130" t="s">
        <v>1190</v>
      </c>
      <c r="C130">
        <v>2</v>
      </c>
      <c r="D130" t="s">
        <v>1192</v>
      </c>
      <c r="E130" s="22">
        <v>43466</v>
      </c>
      <c r="F130" t="s">
        <v>1378</v>
      </c>
      <c r="G130">
        <v>4</v>
      </c>
      <c r="H130" t="s">
        <v>1754</v>
      </c>
      <c r="I130" t="s">
        <v>1299</v>
      </c>
      <c r="J130">
        <v>1234</v>
      </c>
      <c r="K130" t="s">
        <v>1355</v>
      </c>
      <c r="L130" t="s">
        <v>1301</v>
      </c>
      <c r="M130" t="s">
        <v>1302</v>
      </c>
      <c r="N130" s="22">
        <v>44130</v>
      </c>
      <c r="O130" t="s">
        <v>1303</v>
      </c>
      <c r="P130">
        <v>123456</v>
      </c>
      <c r="Q130" t="s">
        <v>1698</v>
      </c>
      <c r="R130" t="s">
        <v>246</v>
      </c>
      <c r="S130" s="22">
        <v>44130.644201388888</v>
      </c>
      <c r="T130" s="22" t="s">
        <v>2222</v>
      </c>
    </row>
    <row r="131" spans="1:20" x14ac:dyDescent="0.25">
      <c r="A131" t="s">
        <v>1741</v>
      </c>
      <c r="B131" t="s">
        <v>1193</v>
      </c>
      <c r="C131">
        <v>2</v>
      </c>
      <c r="D131" t="s">
        <v>1195</v>
      </c>
      <c r="E131" s="22">
        <v>43466</v>
      </c>
      <c r="F131" t="s">
        <v>1378</v>
      </c>
      <c r="G131">
        <v>4</v>
      </c>
      <c r="H131" t="s">
        <v>1755</v>
      </c>
      <c r="I131" t="s">
        <v>1299</v>
      </c>
      <c r="J131">
        <v>1234</v>
      </c>
      <c r="K131" t="s">
        <v>1756</v>
      </c>
      <c r="L131" t="s">
        <v>1301</v>
      </c>
      <c r="M131" t="s">
        <v>1324</v>
      </c>
      <c r="N131" s="22">
        <v>44130</v>
      </c>
      <c r="O131" t="s">
        <v>1303</v>
      </c>
      <c r="P131" t="s">
        <v>1757</v>
      </c>
      <c r="Q131" t="s">
        <v>1698</v>
      </c>
      <c r="R131" t="s">
        <v>246</v>
      </c>
      <c r="S131" s="22">
        <v>44130.643877314818</v>
      </c>
      <c r="T131" s="22" t="s">
        <v>2222</v>
      </c>
    </row>
    <row r="132" spans="1:20" x14ac:dyDescent="0.25">
      <c r="A132" t="s">
        <v>1741</v>
      </c>
      <c r="B132" t="s">
        <v>1196</v>
      </c>
      <c r="C132">
        <v>2</v>
      </c>
      <c r="D132" t="s">
        <v>1198</v>
      </c>
      <c r="E132" s="22">
        <v>43466</v>
      </c>
      <c r="F132" t="s">
        <v>1378</v>
      </c>
      <c r="G132">
        <v>4</v>
      </c>
      <c r="H132" t="s">
        <v>1758</v>
      </c>
      <c r="I132" t="s">
        <v>1299</v>
      </c>
      <c r="J132">
        <v>1234</v>
      </c>
      <c r="K132" t="s">
        <v>1712</v>
      </c>
      <c r="L132" t="s">
        <v>1301</v>
      </c>
      <c r="M132" t="s">
        <v>1324</v>
      </c>
      <c r="N132" s="22">
        <v>44162</v>
      </c>
      <c r="O132" t="s">
        <v>1303</v>
      </c>
      <c r="P132" t="s">
        <v>1759</v>
      </c>
      <c r="Q132" t="s">
        <v>1698</v>
      </c>
      <c r="R132" t="s">
        <v>246</v>
      </c>
      <c r="S132" s="22">
        <v>44162.686435185184</v>
      </c>
      <c r="T132" s="22" t="s">
        <v>2221</v>
      </c>
    </row>
    <row r="133" spans="1:20" x14ac:dyDescent="0.25">
      <c r="A133" t="s">
        <v>1741</v>
      </c>
      <c r="B133" t="s">
        <v>358</v>
      </c>
      <c r="C133">
        <v>2</v>
      </c>
      <c r="D133" t="s">
        <v>360</v>
      </c>
      <c r="E133" s="22">
        <v>43466</v>
      </c>
      <c r="F133" t="s">
        <v>1378</v>
      </c>
      <c r="G133">
        <v>4</v>
      </c>
      <c r="H133" t="s">
        <v>1760</v>
      </c>
      <c r="I133" t="s">
        <v>1299</v>
      </c>
      <c r="J133">
        <v>1234</v>
      </c>
      <c r="K133" t="s">
        <v>1761</v>
      </c>
      <c r="L133" t="s">
        <v>1301</v>
      </c>
      <c r="M133" t="s">
        <v>1324</v>
      </c>
      <c r="N133" s="22">
        <v>44162</v>
      </c>
      <c r="O133" t="s">
        <v>1303</v>
      </c>
      <c r="P133">
        <v>123456</v>
      </c>
      <c r="Q133" t="s">
        <v>1698</v>
      </c>
      <c r="R133" t="s">
        <v>246</v>
      </c>
      <c r="S133" s="22">
        <v>44162.684965277775</v>
      </c>
      <c r="T133" s="22" t="s">
        <v>2221</v>
      </c>
    </row>
    <row r="134" spans="1:20" x14ac:dyDescent="0.25">
      <c r="A134" t="s">
        <v>1741</v>
      </c>
      <c r="B134" t="s">
        <v>1200</v>
      </c>
      <c r="C134">
        <v>2</v>
      </c>
      <c r="D134" t="s">
        <v>1202</v>
      </c>
      <c r="E134" s="22">
        <v>43466</v>
      </c>
      <c r="F134" t="s">
        <v>1304</v>
      </c>
      <c r="G134">
        <v>0</v>
      </c>
      <c r="H134">
        <v>0</v>
      </c>
      <c r="I134" t="s">
        <v>1299</v>
      </c>
      <c r="J134">
        <v>1234</v>
      </c>
      <c r="K134" t="s">
        <v>1762</v>
      </c>
      <c r="L134" t="s">
        <v>1323</v>
      </c>
      <c r="M134" t="s">
        <v>1728</v>
      </c>
      <c r="N134" s="22">
        <v>44163</v>
      </c>
      <c r="O134" t="s">
        <v>1303</v>
      </c>
      <c r="P134" t="s">
        <v>1698</v>
      </c>
      <c r="Q134" t="s">
        <v>1698</v>
      </c>
      <c r="R134" t="s">
        <v>246</v>
      </c>
      <c r="S134" s="22">
        <v>44163.380856481483</v>
      </c>
      <c r="T134" s="22" t="s">
        <v>2221</v>
      </c>
    </row>
    <row r="135" spans="1:20" x14ac:dyDescent="0.25">
      <c r="A135" t="s">
        <v>1741</v>
      </c>
      <c r="B135" t="s">
        <v>1203</v>
      </c>
      <c r="C135">
        <v>2</v>
      </c>
      <c r="D135" t="s">
        <v>1205</v>
      </c>
      <c r="E135" s="22">
        <v>43466</v>
      </c>
      <c r="F135" t="s">
        <v>1378</v>
      </c>
      <c r="G135">
        <v>4</v>
      </c>
      <c r="H135" t="s">
        <v>1763</v>
      </c>
      <c r="I135" t="s">
        <v>1299</v>
      </c>
      <c r="J135">
        <v>1234</v>
      </c>
      <c r="K135" t="s">
        <v>1764</v>
      </c>
      <c r="L135" t="s">
        <v>1301</v>
      </c>
      <c r="M135" t="s">
        <v>1324</v>
      </c>
      <c r="N135" s="22">
        <v>44162</v>
      </c>
      <c r="O135" t="s">
        <v>1303</v>
      </c>
      <c r="P135">
        <v>123456</v>
      </c>
      <c r="Q135" t="s">
        <v>1698</v>
      </c>
      <c r="R135" t="s">
        <v>246</v>
      </c>
      <c r="S135" s="22">
        <v>44162.683275462965</v>
      </c>
      <c r="T135" s="22" t="s">
        <v>2221</v>
      </c>
    </row>
    <row r="136" spans="1:20" x14ac:dyDescent="0.25">
      <c r="A136" t="s">
        <v>1741</v>
      </c>
      <c r="B136" t="s">
        <v>993</v>
      </c>
      <c r="C136">
        <v>2</v>
      </c>
      <c r="D136" t="s">
        <v>995</v>
      </c>
      <c r="E136" s="22">
        <v>43466</v>
      </c>
      <c r="F136" t="s">
        <v>1378</v>
      </c>
      <c r="G136">
        <v>4</v>
      </c>
      <c r="H136" t="s">
        <v>1765</v>
      </c>
      <c r="I136" t="s">
        <v>1766</v>
      </c>
      <c r="J136" t="s">
        <v>1767</v>
      </c>
      <c r="K136" t="s">
        <v>1768</v>
      </c>
      <c r="L136" t="s">
        <v>1301</v>
      </c>
      <c r="M136" t="s">
        <v>1302</v>
      </c>
      <c r="N136" s="22">
        <v>44162</v>
      </c>
      <c r="O136" t="s">
        <v>1303</v>
      </c>
      <c r="P136">
        <v>123456</v>
      </c>
      <c r="Q136" t="s">
        <v>1769</v>
      </c>
      <c r="R136" t="s">
        <v>246</v>
      </c>
      <c r="S136" s="22">
        <v>44162.684432870374</v>
      </c>
      <c r="T136" s="22" t="s">
        <v>2221</v>
      </c>
    </row>
    <row r="137" spans="1:20" x14ac:dyDescent="0.25">
      <c r="A137" t="s">
        <v>1741</v>
      </c>
      <c r="B137" t="s">
        <v>283</v>
      </c>
      <c r="C137">
        <v>2</v>
      </c>
      <c r="D137" t="s">
        <v>285</v>
      </c>
      <c r="E137" s="22">
        <v>43466</v>
      </c>
      <c r="F137" t="s">
        <v>1378</v>
      </c>
      <c r="G137">
        <v>4</v>
      </c>
      <c r="H137" t="s">
        <v>1770</v>
      </c>
      <c r="I137" t="s">
        <v>1299</v>
      </c>
      <c r="J137">
        <v>1234</v>
      </c>
      <c r="K137" t="s">
        <v>1355</v>
      </c>
      <c r="L137" t="s">
        <v>1301</v>
      </c>
      <c r="M137" t="s">
        <v>1302</v>
      </c>
      <c r="N137" s="22">
        <v>44162</v>
      </c>
      <c r="O137" t="s">
        <v>1303</v>
      </c>
      <c r="P137" t="s">
        <v>1771</v>
      </c>
      <c r="Q137" t="s">
        <v>1698</v>
      </c>
      <c r="R137" t="s">
        <v>246</v>
      </c>
      <c r="S137" s="22">
        <v>44162.687835648147</v>
      </c>
      <c r="T137" s="22" t="s">
        <v>2221</v>
      </c>
    </row>
    <row r="138" spans="1:20" x14ac:dyDescent="0.25">
      <c r="A138" t="s">
        <v>1772</v>
      </c>
      <c r="B138" t="s">
        <v>67</v>
      </c>
      <c r="C138">
        <v>3</v>
      </c>
      <c r="D138" t="s">
        <v>69</v>
      </c>
      <c r="E138" s="22">
        <v>43725</v>
      </c>
      <c r="F138" t="s">
        <v>1378</v>
      </c>
      <c r="G138">
        <v>5</v>
      </c>
      <c r="H138" t="s">
        <v>1773</v>
      </c>
      <c r="I138" t="s">
        <v>1299</v>
      </c>
      <c r="J138">
        <v>1234</v>
      </c>
      <c r="K138" t="s">
        <v>1774</v>
      </c>
      <c r="L138" t="s">
        <v>1301</v>
      </c>
      <c r="M138" t="s">
        <v>1302</v>
      </c>
      <c r="N138" s="22">
        <v>44130</v>
      </c>
      <c r="O138" t="s">
        <v>1303</v>
      </c>
      <c r="P138">
        <v>123456</v>
      </c>
      <c r="Q138" t="s">
        <v>1448</v>
      </c>
      <c r="R138" t="s">
        <v>246</v>
      </c>
      <c r="S138" s="22">
        <v>44130.651458333334</v>
      </c>
      <c r="T138" s="22" t="s">
        <v>2222</v>
      </c>
    </row>
    <row r="139" spans="1:20" x14ac:dyDescent="0.25">
      <c r="A139" t="s">
        <v>1772</v>
      </c>
      <c r="B139" t="s">
        <v>31</v>
      </c>
      <c r="C139">
        <v>3</v>
      </c>
      <c r="D139" t="s">
        <v>34</v>
      </c>
      <c r="E139" s="22">
        <v>43466</v>
      </c>
      <c r="F139" t="s">
        <v>1378</v>
      </c>
      <c r="G139">
        <v>4</v>
      </c>
      <c r="H139" t="s">
        <v>1775</v>
      </c>
      <c r="I139" t="s">
        <v>1299</v>
      </c>
      <c r="J139">
        <v>1234</v>
      </c>
      <c r="K139" t="s">
        <v>1776</v>
      </c>
      <c r="L139" t="s">
        <v>1323</v>
      </c>
      <c r="M139" t="s">
        <v>1324</v>
      </c>
      <c r="N139" s="22">
        <v>44130</v>
      </c>
      <c r="O139" t="s">
        <v>1303</v>
      </c>
      <c r="P139">
        <v>123456</v>
      </c>
      <c r="Q139" t="s">
        <v>1698</v>
      </c>
      <c r="R139" t="s">
        <v>246</v>
      </c>
      <c r="S139" s="22">
        <v>44130.659814814811</v>
      </c>
      <c r="T139" s="22" t="s">
        <v>2222</v>
      </c>
    </row>
    <row r="140" spans="1:20" x14ac:dyDescent="0.25">
      <c r="A140" t="s">
        <v>1772</v>
      </c>
      <c r="B140" t="s">
        <v>265</v>
      </c>
      <c r="C140">
        <v>3</v>
      </c>
      <c r="D140" t="s">
        <v>267</v>
      </c>
      <c r="E140" s="22">
        <v>43745</v>
      </c>
      <c r="F140" t="s">
        <v>1378</v>
      </c>
      <c r="G140">
        <v>4</v>
      </c>
      <c r="H140" t="s">
        <v>1777</v>
      </c>
      <c r="I140" t="s">
        <v>1299</v>
      </c>
      <c r="J140">
        <v>1234</v>
      </c>
      <c r="K140" t="s">
        <v>1778</v>
      </c>
      <c r="L140" t="s">
        <v>1301</v>
      </c>
      <c r="M140" t="s">
        <v>1302</v>
      </c>
      <c r="N140" s="22">
        <v>44130</v>
      </c>
      <c r="O140" t="s">
        <v>1303</v>
      </c>
      <c r="P140">
        <v>123456</v>
      </c>
      <c r="Q140" t="s">
        <v>1312</v>
      </c>
      <c r="R140" t="s">
        <v>246</v>
      </c>
      <c r="S140" s="22">
        <v>44130.660567129627</v>
      </c>
      <c r="T140" s="22" t="s">
        <v>2222</v>
      </c>
    </row>
    <row r="141" spans="1:20" x14ac:dyDescent="0.25">
      <c r="A141" t="s">
        <v>1772</v>
      </c>
      <c r="B141" t="s">
        <v>1779</v>
      </c>
      <c r="C141">
        <v>3</v>
      </c>
      <c r="D141" t="s">
        <v>1780</v>
      </c>
      <c r="E141" s="22">
        <v>43466</v>
      </c>
      <c r="F141" t="s">
        <v>1378</v>
      </c>
      <c r="G141">
        <v>4</v>
      </c>
      <c r="H141" t="s">
        <v>1781</v>
      </c>
      <c r="I141" t="s">
        <v>1299</v>
      </c>
      <c r="J141">
        <v>1234</v>
      </c>
      <c r="K141" t="s">
        <v>1355</v>
      </c>
      <c r="L141" t="s">
        <v>1301</v>
      </c>
      <c r="M141" t="s">
        <v>1302</v>
      </c>
      <c r="N141" s="22">
        <v>44130</v>
      </c>
      <c r="O141" t="s">
        <v>1303</v>
      </c>
      <c r="P141" t="s">
        <v>1782</v>
      </c>
      <c r="Q141" t="s">
        <v>1698</v>
      </c>
      <c r="R141" t="s">
        <v>246</v>
      </c>
      <c r="S141" s="22">
        <v>44130.657106481478</v>
      </c>
      <c r="T141" s="22" t="s">
        <v>2222</v>
      </c>
    </row>
    <row r="142" spans="1:20" x14ac:dyDescent="0.25">
      <c r="A142" t="s">
        <v>1772</v>
      </c>
      <c r="B142" t="s">
        <v>1783</v>
      </c>
      <c r="C142">
        <v>3</v>
      </c>
      <c r="D142" t="s">
        <v>1784</v>
      </c>
      <c r="E142" s="22">
        <v>43466</v>
      </c>
      <c r="F142" t="s">
        <v>1378</v>
      </c>
      <c r="G142">
        <v>4</v>
      </c>
      <c r="H142" t="s">
        <v>1785</v>
      </c>
      <c r="I142" t="s">
        <v>1786</v>
      </c>
      <c r="J142" t="s">
        <v>1787</v>
      </c>
      <c r="K142" t="s">
        <v>1355</v>
      </c>
      <c r="L142" t="s">
        <v>1301</v>
      </c>
      <c r="M142" t="s">
        <v>1302</v>
      </c>
      <c r="N142" s="22">
        <v>44130</v>
      </c>
      <c r="O142" t="s">
        <v>1303</v>
      </c>
      <c r="P142" t="s">
        <v>1788</v>
      </c>
      <c r="Q142" t="s">
        <v>1698</v>
      </c>
      <c r="R142" t="s">
        <v>246</v>
      </c>
      <c r="S142" s="22">
        <v>44130.657511574071</v>
      </c>
      <c r="T142" s="22" t="s">
        <v>2222</v>
      </c>
    </row>
    <row r="143" spans="1:20" x14ac:dyDescent="0.25">
      <c r="A143" t="s">
        <v>1772</v>
      </c>
      <c r="B143" t="s">
        <v>806</v>
      </c>
      <c r="C143">
        <v>3</v>
      </c>
      <c r="D143" t="s">
        <v>808</v>
      </c>
      <c r="E143" s="22">
        <v>43466</v>
      </c>
      <c r="F143" t="s">
        <v>1378</v>
      </c>
      <c r="G143">
        <v>8</v>
      </c>
      <c r="H143" t="s">
        <v>1789</v>
      </c>
      <c r="I143" t="s">
        <v>1790</v>
      </c>
      <c r="J143" t="s">
        <v>1791</v>
      </c>
      <c r="K143" t="s">
        <v>1355</v>
      </c>
      <c r="L143" t="s">
        <v>1301</v>
      </c>
      <c r="M143" t="s">
        <v>1302</v>
      </c>
      <c r="N143" s="22">
        <v>44130</v>
      </c>
      <c r="O143" t="s">
        <v>1303</v>
      </c>
      <c r="P143">
        <v>123456</v>
      </c>
      <c r="Q143" t="s">
        <v>1698</v>
      </c>
      <c r="R143" t="s">
        <v>246</v>
      </c>
      <c r="S143" s="22">
        <v>44130.652094907404</v>
      </c>
      <c r="T143" s="22" t="s">
        <v>2222</v>
      </c>
    </row>
    <row r="144" spans="1:20" x14ac:dyDescent="0.25">
      <c r="A144" t="s">
        <v>1772</v>
      </c>
      <c r="B144" t="s">
        <v>1792</v>
      </c>
      <c r="C144">
        <v>3</v>
      </c>
      <c r="D144" t="s">
        <v>1793</v>
      </c>
      <c r="E144" s="22">
        <v>44075</v>
      </c>
      <c r="F144" t="s">
        <v>1307</v>
      </c>
      <c r="G144">
        <v>4</v>
      </c>
      <c r="H144" t="s">
        <v>1794</v>
      </c>
      <c r="I144" t="s">
        <v>1795</v>
      </c>
      <c r="J144" t="s">
        <v>1715</v>
      </c>
      <c r="K144" t="s">
        <v>1355</v>
      </c>
      <c r="L144" t="s">
        <v>1301</v>
      </c>
      <c r="M144" t="s">
        <v>1302</v>
      </c>
      <c r="N144" s="22">
        <v>44130</v>
      </c>
      <c r="O144" t="s">
        <v>1303</v>
      </c>
      <c r="P144">
        <v>123456</v>
      </c>
      <c r="Q144" t="s">
        <v>1312</v>
      </c>
      <c r="R144" t="s">
        <v>246</v>
      </c>
      <c r="S144" s="22">
        <v>44130.652384259258</v>
      </c>
      <c r="T144" s="22" t="s">
        <v>2222</v>
      </c>
    </row>
    <row r="145" spans="1:20" x14ac:dyDescent="0.25">
      <c r="A145" t="s">
        <v>1772</v>
      </c>
      <c r="B145" t="s">
        <v>1796</v>
      </c>
      <c r="C145">
        <v>3</v>
      </c>
      <c r="D145" t="s">
        <v>1797</v>
      </c>
      <c r="E145" s="22">
        <v>44075</v>
      </c>
      <c r="F145" t="s">
        <v>1307</v>
      </c>
      <c r="G145">
        <v>4</v>
      </c>
      <c r="H145" t="s">
        <v>1798</v>
      </c>
      <c r="I145" t="s">
        <v>1799</v>
      </c>
      <c r="J145" t="s">
        <v>1715</v>
      </c>
      <c r="K145" t="s">
        <v>1800</v>
      </c>
      <c r="L145" t="s">
        <v>1323</v>
      </c>
      <c r="M145" t="s">
        <v>1324</v>
      </c>
      <c r="N145" s="22">
        <v>44130</v>
      </c>
      <c r="O145" t="s">
        <v>1303</v>
      </c>
      <c r="P145">
        <v>123456</v>
      </c>
      <c r="Q145" t="s">
        <v>1312</v>
      </c>
      <c r="R145" t="s">
        <v>246</v>
      </c>
      <c r="S145" s="22">
        <v>44130.660011574073</v>
      </c>
      <c r="T145" s="22" t="s">
        <v>2222</v>
      </c>
    </row>
    <row r="146" spans="1:20" x14ac:dyDescent="0.25">
      <c r="A146" t="s">
        <v>1772</v>
      </c>
      <c r="B146" t="s">
        <v>49</v>
      </c>
      <c r="C146">
        <v>3</v>
      </c>
      <c r="D146" t="s">
        <v>52</v>
      </c>
      <c r="E146" s="22">
        <v>43466</v>
      </c>
      <c r="F146" t="s">
        <v>1378</v>
      </c>
      <c r="G146">
        <v>4</v>
      </c>
      <c r="H146" t="s">
        <v>1801</v>
      </c>
      <c r="I146" t="s">
        <v>1299</v>
      </c>
      <c r="J146">
        <v>1234</v>
      </c>
      <c r="K146" t="s">
        <v>1802</v>
      </c>
      <c r="L146" t="s">
        <v>1323</v>
      </c>
      <c r="M146" t="s">
        <v>1324</v>
      </c>
      <c r="N146" s="22">
        <v>44130</v>
      </c>
      <c r="O146" t="s">
        <v>1303</v>
      </c>
      <c r="P146">
        <v>123456</v>
      </c>
      <c r="Q146" t="s">
        <v>1698</v>
      </c>
      <c r="R146" t="s">
        <v>246</v>
      </c>
      <c r="S146" s="22">
        <v>44130.658668981479</v>
      </c>
      <c r="T146" s="22" t="s">
        <v>2222</v>
      </c>
    </row>
    <row r="147" spans="1:20" x14ac:dyDescent="0.25">
      <c r="A147" t="s">
        <v>1772</v>
      </c>
      <c r="B147" t="s">
        <v>128</v>
      </c>
      <c r="C147">
        <v>3</v>
      </c>
      <c r="D147" t="s">
        <v>130</v>
      </c>
      <c r="E147" s="22">
        <v>43466</v>
      </c>
      <c r="F147" t="s">
        <v>1378</v>
      </c>
      <c r="G147">
        <v>4</v>
      </c>
      <c r="H147" t="s">
        <v>1803</v>
      </c>
      <c r="I147" t="s">
        <v>1299</v>
      </c>
      <c r="J147">
        <v>1234</v>
      </c>
      <c r="K147" t="s">
        <v>1804</v>
      </c>
      <c r="L147" t="s">
        <v>1301</v>
      </c>
      <c r="M147" t="s">
        <v>1302</v>
      </c>
      <c r="N147" s="22">
        <v>44130</v>
      </c>
      <c r="O147" t="s">
        <v>1303</v>
      </c>
      <c r="P147" t="s">
        <v>1805</v>
      </c>
      <c r="Q147" t="s">
        <v>1312</v>
      </c>
      <c r="R147" t="s">
        <v>246</v>
      </c>
      <c r="S147" s="22">
        <v>44130.657268518517</v>
      </c>
      <c r="T147" s="22" t="s">
        <v>2222</v>
      </c>
    </row>
    <row r="148" spans="1:20" x14ac:dyDescent="0.25">
      <c r="A148" t="s">
        <v>1772</v>
      </c>
      <c r="B148" t="s">
        <v>1806</v>
      </c>
      <c r="C148">
        <v>3</v>
      </c>
      <c r="D148" t="s">
        <v>1807</v>
      </c>
      <c r="E148" s="22">
        <v>43466</v>
      </c>
      <c r="F148" t="s">
        <v>1378</v>
      </c>
      <c r="G148">
        <v>4</v>
      </c>
      <c r="H148" t="s">
        <v>1808</v>
      </c>
      <c r="I148" t="s">
        <v>1299</v>
      </c>
      <c r="J148">
        <v>1234</v>
      </c>
      <c r="K148" t="s">
        <v>1809</v>
      </c>
      <c r="L148" t="s">
        <v>1323</v>
      </c>
      <c r="M148" t="s">
        <v>1302</v>
      </c>
      <c r="N148" s="22">
        <v>44130</v>
      </c>
      <c r="O148" t="s">
        <v>1303</v>
      </c>
      <c r="P148">
        <v>123456</v>
      </c>
      <c r="Q148" t="s">
        <v>1698</v>
      </c>
      <c r="R148" t="s">
        <v>246</v>
      </c>
      <c r="S148" s="22">
        <v>44130.659456018519</v>
      </c>
      <c r="T148" s="22" t="s">
        <v>2222</v>
      </c>
    </row>
    <row r="149" spans="1:20" x14ac:dyDescent="0.25">
      <c r="A149" t="s">
        <v>1772</v>
      </c>
      <c r="B149" t="s">
        <v>307</v>
      </c>
      <c r="C149">
        <v>3</v>
      </c>
      <c r="D149" t="s">
        <v>309</v>
      </c>
      <c r="E149" s="22">
        <v>43466</v>
      </c>
      <c r="F149" t="s">
        <v>1378</v>
      </c>
      <c r="G149">
        <v>4</v>
      </c>
      <c r="H149" t="s">
        <v>1810</v>
      </c>
      <c r="I149" t="s">
        <v>1745</v>
      </c>
      <c r="J149">
        <v>1234</v>
      </c>
      <c r="K149" t="s">
        <v>1811</v>
      </c>
      <c r="L149" t="s">
        <v>1323</v>
      </c>
      <c r="M149" t="s">
        <v>1324</v>
      </c>
      <c r="N149" s="22">
        <v>44130</v>
      </c>
      <c r="O149" t="s">
        <v>1303</v>
      </c>
      <c r="P149" t="s">
        <v>1812</v>
      </c>
      <c r="Q149" t="s">
        <v>1698</v>
      </c>
      <c r="R149" t="s">
        <v>246</v>
      </c>
      <c r="S149" s="22">
        <v>44130.658402777779</v>
      </c>
      <c r="T149" s="22" t="s">
        <v>2222</v>
      </c>
    </row>
    <row r="150" spans="1:20" x14ac:dyDescent="0.25">
      <c r="A150" t="s">
        <v>1772</v>
      </c>
      <c r="B150" t="s">
        <v>1813</v>
      </c>
      <c r="C150">
        <v>3</v>
      </c>
      <c r="D150" t="s">
        <v>1814</v>
      </c>
      <c r="E150" s="22">
        <v>43466</v>
      </c>
      <c r="F150" t="s">
        <v>1378</v>
      </c>
      <c r="G150">
        <v>4</v>
      </c>
      <c r="H150" t="s">
        <v>1815</v>
      </c>
      <c r="I150" t="s">
        <v>1299</v>
      </c>
      <c r="J150">
        <v>1234</v>
      </c>
      <c r="K150" t="s">
        <v>1816</v>
      </c>
      <c r="L150" t="s">
        <v>1301</v>
      </c>
      <c r="M150" t="s">
        <v>1302</v>
      </c>
      <c r="N150" s="22">
        <v>44130</v>
      </c>
      <c r="O150" t="s">
        <v>1303</v>
      </c>
      <c r="P150">
        <v>123456</v>
      </c>
      <c r="Q150" t="s">
        <v>1698</v>
      </c>
      <c r="R150" t="s">
        <v>246</v>
      </c>
      <c r="S150" s="22">
        <v>44130.659270833334</v>
      </c>
      <c r="T150" s="22" t="s">
        <v>2222</v>
      </c>
    </row>
    <row r="151" spans="1:20" x14ac:dyDescent="0.25">
      <c r="A151" t="s">
        <v>1772</v>
      </c>
      <c r="B151" t="s">
        <v>1817</v>
      </c>
      <c r="C151">
        <v>3</v>
      </c>
      <c r="D151" t="s">
        <v>1818</v>
      </c>
      <c r="E151" s="22">
        <v>43466</v>
      </c>
      <c r="F151" t="s">
        <v>1378</v>
      </c>
      <c r="G151">
        <v>4</v>
      </c>
      <c r="H151" t="s">
        <v>1819</v>
      </c>
      <c r="I151" t="s">
        <v>1299</v>
      </c>
      <c r="J151">
        <v>1234</v>
      </c>
      <c r="K151" t="s">
        <v>1355</v>
      </c>
      <c r="L151" t="s">
        <v>1301</v>
      </c>
      <c r="M151" t="s">
        <v>1302</v>
      </c>
      <c r="N151" s="22">
        <v>44130</v>
      </c>
      <c r="O151" t="s">
        <v>1303</v>
      </c>
      <c r="P151">
        <v>123456</v>
      </c>
      <c r="Q151" t="s">
        <v>1312</v>
      </c>
      <c r="R151" t="s">
        <v>246</v>
      </c>
      <c r="S151" s="22">
        <v>44130.657696759263</v>
      </c>
      <c r="T151" s="22" t="s">
        <v>2222</v>
      </c>
    </row>
    <row r="152" spans="1:20" x14ac:dyDescent="0.25">
      <c r="A152" t="s">
        <v>1772</v>
      </c>
      <c r="B152" t="s">
        <v>96</v>
      </c>
      <c r="C152">
        <v>3</v>
      </c>
      <c r="D152" t="s">
        <v>98</v>
      </c>
      <c r="E152" s="22">
        <v>43831</v>
      </c>
      <c r="F152" t="s">
        <v>1307</v>
      </c>
      <c r="G152">
        <v>4</v>
      </c>
      <c r="H152" t="s">
        <v>1820</v>
      </c>
      <c r="I152" t="s">
        <v>1821</v>
      </c>
      <c r="J152" t="s">
        <v>1822</v>
      </c>
      <c r="K152" t="s">
        <v>1331</v>
      </c>
      <c r="L152" t="s">
        <v>1323</v>
      </c>
      <c r="M152" t="s">
        <v>1324</v>
      </c>
      <c r="N152" s="22">
        <v>44130</v>
      </c>
      <c r="O152" t="s">
        <v>1303</v>
      </c>
      <c r="P152">
        <v>123456</v>
      </c>
      <c r="Q152" t="s">
        <v>1312</v>
      </c>
      <c r="R152" t="s">
        <v>246</v>
      </c>
      <c r="S152" s="22">
        <v>44130.657916666663</v>
      </c>
      <c r="T152" s="22" t="s">
        <v>2222</v>
      </c>
    </row>
    <row r="153" spans="1:20" x14ac:dyDescent="0.25">
      <c r="A153" t="s">
        <v>1772</v>
      </c>
      <c r="B153" t="s">
        <v>61</v>
      </c>
      <c r="C153" t="s">
        <v>1293</v>
      </c>
      <c r="D153" t="s">
        <v>1293</v>
      </c>
      <c r="E153" t="s">
        <v>1293</v>
      </c>
      <c r="F153" t="s">
        <v>1293</v>
      </c>
      <c r="G153" t="s">
        <v>1293</v>
      </c>
      <c r="H153" t="s">
        <v>1293</v>
      </c>
      <c r="I153" t="s">
        <v>1293</v>
      </c>
      <c r="J153" t="s">
        <v>1293</v>
      </c>
      <c r="K153" t="s">
        <v>1293</v>
      </c>
      <c r="L153" t="s">
        <v>1293</v>
      </c>
      <c r="M153" t="s">
        <v>1293</v>
      </c>
      <c r="N153" t="s">
        <v>1293</v>
      </c>
      <c r="O153" t="s">
        <v>1293</v>
      </c>
      <c r="P153" t="s">
        <v>1293</v>
      </c>
      <c r="Q153" t="s">
        <v>1293</v>
      </c>
      <c r="R153" t="s">
        <v>1293</v>
      </c>
      <c r="S153" t="s">
        <v>1293</v>
      </c>
      <c r="T153" s="21" t="s">
        <v>2220</v>
      </c>
    </row>
    <row r="154" spans="1:20" x14ac:dyDescent="0.25">
      <c r="A154" t="s">
        <v>1823</v>
      </c>
      <c r="B154" t="s">
        <v>1824</v>
      </c>
      <c r="C154">
        <v>4</v>
      </c>
      <c r="D154" t="s">
        <v>1825</v>
      </c>
      <c r="E154" s="22">
        <v>43466</v>
      </c>
      <c r="F154" t="s">
        <v>1378</v>
      </c>
      <c r="G154">
        <v>4</v>
      </c>
      <c r="H154" t="s">
        <v>1826</v>
      </c>
      <c r="I154" t="s">
        <v>1299</v>
      </c>
      <c r="J154">
        <v>1234</v>
      </c>
      <c r="K154" t="s">
        <v>1336</v>
      </c>
      <c r="L154" t="s">
        <v>1301</v>
      </c>
      <c r="M154" t="s">
        <v>1302</v>
      </c>
      <c r="N154" s="22">
        <v>44133</v>
      </c>
      <c r="O154" t="s">
        <v>1303</v>
      </c>
      <c r="P154">
        <v>123456</v>
      </c>
      <c r="Q154" t="s">
        <v>1448</v>
      </c>
      <c r="R154" t="s">
        <v>246</v>
      </c>
      <c r="S154" s="22">
        <v>44133.612395833334</v>
      </c>
      <c r="T154" s="22" t="s">
        <v>2222</v>
      </c>
    </row>
    <row r="155" spans="1:20" x14ac:dyDescent="0.25">
      <c r="A155" t="s">
        <v>1823</v>
      </c>
      <c r="B155" t="s">
        <v>1827</v>
      </c>
      <c r="C155">
        <v>4</v>
      </c>
      <c r="D155" t="s">
        <v>1828</v>
      </c>
      <c r="E155" s="22">
        <v>43466</v>
      </c>
      <c r="F155" t="s">
        <v>1378</v>
      </c>
      <c r="G155">
        <v>4</v>
      </c>
      <c r="H155" t="s">
        <v>1829</v>
      </c>
      <c r="I155" t="s">
        <v>1830</v>
      </c>
      <c r="J155">
        <v>44205923646</v>
      </c>
      <c r="K155" t="s">
        <v>1534</v>
      </c>
      <c r="L155" t="s">
        <v>1301</v>
      </c>
      <c r="M155" t="s">
        <v>1302</v>
      </c>
      <c r="N155" s="22">
        <v>44133</v>
      </c>
      <c r="O155" t="s">
        <v>1303</v>
      </c>
      <c r="P155">
        <v>123456</v>
      </c>
      <c r="Q155" t="s">
        <v>1304</v>
      </c>
      <c r="R155" t="s">
        <v>246</v>
      </c>
      <c r="S155" s="22">
        <v>44133.613576388889</v>
      </c>
      <c r="T155" s="22" t="s">
        <v>2222</v>
      </c>
    </row>
    <row r="156" spans="1:20" x14ac:dyDescent="0.25">
      <c r="A156" t="s">
        <v>1823</v>
      </c>
      <c r="B156" t="s">
        <v>387</v>
      </c>
      <c r="C156">
        <v>4</v>
      </c>
      <c r="D156" t="s">
        <v>390</v>
      </c>
      <c r="E156" s="22">
        <v>43466</v>
      </c>
      <c r="F156" t="s">
        <v>1378</v>
      </c>
      <c r="G156">
        <v>4</v>
      </c>
      <c r="H156" t="s">
        <v>1831</v>
      </c>
      <c r="I156" t="s">
        <v>1299</v>
      </c>
      <c r="J156">
        <v>1234</v>
      </c>
      <c r="K156" t="s">
        <v>1534</v>
      </c>
      <c r="L156" t="s">
        <v>1301</v>
      </c>
      <c r="M156" t="s">
        <v>1302</v>
      </c>
      <c r="N156" s="22">
        <v>44133</v>
      </c>
      <c r="O156" t="s">
        <v>1303</v>
      </c>
      <c r="P156">
        <v>123456</v>
      </c>
      <c r="Q156" t="s">
        <v>1698</v>
      </c>
      <c r="R156" t="s">
        <v>246</v>
      </c>
      <c r="S156" s="22">
        <v>44133.614293981482</v>
      </c>
      <c r="T156" s="22" t="s">
        <v>2222</v>
      </c>
    </row>
    <row r="157" spans="1:20" x14ac:dyDescent="0.25">
      <c r="A157" t="s">
        <v>1823</v>
      </c>
      <c r="B157" t="s">
        <v>1832</v>
      </c>
      <c r="C157">
        <v>4</v>
      </c>
      <c r="D157" t="s">
        <v>1833</v>
      </c>
      <c r="E157" s="22">
        <v>43466</v>
      </c>
      <c r="F157" t="s">
        <v>1378</v>
      </c>
      <c r="G157">
        <v>4</v>
      </c>
      <c r="H157" t="s">
        <v>1834</v>
      </c>
      <c r="I157" t="s">
        <v>1835</v>
      </c>
      <c r="J157" t="s">
        <v>1836</v>
      </c>
      <c r="K157" t="s">
        <v>1837</v>
      </c>
      <c r="L157" t="s">
        <v>1301</v>
      </c>
      <c r="M157" t="s">
        <v>1302</v>
      </c>
      <c r="N157" s="22">
        <v>44133</v>
      </c>
      <c r="O157" t="s">
        <v>1303</v>
      </c>
      <c r="P157">
        <v>123456</v>
      </c>
      <c r="Q157" t="s">
        <v>1304</v>
      </c>
      <c r="R157" t="s">
        <v>246</v>
      </c>
      <c r="S157" s="22">
        <v>44133.614525462966</v>
      </c>
      <c r="T157" s="22" t="s">
        <v>2222</v>
      </c>
    </row>
    <row r="158" spans="1:20" x14ac:dyDescent="0.25">
      <c r="A158" t="s">
        <v>1823</v>
      </c>
      <c r="B158" t="s">
        <v>1838</v>
      </c>
      <c r="C158">
        <v>4</v>
      </c>
      <c r="D158" t="s">
        <v>1839</v>
      </c>
      <c r="E158" s="22">
        <v>43466</v>
      </c>
      <c r="F158" t="s">
        <v>1378</v>
      </c>
      <c r="G158">
        <v>4</v>
      </c>
      <c r="H158" t="s">
        <v>1840</v>
      </c>
      <c r="I158" t="s">
        <v>1299</v>
      </c>
      <c r="J158" t="s">
        <v>1841</v>
      </c>
      <c r="K158" t="s">
        <v>1842</v>
      </c>
      <c r="L158" t="s">
        <v>1301</v>
      </c>
      <c r="M158" t="s">
        <v>1324</v>
      </c>
      <c r="N158" s="22">
        <v>44133</v>
      </c>
      <c r="O158" t="s">
        <v>1303</v>
      </c>
      <c r="P158">
        <v>123456</v>
      </c>
      <c r="Q158" t="s">
        <v>1652</v>
      </c>
      <c r="R158" t="s">
        <v>246</v>
      </c>
      <c r="S158" s="22">
        <v>44133.614861111113</v>
      </c>
      <c r="T158" s="22" t="s">
        <v>2222</v>
      </c>
    </row>
    <row r="159" spans="1:20" x14ac:dyDescent="0.25">
      <c r="A159" t="s">
        <v>1823</v>
      </c>
      <c r="B159" t="s">
        <v>1843</v>
      </c>
      <c r="C159">
        <v>4</v>
      </c>
      <c r="D159" t="s">
        <v>1844</v>
      </c>
      <c r="E159" s="22">
        <v>43466</v>
      </c>
      <c r="F159" t="s">
        <v>1378</v>
      </c>
      <c r="G159">
        <v>4</v>
      </c>
      <c r="H159" t="s">
        <v>1845</v>
      </c>
      <c r="I159" t="s">
        <v>1299</v>
      </c>
      <c r="J159">
        <v>1234</v>
      </c>
      <c r="K159" t="s">
        <v>1336</v>
      </c>
      <c r="L159" t="s">
        <v>1301</v>
      </c>
      <c r="M159" t="s">
        <v>1302</v>
      </c>
      <c r="N159" s="22">
        <v>44133</v>
      </c>
      <c r="O159" t="s">
        <v>1303</v>
      </c>
      <c r="P159">
        <v>123456</v>
      </c>
      <c r="Q159" t="s">
        <v>1317</v>
      </c>
      <c r="R159" t="s">
        <v>246</v>
      </c>
      <c r="S159" s="22">
        <v>44133.615208333336</v>
      </c>
      <c r="T159" s="22" t="s">
        <v>2222</v>
      </c>
    </row>
    <row r="160" spans="1:20" x14ac:dyDescent="0.25">
      <c r="A160" t="s">
        <v>1823</v>
      </c>
      <c r="B160" t="s">
        <v>1846</v>
      </c>
      <c r="C160">
        <v>4</v>
      </c>
      <c r="D160" t="s">
        <v>1847</v>
      </c>
      <c r="E160" s="22">
        <v>43466</v>
      </c>
      <c r="F160" t="s">
        <v>1378</v>
      </c>
      <c r="G160">
        <v>4</v>
      </c>
      <c r="H160" t="s">
        <v>1848</v>
      </c>
      <c r="I160" t="s">
        <v>1299</v>
      </c>
      <c r="J160">
        <v>1234</v>
      </c>
      <c r="K160" t="s">
        <v>1534</v>
      </c>
      <c r="L160" t="s">
        <v>1301</v>
      </c>
      <c r="M160" t="s">
        <v>1302</v>
      </c>
      <c r="N160" s="22">
        <v>44133</v>
      </c>
      <c r="O160" t="s">
        <v>1303</v>
      </c>
      <c r="P160">
        <v>123456</v>
      </c>
      <c r="Q160" t="s">
        <v>1448</v>
      </c>
      <c r="R160" t="s">
        <v>246</v>
      </c>
      <c r="S160" s="22">
        <v>44133.616840277777</v>
      </c>
      <c r="T160" s="22" t="s">
        <v>2222</v>
      </c>
    </row>
    <row r="161" spans="1:20" x14ac:dyDescent="0.25">
      <c r="A161" t="s">
        <v>1823</v>
      </c>
      <c r="B161" t="s">
        <v>1849</v>
      </c>
      <c r="C161">
        <v>4</v>
      </c>
      <c r="D161" t="s">
        <v>1850</v>
      </c>
      <c r="E161" s="22">
        <v>44075</v>
      </c>
      <c r="F161" t="s">
        <v>1307</v>
      </c>
      <c r="G161">
        <v>4</v>
      </c>
      <c r="H161" t="s">
        <v>1851</v>
      </c>
      <c r="I161" t="s">
        <v>1852</v>
      </c>
      <c r="J161" t="s">
        <v>1715</v>
      </c>
      <c r="K161" t="s">
        <v>1336</v>
      </c>
      <c r="L161" t="s">
        <v>1301</v>
      </c>
      <c r="M161" t="s">
        <v>1302</v>
      </c>
      <c r="N161" s="22">
        <v>44133</v>
      </c>
      <c r="O161" t="s">
        <v>1303</v>
      </c>
      <c r="P161">
        <v>123456</v>
      </c>
      <c r="Q161" t="s">
        <v>1312</v>
      </c>
      <c r="R161" t="s">
        <v>246</v>
      </c>
      <c r="S161" s="22">
        <v>44133.6171412037</v>
      </c>
      <c r="T161" s="22" t="s">
        <v>2222</v>
      </c>
    </row>
    <row r="162" spans="1:20" x14ac:dyDescent="0.25">
      <c r="A162" t="s">
        <v>1823</v>
      </c>
      <c r="B162" t="s">
        <v>1853</v>
      </c>
      <c r="C162">
        <v>4</v>
      </c>
      <c r="D162" t="s">
        <v>1854</v>
      </c>
      <c r="E162" s="22">
        <v>43466</v>
      </c>
      <c r="F162" t="s">
        <v>1378</v>
      </c>
      <c r="G162">
        <v>4</v>
      </c>
      <c r="H162" t="s">
        <v>1855</v>
      </c>
      <c r="I162" t="s">
        <v>1299</v>
      </c>
      <c r="J162">
        <v>1234</v>
      </c>
      <c r="K162" t="s">
        <v>1548</v>
      </c>
      <c r="L162" t="s">
        <v>1323</v>
      </c>
      <c r="M162" t="s">
        <v>1324</v>
      </c>
      <c r="N162" s="22">
        <v>44133</v>
      </c>
      <c r="O162" t="s">
        <v>1303</v>
      </c>
      <c r="P162">
        <v>123456</v>
      </c>
      <c r="Q162" t="s">
        <v>1769</v>
      </c>
      <c r="R162" t="s">
        <v>246</v>
      </c>
      <c r="S162" s="22">
        <v>44133.617673611108</v>
      </c>
      <c r="T162" s="22" t="s">
        <v>2222</v>
      </c>
    </row>
    <row r="163" spans="1:20" x14ac:dyDescent="0.25">
      <c r="A163" t="s">
        <v>1823</v>
      </c>
      <c r="B163" t="s">
        <v>1856</v>
      </c>
      <c r="C163">
        <v>4</v>
      </c>
      <c r="D163" t="s">
        <v>1857</v>
      </c>
      <c r="E163" s="22">
        <v>44075</v>
      </c>
      <c r="F163" t="s">
        <v>1307</v>
      </c>
      <c r="G163">
        <v>4</v>
      </c>
      <c r="H163" t="s">
        <v>1858</v>
      </c>
      <c r="I163" t="s">
        <v>1859</v>
      </c>
      <c r="J163" t="s">
        <v>1715</v>
      </c>
      <c r="K163" t="s">
        <v>1336</v>
      </c>
      <c r="L163" t="s">
        <v>1301</v>
      </c>
      <c r="M163" t="s">
        <v>1302</v>
      </c>
      <c r="N163" s="22">
        <v>44133</v>
      </c>
      <c r="O163" t="s">
        <v>1303</v>
      </c>
      <c r="P163">
        <v>123456</v>
      </c>
      <c r="Q163" t="s">
        <v>1312</v>
      </c>
      <c r="R163" t="s">
        <v>246</v>
      </c>
      <c r="S163" s="22">
        <v>44133.618020833332</v>
      </c>
      <c r="T163" s="22" t="s">
        <v>2222</v>
      </c>
    </row>
    <row r="164" spans="1:20" x14ac:dyDescent="0.25">
      <c r="A164" t="s">
        <v>1823</v>
      </c>
      <c r="B164" t="s">
        <v>1860</v>
      </c>
      <c r="C164">
        <v>4</v>
      </c>
      <c r="D164" t="s">
        <v>1861</v>
      </c>
      <c r="E164" s="22">
        <v>43466</v>
      </c>
      <c r="F164" t="s">
        <v>1378</v>
      </c>
      <c r="G164">
        <v>4</v>
      </c>
      <c r="H164" t="s">
        <v>1862</v>
      </c>
      <c r="I164" t="s">
        <v>1299</v>
      </c>
      <c r="J164">
        <v>1234</v>
      </c>
      <c r="K164" t="s">
        <v>1336</v>
      </c>
      <c r="L164" t="s">
        <v>1301</v>
      </c>
      <c r="M164" t="s">
        <v>1302</v>
      </c>
      <c r="N164" s="22">
        <v>44133</v>
      </c>
      <c r="O164" t="s">
        <v>1303</v>
      </c>
      <c r="P164">
        <v>123456</v>
      </c>
      <c r="Q164" t="s">
        <v>1317</v>
      </c>
      <c r="R164" t="s">
        <v>246</v>
      </c>
      <c r="S164" s="22">
        <v>44133.618425925924</v>
      </c>
      <c r="T164" s="22" t="s">
        <v>2222</v>
      </c>
    </row>
    <row r="165" spans="1:20" x14ac:dyDescent="0.25">
      <c r="A165" t="s">
        <v>1823</v>
      </c>
      <c r="B165" t="s">
        <v>1863</v>
      </c>
      <c r="C165">
        <v>4</v>
      </c>
      <c r="D165" t="s">
        <v>1864</v>
      </c>
      <c r="E165" s="22">
        <v>43466</v>
      </c>
      <c r="F165" t="s">
        <v>1378</v>
      </c>
      <c r="G165">
        <v>4</v>
      </c>
      <c r="H165" t="s">
        <v>1865</v>
      </c>
      <c r="I165" t="s">
        <v>1299</v>
      </c>
      <c r="J165">
        <v>1234</v>
      </c>
      <c r="K165" t="s">
        <v>1336</v>
      </c>
      <c r="L165" t="s">
        <v>1301</v>
      </c>
      <c r="M165" t="s">
        <v>1302</v>
      </c>
      <c r="N165" s="22">
        <v>44133</v>
      </c>
      <c r="O165" t="s">
        <v>1303</v>
      </c>
      <c r="P165">
        <v>123456</v>
      </c>
      <c r="Q165" t="s">
        <v>1652</v>
      </c>
      <c r="R165" t="s">
        <v>246</v>
      </c>
      <c r="S165" s="22">
        <v>44133.618784722225</v>
      </c>
      <c r="T165" s="22" t="s">
        <v>2222</v>
      </c>
    </row>
    <row r="166" spans="1:20" x14ac:dyDescent="0.25">
      <c r="A166" t="s">
        <v>1823</v>
      </c>
      <c r="B166" t="s">
        <v>1866</v>
      </c>
      <c r="C166">
        <v>4</v>
      </c>
      <c r="D166" t="s">
        <v>1867</v>
      </c>
      <c r="E166" s="22">
        <v>43466</v>
      </c>
      <c r="F166" t="s">
        <v>1378</v>
      </c>
      <c r="G166">
        <v>4</v>
      </c>
      <c r="H166" t="s">
        <v>1868</v>
      </c>
      <c r="I166" t="s">
        <v>1299</v>
      </c>
      <c r="J166">
        <v>44208423646</v>
      </c>
      <c r="K166" t="s">
        <v>1869</v>
      </c>
      <c r="L166" t="s">
        <v>1323</v>
      </c>
      <c r="M166" t="s">
        <v>1324</v>
      </c>
      <c r="N166" s="22">
        <v>44133</v>
      </c>
      <c r="O166" t="s">
        <v>1870</v>
      </c>
      <c r="P166">
        <v>123456</v>
      </c>
      <c r="Q166" t="s">
        <v>1366</v>
      </c>
      <c r="R166" t="s">
        <v>246</v>
      </c>
      <c r="S166" s="22">
        <v>44133.619155092594</v>
      </c>
      <c r="T166" s="22" t="s">
        <v>2222</v>
      </c>
    </row>
    <row r="167" spans="1:20" x14ac:dyDescent="0.25">
      <c r="A167" t="s">
        <v>1823</v>
      </c>
      <c r="B167" t="s">
        <v>1871</v>
      </c>
      <c r="C167">
        <v>4</v>
      </c>
      <c r="D167" t="s">
        <v>1872</v>
      </c>
      <c r="E167" s="22">
        <v>43466</v>
      </c>
      <c r="F167" t="s">
        <v>1378</v>
      </c>
      <c r="G167">
        <v>4</v>
      </c>
      <c r="H167" t="s">
        <v>1873</v>
      </c>
      <c r="I167" t="s">
        <v>1874</v>
      </c>
      <c r="J167" t="s">
        <v>1875</v>
      </c>
      <c r="K167" t="s">
        <v>1336</v>
      </c>
      <c r="L167" t="s">
        <v>1301</v>
      </c>
      <c r="M167" t="s">
        <v>1302</v>
      </c>
      <c r="N167" s="22">
        <v>44133</v>
      </c>
      <c r="O167" t="s">
        <v>1303</v>
      </c>
      <c r="P167">
        <v>123456</v>
      </c>
      <c r="Q167" t="s">
        <v>1769</v>
      </c>
      <c r="R167" t="s">
        <v>246</v>
      </c>
      <c r="S167" s="22">
        <v>44133.619537037041</v>
      </c>
      <c r="T167" s="22" t="s">
        <v>2222</v>
      </c>
    </row>
    <row r="168" spans="1:20" x14ac:dyDescent="0.25">
      <c r="A168" t="s">
        <v>1823</v>
      </c>
      <c r="B168" t="s">
        <v>1876</v>
      </c>
      <c r="C168">
        <v>4</v>
      </c>
      <c r="D168" t="s">
        <v>1877</v>
      </c>
      <c r="E168" s="22">
        <v>43466</v>
      </c>
      <c r="F168" t="s">
        <v>1378</v>
      </c>
      <c r="G168">
        <v>4</v>
      </c>
      <c r="H168" t="s">
        <v>1878</v>
      </c>
      <c r="I168" t="s">
        <v>1299</v>
      </c>
      <c r="J168">
        <v>1234</v>
      </c>
      <c r="K168" t="s">
        <v>1331</v>
      </c>
      <c r="L168" t="s">
        <v>1323</v>
      </c>
      <c r="M168" t="s">
        <v>1302</v>
      </c>
      <c r="N168" s="22">
        <v>44133</v>
      </c>
      <c r="O168" t="s">
        <v>1303</v>
      </c>
      <c r="P168">
        <v>123456</v>
      </c>
      <c r="Q168" t="s">
        <v>1304</v>
      </c>
      <c r="R168" t="s">
        <v>246</v>
      </c>
      <c r="S168" s="22">
        <v>44133.620057870372</v>
      </c>
      <c r="T168" s="22" t="s">
        <v>2222</v>
      </c>
    </row>
    <row r="169" spans="1:20" x14ac:dyDescent="0.25">
      <c r="A169" t="s">
        <v>1823</v>
      </c>
      <c r="B169" t="s">
        <v>114</v>
      </c>
      <c r="C169">
        <v>4</v>
      </c>
      <c r="D169" t="s">
        <v>116</v>
      </c>
      <c r="E169" s="22">
        <v>43466</v>
      </c>
      <c r="F169" t="s">
        <v>1378</v>
      </c>
      <c r="G169">
        <v>4</v>
      </c>
      <c r="H169" t="s">
        <v>1879</v>
      </c>
      <c r="I169" t="s">
        <v>1299</v>
      </c>
      <c r="J169">
        <v>1234</v>
      </c>
      <c r="K169" t="s">
        <v>1336</v>
      </c>
      <c r="L169" t="s">
        <v>1301</v>
      </c>
      <c r="M169" t="s">
        <v>1302</v>
      </c>
      <c r="N169" s="22">
        <v>44133</v>
      </c>
      <c r="O169" t="s">
        <v>1303</v>
      </c>
      <c r="P169">
        <v>123456</v>
      </c>
      <c r="Q169" t="s">
        <v>1312</v>
      </c>
      <c r="R169" t="s">
        <v>246</v>
      </c>
      <c r="S169" s="22">
        <v>44133.620358796295</v>
      </c>
      <c r="T169" s="22" t="s">
        <v>2222</v>
      </c>
    </row>
    <row r="170" spans="1:20" x14ac:dyDescent="0.25">
      <c r="A170" t="s">
        <v>1823</v>
      </c>
      <c r="B170" t="s">
        <v>1880</v>
      </c>
      <c r="C170">
        <v>4</v>
      </c>
      <c r="D170" t="s">
        <v>1881</v>
      </c>
      <c r="E170" s="22">
        <v>43466</v>
      </c>
      <c r="F170" t="s">
        <v>1378</v>
      </c>
      <c r="G170">
        <v>4</v>
      </c>
      <c r="H170" t="s">
        <v>1882</v>
      </c>
      <c r="I170" t="s">
        <v>1299</v>
      </c>
      <c r="J170">
        <v>1234</v>
      </c>
      <c r="K170" t="s">
        <v>1336</v>
      </c>
      <c r="L170" t="s">
        <v>1301</v>
      </c>
      <c r="M170" t="s">
        <v>1302</v>
      </c>
      <c r="N170" s="22">
        <v>44133</v>
      </c>
      <c r="O170" t="s">
        <v>1303</v>
      </c>
      <c r="P170">
        <v>123456</v>
      </c>
      <c r="Q170" t="s">
        <v>1652</v>
      </c>
      <c r="R170" t="s">
        <v>246</v>
      </c>
      <c r="S170" s="22">
        <v>44133.620879629627</v>
      </c>
      <c r="T170" s="22" t="s">
        <v>2222</v>
      </c>
    </row>
    <row r="171" spans="1:20" x14ac:dyDescent="0.25">
      <c r="A171" t="s">
        <v>1823</v>
      </c>
      <c r="B171" t="s">
        <v>556</v>
      </c>
      <c r="C171">
        <v>4</v>
      </c>
      <c r="D171" t="s">
        <v>558</v>
      </c>
      <c r="E171" s="22">
        <v>43466</v>
      </c>
      <c r="F171" t="s">
        <v>1378</v>
      </c>
      <c r="G171">
        <v>4</v>
      </c>
      <c r="H171" t="s">
        <v>1883</v>
      </c>
      <c r="I171" t="s">
        <v>1299</v>
      </c>
      <c r="J171">
        <v>1234</v>
      </c>
      <c r="K171" t="s">
        <v>1336</v>
      </c>
      <c r="L171" t="s">
        <v>1301</v>
      </c>
      <c r="M171" t="s">
        <v>1302</v>
      </c>
      <c r="N171" s="22">
        <v>44133</v>
      </c>
      <c r="O171" t="s">
        <v>1303</v>
      </c>
      <c r="P171">
        <v>123456</v>
      </c>
      <c r="Q171" t="s">
        <v>1769</v>
      </c>
      <c r="R171" t="s">
        <v>246</v>
      </c>
      <c r="S171" s="22">
        <v>44133.621122685188</v>
      </c>
      <c r="T171" s="22" t="s">
        <v>2222</v>
      </c>
    </row>
    <row r="172" spans="1:20" x14ac:dyDescent="0.25">
      <c r="A172" t="s">
        <v>1823</v>
      </c>
      <c r="B172" t="s">
        <v>1884</v>
      </c>
      <c r="C172">
        <v>4</v>
      </c>
      <c r="D172" t="s">
        <v>1885</v>
      </c>
      <c r="E172" s="22">
        <v>44089</v>
      </c>
      <c r="F172" t="s">
        <v>1307</v>
      </c>
      <c r="G172">
        <v>1</v>
      </c>
      <c r="H172" t="s">
        <v>1886</v>
      </c>
      <c r="I172" t="s">
        <v>1887</v>
      </c>
      <c r="J172" t="s">
        <v>1888</v>
      </c>
      <c r="K172" t="s">
        <v>1889</v>
      </c>
      <c r="L172" t="s">
        <v>1323</v>
      </c>
      <c r="M172" t="s">
        <v>1509</v>
      </c>
      <c r="N172" s="22">
        <v>44133</v>
      </c>
      <c r="O172" t="s">
        <v>1303</v>
      </c>
      <c r="P172">
        <v>123456</v>
      </c>
      <c r="Q172" t="s">
        <v>1510</v>
      </c>
      <c r="R172" t="s">
        <v>246</v>
      </c>
      <c r="S172" s="22">
        <v>44133.621620370373</v>
      </c>
      <c r="T172" s="22" t="s">
        <v>2222</v>
      </c>
    </row>
    <row r="173" spans="1:20" x14ac:dyDescent="0.25">
      <c r="A173" t="s">
        <v>1823</v>
      </c>
      <c r="B173" t="s">
        <v>468</v>
      </c>
      <c r="C173">
        <v>4</v>
      </c>
      <c r="D173" t="s">
        <v>470</v>
      </c>
      <c r="E173" s="22">
        <v>43466</v>
      </c>
      <c r="F173" t="s">
        <v>1378</v>
      </c>
      <c r="G173">
        <v>4</v>
      </c>
      <c r="H173" t="s">
        <v>1890</v>
      </c>
      <c r="I173" t="s">
        <v>1891</v>
      </c>
      <c r="J173">
        <v>442018236462019</v>
      </c>
      <c r="K173" t="s">
        <v>1331</v>
      </c>
      <c r="L173" t="s">
        <v>1323</v>
      </c>
      <c r="M173" t="s">
        <v>1302</v>
      </c>
      <c r="N173" s="22">
        <v>44133</v>
      </c>
      <c r="O173" t="s">
        <v>1303</v>
      </c>
      <c r="P173">
        <v>123456</v>
      </c>
      <c r="Q173" t="s">
        <v>1652</v>
      </c>
      <c r="R173" t="s">
        <v>246</v>
      </c>
      <c r="S173" s="22">
        <v>44133.622094907405</v>
      </c>
      <c r="T173" s="22" t="s">
        <v>2222</v>
      </c>
    </row>
    <row r="174" spans="1:20" x14ac:dyDescent="0.25">
      <c r="A174" t="s">
        <v>1823</v>
      </c>
      <c r="B174" t="s">
        <v>1892</v>
      </c>
      <c r="C174">
        <v>4</v>
      </c>
      <c r="D174" t="s">
        <v>1893</v>
      </c>
      <c r="E174" s="22">
        <v>43728</v>
      </c>
      <c r="F174" t="s">
        <v>1378</v>
      </c>
      <c r="G174">
        <v>4</v>
      </c>
      <c r="H174" t="s">
        <v>1894</v>
      </c>
      <c r="I174" t="s">
        <v>1299</v>
      </c>
      <c r="J174">
        <v>1234</v>
      </c>
      <c r="K174" t="s">
        <v>1895</v>
      </c>
      <c r="L174" t="s">
        <v>1323</v>
      </c>
      <c r="M174" t="s">
        <v>1324</v>
      </c>
      <c r="N174" s="22">
        <v>44133</v>
      </c>
      <c r="O174" t="s">
        <v>1303</v>
      </c>
      <c r="P174">
        <v>123456</v>
      </c>
      <c r="Q174" t="s">
        <v>1652</v>
      </c>
      <c r="R174" t="s">
        <v>246</v>
      </c>
      <c r="S174" s="22">
        <v>44133.622615740744</v>
      </c>
      <c r="T174" s="22" t="s">
        <v>2222</v>
      </c>
    </row>
    <row r="175" spans="1:20" x14ac:dyDescent="0.25">
      <c r="A175" t="s">
        <v>1896</v>
      </c>
      <c r="B175" t="s">
        <v>545</v>
      </c>
      <c r="C175">
        <v>5</v>
      </c>
      <c r="D175" t="s">
        <v>547</v>
      </c>
      <c r="E175" s="22">
        <v>43466</v>
      </c>
      <c r="F175" t="s">
        <v>1378</v>
      </c>
      <c r="G175">
        <v>4</v>
      </c>
      <c r="H175" t="s">
        <v>1897</v>
      </c>
      <c r="I175" t="s">
        <v>1299</v>
      </c>
      <c r="J175">
        <v>1234</v>
      </c>
      <c r="K175" t="s">
        <v>1681</v>
      </c>
      <c r="L175" t="s">
        <v>1323</v>
      </c>
      <c r="M175" t="s">
        <v>1324</v>
      </c>
      <c r="N175" s="22">
        <v>44130</v>
      </c>
      <c r="O175" t="s">
        <v>1303</v>
      </c>
      <c r="P175">
        <v>123456</v>
      </c>
      <c r="Q175" t="s">
        <v>1317</v>
      </c>
      <c r="R175" t="s">
        <v>246</v>
      </c>
      <c r="S175" s="22">
        <v>44130.672025462962</v>
      </c>
      <c r="T175" s="22" t="s">
        <v>2222</v>
      </c>
    </row>
    <row r="176" spans="1:20" x14ac:dyDescent="0.25">
      <c r="A176" t="s">
        <v>1896</v>
      </c>
      <c r="B176" t="s">
        <v>931</v>
      </c>
      <c r="C176">
        <v>5</v>
      </c>
      <c r="D176" t="s">
        <v>933</v>
      </c>
      <c r="E176" s="22">
        <v>43466</v>
      </c>
      <c r="F176" t="s">
        <v>1378</v>
      </c>
      <c r="G176">
        <v>4</v>
      </c>
      <c r="H176" t="s">
        <v>1898</v>
      </c>
      <c r="I176" t="s">
        <v>1299</v>
      </c>
      <c r="J176">
        <v>1234</v>
      </c>
      <c r="K176" t="s">
        <v>1899</v>
      </c>
      <c r="L176" t="s">
        <v>1323</v>
      </c>
      <c r="M176" t="s">
        <v>1728</v>
      </c>
      <c r="N176" s="22">
        <v>44130</v>
      </c>
      <c r="O176" t="s">
        <v>1303</v>
      </c>
      <c r="P176" t="s">
        <v>1317</v>
      </c>
      <c r="Q176" t="s">
        <v>1317</v>
      </c>
      <c r="R176" t="s">
        <v>246</v>
      </c>
      <c r="S176" s="22">
        <v>44130.675370370373</v>
      </c>
      <c r="T176" s="22" t="s">
        <v>2222</v>
      </c>
    </row>
    <row r="177" spans="1:20" x14ac:dyDescent="0.25">
      <c r="A177" t="s">
        <v>1896</v>
      </c>
      <c r="B177" t="s">
        <v>478</v>
      </c>
      <c r="C177">
        <v>5</v>
      </c>
      <c r="D177" t="s">
        <v>480</v>
      </c>
      <c r="E177" s="22">
        <v>43466</v>
      </c>
      <c r="F177" t="s">
        <v>1378</v>
      </c>
      <c r="G177">
        <v>4</v>
      </c>
      <c r="H177" t="s">
        <v>1900</v>
      </c>
      <c r="I177" t="s">
        <v>1299</v>
      </c>
      <c r="J177">
        <v>1234</v>
      </c>
      <c r="K177" t="s">
        <v>1901</v>
      </c>
      <c r="L177" t="s">
        <v>1301</v>
      </c>
      <c r="M177" t="s">
        <v>1302</v>
      </c>
      <c r="N177" s="22">
        <v>44130</v>
      </c>
      <c r="O177" t="s">
        <v>1303</v>
      </c>
      <c r="P177">
        <v>123456</v>
      </c>
      <c r="Q177" t="s">
        <v>1312</v>
      </c>
      <c r="R177" t="s">
        <v>246</v>
      </c>
      <c r="S177" s="22">
        <v>44130.672407407408</v>
      </c>
      <c r="T177" s="22" t="s">
        <v>2222</v>
      </c>
    </row>
    <row r="178" spans="1:20" x14ac:dyDescent="0.25">
      <c r="A178" t="s">
        <v>1896</v>
      </c>
      <c r="B178" t="s">
        <v>1902</v>
      </c>
      <c r="C178">
        <v>5</v>
      </c>
      <c r="D178" t="s">
        <v>1903</v>
      </c>
      <c r="E178" s="22">
        <v>44089</v>
      </c>
      <c r="F178">
        <v>1</v>
      </c>
      <c r="G178">
        <v>1</v>
      </c>
      <c r="H178" t="s">
        <v>1904</v>
      </c>
      <c r="I178" t="s">
        <v>1905</v>
      </c>
      <c r="J178" t="s">
        <v>1715</v>
      </c>
      <c r="K178" t="s">
        <v>1534</v>
      </c>
      <c r="L178" t="s">
        <v>1301</v>
      </c>
      <c r="M178" t="s">
        <v>1302</v>
      </c>
      <c r="N178" s="22">
        <v>44130</v>
      </c>
      <c r="O178" t="s">
        <v>1303</v>
      </c>
      <c r="P178">
        <v>123456</v>
      </c>
      <c r="Q178" t="s">
        <v>1312</v>
      </c>
      <c r="R178" t="s">
        <v>246</v>
      </c>
      <c r="S178" s="22">
        <v>44130.672951388886</v>
      </c>
      <c r="T178" s="22" t="s">
        <v>2222</v>
      </c>
    </row>
    <row r="179" spans="1:20" x14ac:dyDescent="0.25">
      <c r="A179" t="s">
        <v>1896</v>
      </c>
      <c r="B179" t="s">
        <v>368</v>
      </c>
      <c r="C179">
        <v>5</v>
      </c>
      <c r="D179" t="s">
        <v>370</v>
      </c>
      <c r="E179" s="22">
        <v>43466</v>
      </c>
      <c r="F179" t="s">
        <v>1378</v>
      </c>
      <c r="G179">
        <v>4</v>
      </c>
      <c r="H179" t="s">
        <v>1906</v>
      </c>
      <c r="I179" t="s">
        <v>1907</v>
      </c>
      <c r="J179" t="s">
        <v>1908</v>
      </c>
      <c r="K179" t="s">
        <v>1355</v>
      </c>
      <c r="L179" t="s">
        <v>1301</v>
      </c>
      <c r="M179" t="s">
        <v>1302</v>
      </c>
      <c r="N179" s="22">
        <v>44130</v>
      </c>
      <c r="O179" t="s">
        <v>1303</v>
      </c>
      <c r="P179">
        <v>123456</v>
      </c>
      <c r="Q179" t="s">
        <v>1366</v>
      </c>
      <c r="R179" t="s">
        <v>246</v>
      </c>
      <c r="S179" s="22">
        <v>44130.673229166663</v>
      </c>
      <c r="T179" s="22" t="s">
        <v>2222</v>
      </c>
    </row>
    <row r="180" spans="1:20" x14ac:dyDescent="0.25">
      <c r="A180" t="s">
        <v>1896</v>
      </c>
      <c r="B180" t="s">
        <v>198</v>
      </c>
      <c r="C180">
        <v>5</v>
      </c>
      <c r="D180" t="s">
        <v>200</v>
      </c>
      <c r="E180" s="22">
        <v>43466</v>
      </c>
      <c r="F180" t="s">
        <v>1378</v>
      </c>
      <c r="G180">
        <v>4</v>
      </c>
      <c r="H180" t="s">
        <v>1909</v>
      </c>
      <c r="I180" t="s">
        <v>1299</v>
      </c>
      <c r="J180">
        <v>1234</v>
      </c>
      <c r="K180" t="s">
        <v>1355</v>
      </c>
      <c r="L180" t="s">
        <v>1301</v>
      </c>
      <c r="M180" t="s">
        <v>1302</v>
      </c>
      <c r="N180" s="22">
        <v>44130</v>
      </c>
      <c r="O180" t="s">
        <v>1303</v>
      </c>
      <c r="P180">
        <v>123456</v>
      </c>
      <c r="Q180" t="s">
        <v>1317</v>
      </c>
      <c r="R180" t="s">
        <v>246</v>
      </c>
      <c r="S180" s="22">
        <v>44130.67564814815</v>
      </c>
      <c r="T180" s="22" t="s">
        <v>2222</v>
      </c>
    </row>
    <row r="181" spans="1:20" x14ac:dyDescent="0.25">
      <c r="A181" t="s">
        <v>1896</v>
      </c>
      <c r="B181" t="s">
        <v>1910</v>
      </c>
      <c r="C181">
        <v>5</v>
      </c>
      <c r="D181" t="s">
        <v>1911</v>
      </c>
      <c r="E181" s="22">
        <v>44075</v>
      </c>
      <c r="F181" t="s">
        <v>1307</v>
      </c>
      <c r="G181">
        <v>4</v>
      </c>
      <c r="H181" t="s">
        <v>1912</v>
      </c>
      <c r="I181" t="s">
        <v>1913</v>
      </c>
      <c r="J181" t="s">
        <v>1715</v>
      </c>
      <c r="K181" t="s">
        <v>1618</v>
      </c>
      <c r="L181" t="s">
        <v>1323</v>
      </c>
      <c r="M181" t="s">
        <v>1509</v>
      </c>
      <c r="N181" s="22">
        <v>44130</v>
      </c>
      <c r="O181" t="s">
        <v>1303</v>
      </c>
      <c r="P181">
        <v>123456</v>
      </c>
      <c r="Q181" t="s">
        <v>1312</v>
      </c>
      <c r="R181" t="s">
        <v>246</v>
      </c>
      <c r="S181" s="22">
        <v>44130.676979166667</v>
      </c>
      <c r="T181" s="22" t="s">
        <v>2222</v>
      </c>
    </row>
    <row r="182" spans="1:20" x14ac:dyDescent="0.25">
      <c r="A182" t="s">
        <v>1896</v>
      </c>
      <c r="B182" t="s">
        <v>188</v>
      </c>
      <c r="C182">
        <v>5</v>
      </c>
      <c r="D182" t="s">
        <v>190</v>
      </c>
      <c r="E182" s="22">
        <v>44075</v>
      </c>
      <c r="F182" t="s">
        <v>1307</v>
      </c>
      <c r="G182">
        <v>4</v>
      </c>
      <c r="H182" t="s">
        <v>1914</v>
      </c>
      <c r="I182" t="s">
        <v>1915</v>
      </c>
      <c r="J182" t="s">
        <v>1715</v>
      </c>
      <c r="K182" t="s">
        <v>1916</v>
      </c>
      <c r="L182" t="s">
        <v>1323</v>
      </c>
      <c r="M182" t="s">
        <v>1509</v>
      </c>
      <c r="N182" s="22">
        <v>44130</v>
      </c>
      <c r="O182" t="s">
        <v>1303</v>
      </c>
      <c r="P182">
        <v>123456</v>
      </c>
      <c r="Q182" t="s">
        <v>1312</v>
      </c>
      <c r="R182" t="s">
        <v>246</v>
      </c>
      <c r="S182" s="22">
        <v>44130.676666666666</v>
      </c>
      <c r="T182" s="22" t="s">
        <v>2222</v>
      </c>
    </row>
    <row r="183" spans="1:20" x14ac:dyDescent="0.25">
      <c r="A183" t="s">
        <v>1896</v>
      </c>
      <c r="B183" t="s">
        <v>1917</v>
      </c>
      <c r="C183">
        <v>5</v>
      </c>
      <c r="D183" t="s">
        <v>1918</v>
      </c>
      <c r="E183" s="22">
        <v>43466</v>
      </c>
      <c r="F183" t="s">
        <v>1378</v>
      </c>
      <c r="G183">
        <v>4</v>
      </c>
      <c r="H183" t="s">
        <v>1919</v>
      </c>
      <c r="I183" t="s">
        <v>1299</v>
      </c>
      <c r="J183">
        <v>1234</v>
      </c>
      <c r="K183" t="s">
        <v>1381</v>
      </c>
      <c r="L183" t="s">
        <v>1301</v>
      </c>
      <c r="M183" t="s">
        <v>1311</v>
      </c>
      <c r="N183" s="22">
        <v>44130</v>
      </c>
      <c r="O183" t="s">
        <v>1303</v>
      </c>
      <c r="P183">
        <v>123456</v>
      </c>
      <c r="Q183" t="s">
        <v>1317</v>
      </c>
      <c r="R183" t="s">
        <v>246</v>
      </c>
      <c r="S183" s="22">
        <v>44130.67591435185</v>
      </c>
      <c r="T183" s="22" t="s">
        <v>2222</v>
      </c>
    </row>
    <row r="184" spans="1:20" x14ac:dyDescent="0.25">
      <c r="A184" t="s">
        <v>1896</v>
      </c>
      <c r="B184" t="s">
        <v>1920</v>
      </c>
      <c r="C184">
        <v>5</v>
      </c>
      <c r="D184" t="s">
        <v>1921</v>
      </c>
      <c r="E184" s="22">
        <v>43466</v>
      </c>
      <c r="F184" t="s">
        <v>1378</v>
      </c>
      <c r="G184">
        <v>4</v>
      </c>
      <c r="H184" t="s">
        <v>1922</v>
      </c>
      <c r="I184" t="s">
        <v>1299</v>
      </c>
      <c r="J184">
        <v>1234</v>
      </c>
      <c r="K184" t="s">
        <v>1901</v>
      </c>
      <c r="L184" t="s">
        <v>1301</v>
      </c>
      <c r="M184" t="s">
        <v>1302</v>
      </c>
      <c r="N184" s="22">
        <v>44130</v>
      </c>
      <c r="O184" t="s">
        <v>1303</v>
      </c>
      <c r="P184">
        <v>123456</v>
      </c>
      <c r="Q184" t="s">
        <v>1317</v>
      </c>
      <c r="R184" t="s">
        <v>246</v>
      </c>
      <c r="S184" s="22">
        <v>44130.674178240741</v>
      </c>
      <c r="T184" s="22" t="s">
        <v>2222</v>
      </c>
    </row>
    <row r="185" spans="1:20" x14ac:dyDescent="0.25">
      <c r="A185" t="s">
        <v>1896</v>
      </c>
      <c r="B185" t="s">
        <v>1923</v>
      </c>
      <c r="C185">
        <v>5</v>
      </c>
      <c r="D185" t="s">
        <v>1924</v>
      </c>
      <c r="E185" s="22">
        <v>43466</v>
      </c>
      <c r="F185" t="s">
        <v>1378</v>
      </c>
      <c r="G185">
        <v>4</v>
      </c>
      <c r="H185" t="s">
        <v>1925</v>
      </c>
      <c r="I185" t="s">
        <v>1299</v>
      </c>
      <c r="J185">
        <v>1234</v>
      </c>
      <c r="K185" t="s">
        <v>1778</v>
      </c>
      <c r="L185" t="s">
        <v>1301</v>
      </c>
      <c r="M185" t="s">
        <v>1302</v>
      </c>
      <c r="N185" s="22">
        <v>44130</v>
      </c>
      <c r="O185" t="s">
        <v>1303</v>
      </c>
      <c r="P185">
        <v>123456</v>
      </c>
      <c r="Q185" t="s">
        <v>1769</v>
      </c>
      <c r="R185" t="s">
        <v>246</v>
      </c>
      <c r="S185" s="22">
        <v>44130.673819444448</v>
      </c>
      <c r="T185" s="22" t="s">
        <v>2222</v>
      </c>
    </row>
    <row r="186" spans="1:20" x14ac:dyDescent="0.25">
      <c r="A186" t="s">
        <v>1896</v>
      </c>
      <c r="B186" t="s">
        <v>1926</v>
      </c>
      <c r="C186">
        <v>5</v>
      </c>
      <c r="D186" t="s">
        <v>1927</v>
      </c>
      <c r="E186" s="22">
        <v>43466</v>
      </c>
      <c r="F186" t="s">
        <v>1378</v>
      </c>
      <c r="G186">
        <v>4</v>
      </c>
      <c r="H186" t="s">
        <v>1928</v>
      </c>
      <c r="I186" t="s">
        <v>1299</v>
      </c>
      <c r="J186">
        <v>1234</v>
      </c>
      <c r="K186" t="s">
        <v>1929</v>
      </c>
      <c r="L186" t="s">
        <v>1301</v>
      </c>
      <c r="M186" t="s">
        <v>1324</v>
      </c>
      <c r="N186" s="22">
        <v>44130</v>
      </c>
      <c r="O186" t="s">
        <v>1303</v>
      </c>
      <c r="P186">
        <v>123456</v>
      </c>
      <c r="Q186" t="s">
        <v>1317</v>
      </c>
      <c r="R186" t="s">
        <v>246</v>
      </c>
      <c r="S186" s="22">
        <v>44130.677951388891</v>
      </c>
      <c r="T186" s="22" t="s">
        <v>2222</v>
      </c>
    </row>
    <row r="187" spans="1:20" x14ac:dyDescent="0.25">
      <c r="A187" t="s">
        <v>1896</v>
      </c>
      <c r="B187" t="s">
        <v>1930</v>
      </c>
      <c r="C187">
        <v>5</v>
      </c>
      <c r="D187" t="s">
        <v>1931</v>
      </c>
      <c r="E187" s="22">
        <v>43466</v>
      </c>
      <c r="F187" t="s">
        <v>1378</v>
      </c>
      <c r="G187">
        <v>4</v>
      </c>
      <c r="H187" t="s">
        <v>1932</v>
      </c>
      <c r="I187" t="s">
        <v>1299</v>
      </c>
      <c r="J187">
        <v>1234</v>
      </c>
      <c r="K187" t="s">
        <v>1901</v>
      </c>
      <c r="L187" t="s">
        <v>1301</v>
      </c>
      <c r="M187" t="s">
        <v>1302</v>
      </c>
      <c r="N187" s="22">
        <v>44130</v>
      </c>
      <c r="O187" t="s">
        <v>1303</v>
      </c>
      <c r="P187">
        <v>123456</v>
      </c>
      <c r="Q187" t="s">
        <v>1317</v>
      </c>
      <c r="R187" t="s">
        <v>246</v>
      </c>
      <c r="S187" s="22">
        <v>44130.675127314818</v>
      </c>
      <c r="T187" s="22" t="s">
        <v>2222</v>
      </c>
    </row>
    <row r="188" spans="1:20" x14ac:dyDescent="0.25">
      <c r="A188" t="s">
        <v>1896</v>
      </c>
      <c r="B188" t="s">
        <v>1933</v>
      </c>
      <c r="C188">
        <v>5</v>
      </c>
      <c r="D188" t="s">
        <v>1934</v>
      </c>
      <c r="E188" s="22">
        <v>43466</v>
      </c>
      <c r="F188" t="s">
        <v>1378</v>
      </c>
      <c r="G188">
        <v>4</v>
      </c>
      <c r="H188" t="s">
        <v>1935</v>
      </c>
      <c r="I188" t="s">
        <v>1299</v>
      </c>
      <c r="J188">
        <v>1234</v>
      </c>
      <c r="K188" t="s">
        <v>1331</v>
      </c>
      <c r="L188" t="s">
        <v>1323</v>
      </c>
      <c r="M188" t="s">
        <v>1302</v>
      </c>
      <c r="N188" s="22">
        <v>44130</v>
      </c>
      <c r="O188" t="s">
        <v>1303</v>
      </c>
      <c r="P188">
        <v>123456</v>
      </c>
      <c r="Q188" t="s">
        <v>1317</v>
      </c>
      <c r="R188" t="s">
        <v>246</v>
      </c>
      <c r="S188" s="22">
        <v>44130.678217592591</v>
      </c>
      <c r="T188" s="22" t="s">
        <v>2222</v>
      </c>
    </row>
    <row r="189" spans="1:20" x14ac:dyDescent="0.25">
      <c r="A189" t="s">
        <v>1896</v>
      </c>
      <c r="B189" t="s">
        <v>1936</v>
      </c>
      <c r="C189">
        <v>5</v>
      </c>
      <c r="D189" t="s">
        <v>1937</v>
      </c>
      <c r="E189" s="22">
        <v>43466</v>
      </c>
      <c r="F189" t="s">
        <v>1378</v>
      </c>
      <c r="G189">
        <v>4</v>
      </c>
      <c r="H189" t="s">
        <v>1938</v>
      </c>
      <c r="I189" t="s">
        <v>1299</v>
      </c>
      <c r="J189">
        <v>1234</v>
      </c>
      <c r="K189" t="s">
        <v>1381</v>
      </c>
      <c r="L189" t="s">
        <v>1301</v>
      </c>
      <c r="M189" t="s">
        <v>1302</v>
      </c>
      <c r="N189" s="22">
        <v>44130</v>
      </c>
      <c r="O189" t="s">
        <v>1303</v>
      </c>
      <c r="P189">
        <v>123456</v>
      </c>
      <c r="Q189" t="s">
        <v>1317</v>
      </c>
      <c r="R189" t="s">
        <v>246</v>
      </c>
      <c r="S189" s="22">
        <v>44130.678460648145</v>
      </c>
      <c r="T189" s="22" t="s">
        <v>2222</v>
      </c>
    </row>
    <row r="190" spans="1:20" x14ac:dyDescent="0.25">
      <c r="A190" t="s">
        <v>1939</v>
      </c>
      <c r="B190" t="s">
        <v>37</v>
      </c>
      <c r="C190" t="s">
        <v>1293</v>
      </c>
      <c r="D190" t="s">
        <v>1293</v>
      </c>
      <c r="E190" t="s">
        <v>1293</v>
      </c>
      <c r="F190" t="s">
        <v>1293</v>
      </c>
      <c r="G190" t="s">
        <v>1293</v>
      </c>
      <c r="H190" t="s">
        <v>1293</v>
      </c>
      <c r="I190" t="s">
        <v>1293</v>
      </c>
      <c r="J190" t="s">
        <v>1293</v>
      </c>
      <c r="K190" t="s">
        <v>1293</v>
      </c>
      <c r="L190" t="s">
        <v>1293</v>
      </c>
      <c r="M190" t="s">
        <v>1293</v>
      </c>
      <c r="N190" t="s">
        <v>1293</v>
      </c>
      <c r="O190" t="s">
        <v>1293</v>
      </c>
      <c r="P190" t="s">
        <v>1293</v>
      </c>
      <c r="Q190" t="s">
        <v>1293</v>
      </c>
      <c r="R190" t="s">
        <v>1293</v>
      </c>
      <c r="S190" t="s">
        <v>1293</v>
      </c>
      <c r="T190" s="21" t="s">
        <v>2220</v>
      </c>
    </row>
    <row r="191" spans="1:20" x14ac:dyDescent="0.25">
      <c r="A191" t="s">
        <v>1939</v>
      </c>
      <c r="B191" t="s">
        <v>1940</v>
      </c>
      <c r="C191">
        <v>8</v>
      </c>
      <c r="D191" t="s">
        <v>1941</v>
      </c>
      <c r="E191" s="22">
        <v>43466</v>
      </c>
      <c r="F191" t="s">
        <v>1378</v>
      </c>
      <c r="G191">
        <v>4</v>
      </c>
      <c r="H191" t="s">
        <v>1942</v>
      </c>
      <c r="I191" t="s">
        <v>1299</v>
      </c>
      <c r="J191">
        <v>4421132020</v>
      </c>
      <c r="K191" t="s">
        <v>1943</v>
      </c>
      <c r="L191" t="s">
        <v>1323</v>
      </c>
      <c r="M191" t="s">
        <v>1324</v>
      </c>
      <c r="N191" s="22">
        <v>44131</v>
      </c>
      <c r="O191" t="s">
        <v>1303</v>
      </c>
      <c r="P191">
        <v>123456</v>
      </c>
      <c r="Q191" t="s">
        <v>1317</v>
      </c>
      <c r="R191" t="s">
        <v>246</v>
      </c>
      <c r="S191" s="22">
        <v>44131.386041666665</v>
      </c>
      <c r="T191" s="22" t="s">
        <v>2222</v>
      </c>
    </row>
    <row r="192" spans="1:20" x14ac:dyDescent="0.25">
      <c r="A192" t="s">
        <v>1939</v>
      </c>
      <c r="B192" t="s">
        <v>1944</v>
      </c>
      <c r="C192">
        <v>8</v>
      </c>
      <c r="D192" t="s">
        <v>1945</v>
      </c>
      <c r="E192" s="22">
        <v>44075</v>
      </c>
      <c r="F192" t="s">
        <v>1307</v>
      </c>
      <c r="G192">
        <v>4</v>
      </c>
      <c r="H192" t="s">
        <v>1946</v>
      </c>
      <c r="I192" t="s">
        <v>1947</v>
      </c>
      <c r="J192" t="s">
        <v>1715</v>
      </c>
      <c r="K192" t="s">
        <v>1916</v>
      </c>
      <c r="L192" t="s">
        <v>1323</v>
      </c>
      <c r="M192" t="s">
        <v>1509</v>
      </c>
      <c r="N192" s="22">
        <v>44131</v>
      </c>
      <c r="O192" t="s">
        <v>1303</v>
      </c>
      <c r="P192">
        <v>123456</v>
      </c>
      <c r="Q192" t="s">
        <v>1312</v>
      </c>
      <c r="R192" t="s">
        <v>246</v>
      </c>
      <c r="S192" s="22">
        <v>44131.386238425926</v>
      </c>
      <c r="T192" s="22" t="s">
        <v>2222</v>
      </c>
    </row>
    <row r="193" spans="1:20" x14ac:dyDescent="0.25">
      <c r="A193" t="s">
        <v>1939</v>
      </c>
      <c r="B193" t="s">
        <v>1948</v>
      </c>
      <c r="C193">
        <v>8</v>
      </c>
      <c r="D193" t="s">
        <v>1949</v>
      </c>
      <c r="E193" s="22">
        <v>43466</v>
      </c>
      <c r="F193" t="s">
        <v>1378</v>
      </c>
      <c r="G193">
        <v>4</v>
      </c>
      <c r="H193" t="s">
        <v>1950</v>
      </c>
      <c r="I193" t="s">
        <v>1299</v>
      </c>
      <c r="J193">
        <v>1234</v>
      </c>
      <c r="K193" t="s">
        <v>1951</v>
      </c>
      <c r="L193" t="s">
        <v>1323</v>
      </c>
      <c r="M193" t="s">
        <v>1324</v>
      </c>
      <c r="N193" s="22">
        <v>44131</v>
      </c>
      <c r="O193" t="s">
        <v>1303</v>
      </c>
      <c r="P193">
        <v>123456</v>
      </c>
      <c r="Q193" t="s">
        <v>1317</v>
      </c>
      <c r="R193" t="s">
        <v>246</v>
      </c>
      <c r="S193" s="22">
        <v>44131.386435185188</v>
      </c>
      <c r="T193" s="22" t="s">
        <v>2222</v>
      </c>
    </row>
    <row r="194" spans="1:20" x14ac:dyDescent="0.25">
      <c r="A194" t="s">
        <v>1939</v>
      </c>
      <c r="B194" t="s">
        <v>1952</v>
      </c>
      <c r="C194">
        <v>8</v>
      </c>
      <c r="D194" t="s">
        <v>1953</v>
      </c>
      <c r="E194" s="22">
        <v>44075</v>
      </c>
      <c r="F194" t="s">
        <v>1307</v>
      </c>
      <c r="G194">
        <v>4</v>
      </c>
      <c r="H194" t="s">
        <v>1954</v>
      </c>
      <c r="I194" t="s">
        <v>1955</v>
      </c>
      <c r="J194" t="s">
        <v>1715</v>
      </c>
      <c r="K194" t="s">
        <v>1956</v>
      </c>
      <c r="L194" t="s">
        <v>1323</v>
      </c>
      <c r="M194" t="s">
        <v>1509</v>
      </c>
      <c r="N194" s="22">
        <v>44131</v>
      </c>
      <c r="O194" t="s">
        <v>1303</v>
      </c>
      <c r="P194">
        <v>123456</v>
      </c>
      <c r="Q194" t="s">
        <v>1312</v>
      </c>
      <c r="R194" t="s">
        <v>246</v>
      </c>
      <c r="S194" s="22">
        <v>44131.550370370373</v>
      </c>
      <c r="T194" s="22" t="s">
        <v>2222</v>
      </c>
    </row>
    <row r="195" spans="1:20" x14ac:dyDescent="0.25">
      <c r="A195" t="s">
        <v>1939</v>
      </c>
      <c r="B195" t="s">
        <v>1957</v>
      </c>
      <c r="C195" t="s">
        <v>1293</v>
      </c>
      <c r="D195" t="s">
        <v>1293</v>
      </c>
      <c r="E195" t="s">
        <v>1293</v>
      </c>
      <c r="F195" t="s">
        <v>1293</v>
      </c>
      <c r="G195" t="s">
        <v>1293</v>
      </c>
      <c r="H195" t="s">
        <v>1293</v>
      </c>
      <c r="I195" t="s">
        <v>1293</v>
      </c>
      <c r="J195" t="s">
        <v>1293</v>
      </c>
      <c r="K195" t="s">
        <v>1293</v>
      </c>
      <c r="L195" t="s">
        <v>1293</v>
      </c>
      <c r="M195" t="s">
        <v>1293</v>
      </c>
      <c r="N195" t="s">
        <v>1293</v>
      </c>
      <c r="O195" t="s">
        <v>1293</v>
      </c>
      <c r="P195" t="s">
        <v>1293</v>
      </c>
      <c r="Q195" t="s">
        <v>1293</v>
      </c>
      <c r="R195" t="s">
        <v>1293</v>
      </c>
      <c r="S195" t="s">
        <v>1293</v>
      </c>
      <c r="T195" s="21" t="s">
        <v>2220</v>
      </c>
    </row>
    <row r="196" spans="1:20" x14ac:dyDescent="0.25">
      <c r="A196" t="s">
        <v>1939</v>
      </c>
      <c r="B196" t="s">
        <v>1958</v>
      </c>
      <c r="C196">
        <v>8</v>
      </c>
      <c r="D196" t="s">
        <v>1959</v>
      </c>
      <c r="E196" s="22">
        <v>43466</v>
      </c>
      <c r="F196" t="s">
        <v>1378</v>
      </c>
      <c r="G196">
        <v>4</v>
      </c>
      <c r="H196" t="s">
        <v>1960</v>
      </c>
      <c r="I196" t="s">
        <v>1299</v>
      </c>
      <c r="J196">
        <v>1234</v>
      </c>
      <c r="K196" t="s">
        <v>1355</v>
      </c>
      <c r="L196" t="s">
        <v>1301</v>
      </c>
      <c r="M196" t="s">
        <v>1302</v>
      </c>
      <c r="N196" s="22">
        <v>44131</v>
      </c>
      <c r="O196" t="s">
        <v>1303</v>
      </c>
      <c r="P196">
        <v>123456</v>
      </c>
      <c r="Q196" t="s">
        <v>1317</v>
      </c>
      <c r="R196" t="s">
        <v>246</v>
      </c>
      <c r="S196" s="22">
        <v>44131.396608796298</v>
      </c>
      <c r="T196" s="22" t="s">
        <v>2222</v>
      </c>
    </row>
    <row r="197" spans="1:20" x14ac:dyDescent="0.25">
      <c r="A197" t="s">
        <v>1939</v>
      </c>
      <c r="B197" t="s">
        <v>636</v>
      </c>
      <c r="C197">
        <v>8</v>
      </c>
      <c r="D197" t="s">
        <v>638</v>
      </c>
      <c r="E197" s="22">
        <v>43466</v>
      </c>
      <c r="F197" t="s">
        <v>1378</v>
      </c>
      <c r="G197">
        <v>4</v>
      </c>
      <c r="H197" t="s">
        <v>1961</v>
      </c>
      <c r="I197" t="s">
        <v>1962</v>
      </c>
      <c r="J197" t="s">
        <v>1963</v>
      </c>
      <c r="K197" t="s">
        <v>1964</v>
      </c>
      <c r="L197" t="s">
        <v>1301</v>
      </c>
      <c r="M197" t="s">
        <v>1324</v>
      </c>
      <c r="N197" s="22">
        <v>44131</v>
      </c>
      <c r="O197" t="s">
        <v>1303</v>
      </c>
      <c r="P197">
        <v>123456</v>
      </c>
      <c r="Q197" t="s">
        <v>1317</v>
      </c>
      <c r="R197" t="s">
        <v>246</v>
      </c>
      <c r="S197" s="22">
        <v>44131.549583333333</v>
      </c>
      <c r="T197" s="22" t="s">
        <v>2222</v>
      </c>
    </row>
    <row r="198" spans="1:20" x14ac:dyDescent="0.25">
      <c r="A198" t="s">
        <v>1939</v>
      </c>
      <c r="B198" t="s">
        <v>247</v>
      </c>
      <c r="C198">
        <v>8</v>
      </c>
      <c r="D198" t="s">
        <v>249</v>
      </c>
      <c r="E198" s="22">
        <v>43466</v>
      </c>
      <c r="F198" t="s">
        <v>1378</v>
      </c>
      <c r="G198">
        <v>4</v>
      </c>
      <c r="H198" t="s">
        <v>1965</v>
      </c>
      <c r="I198" t="s">
        <v>1299</v>
      </c>
      <c r="J198">
        <v>1234</v>
      </c>
      <c r="K198" t="s">
        <v>1966</v>
      </c>
      <c r="L198" t="s">
        <v>1323</v>
      </c>
      <c r="M198" t="s">
        <v>1324</v>
      </c>
      <c r="N198" s="22">
        <v>44131</v>
      </c>
      <c r="O198" t="s">
        <v>1303</v>
      </c>
      <c r="P198">
        <v>123456</v>
      </c>
      <c r="Q198" t="s">
        <v>1317</v>
      </c>
      <c r="R198" t="s">
        <v>246</v>
      </c>
      <c r="S198" s="22">
        <v>44131.550578703704</v>
      </c>
      <c r="T198" s="22" t="s">
        <v>2222</v>
      </c>
    </row>
    <row r="199" spans="1:20" x14ac:dyDescent="0.25">
      <c r="A199" t="s">
        <v>1939</v>
      </c>
      <c r="B199" t="s">
        <v>91</v>
      </c>
      <c r="C199">
        <v>8</v>
      </c>
      <c r="D199" t="s">
        <v>93</v>
      </c>
      <c r="E199" s="22">
        <v>43466</v>
      </c>
      <c r="F199" t="s">
        <v>1648</v>
      </c>
      <c r="G199">
        <v>4</v>
      </c>
      <c r="H199" t="s">
        <v>1967</v>
      </c>
      <c r="I199" t="s">
        <v>1968</v>
      </c>
      <c r="J199">
        <v>44205123646</v>
      </c>
      <c r="K199" t="s">
        <v>1534</v>
      </c>
      <c r="L199" t="s">
        <v>1301</v>
      </c>
      <c r="M199" t="s">
        <v>1302</v>
      </c>
      <c r="N199" s="22">
        <v>44131</v>
      </c>
      <c r="O199" t="s">
        <v>1303</v>
      </c>
      <c r="P199">
        <v>665578392</v>
      </c>
      <c r="Q199" t="s">
        <v>1317</v>
      </c>
      <c r="R199" t="s">
        <v>246</v>
      </c>
      <c r="S199" s="22">
        <v>44131.551307870373</v>
      </c>
      <c r="T199" s="22" t="s">
        <v>2222</v>
      </c>
    </row>
    <row r="200" spans="1:20" x14ac:dyDescent="0.25">
      <c r="A200" t="s">
        <v>1939</v>
      </c>
      <c r="B200" t="s">
        <v>1969</v>
      </c>
      <c r="C200">
        <v>8</v>
      </c>
      <c r="D200" t="s">
        <v>1970</v>
      </c>
      <c r="E200" s="22">
        <v>43466</v>
      </c>
      <c r="F200" t="s">
        <v>1378</v>
      </c>
      <c r="G200">
        <v>4</v>
      </c>
      <c r="H200" t="s">
        <v>1971</v>
      </c>
      <c r="I200" t="s">
        <v>1299</v>
      </c>
      <c r="J200">
        <v>1234</v>
      </c>
      <c r="K200" t="s">
        <v>1381</v>
      </c>
      <c r="L200" t="s">
        <v>1301</v>
      </c>
      <c r="M200" t="s">
        <v>1302</v>
      </c>
      <c r="N200" s="22">
        <v>44131</v>
      </c>
      <c r="O200" t="s">
        <v>1303</v>
      </c>
      <c r="P200">
        <v>123456</v>
      </c>
      <c r="Q200" t="s">
        <v>1317</v>
      </c>
      <c r="R200" t="s">
        <v>246</v>
      </c>
      <c r="S200" s="22">
        <v>44131.39738425926</v>
      </c>
      <c r="T200" s="22" t="s">
        <v>2222</v>
      </c>
    </row>
    <row r="201" spans="1:20" x14ac:dyDescent="0.25">
      <c r="A201" t="s">
        <v>1939</v>
      </c>
      <c r="B201" t="s">
        <v>448</v>
      </c>
      <c r="C201">
        <v>8</v>
      </c>
      <c r="D201" t="s">
        <v>450</v>
      </c>
      <c r="E201" s="22">
        <v>43466</v>
      </c>
      <c r="F201" t="s">
        <v>1648</v>
      </c>
      <c r="G201">
        <v>4</v>
      </c>
      <c r="H201" t="s">
        <v>1972</v>
      </c>
      <c r="I201" t="s">
        <v>1299</v>
      </c>
      <c r="J201">
        <v>1234</v>
      </c>
      <c r="K201" t="s">
        <v>1331</v>
      </c>
      <c r="L201" t="s">
        <v>1323</v>
      </c>
      <c r="M201" t="s">
        <v>1302</v>
      </c>
      <c r="N201" s="22">
        <v>44131</v>
      </c>
      <c r="O201" t="s">
        <v>1303</v>
      </c>
      <c r="P201" t="s">
        <v>1973</v>
      </c>
      <c r="Q201" t="s">
        <v>1317</v>
      </c>
      <c r="R201" t="s">
        <v>246</v>
      </c>
      <c r="S201" s="22">
        <v>44131.551076388889</v>
      </c>
      <c r="T201" s="22" t="s">
        <v>2222</v>
      </c>
    </row>
    <row r="202" spans="1:20" x14ac:dyDescent="0.25">
      <c r="A202" t="s">
        <v>1939</v>
      </c>
      <c r="B202" t="s">
        <v>1974</v>
      </c>
      <c r="C202">
        <v>8</v>
      </c>
      <c r="D202" t="s">
        <v>1975</v>
      </c>
      <c r="E202" s="22">
        <v>43466</v>
      </c>
      <c r="F202" t="s">
        <v>1378</v>
      </c>
      <c r="G202">
        <v>4</v>
      </c>
      <c r="H202" t="s">
        <v>1976</v>
      </c>
      <c r="I202" t="s">
        <v>1299</v>
      </c>
      <c r="J202">
        <v>1234</v>
      </c>
      <c r="K202" t="s">
        <v>1331</v>
      </c>
      <c r="L202" t="s">
        <v>1323</v>
      </c>
      <c r="M202" t="s">
        <v>1302</v>
      </c>
      <c r="N202" s="22">
        <v>44131</v>
      </c>
      <c r="O202" t="s">
        <v>1303</v>
      </c>
      <c r="P202">
        <v>123456</v>
      </c>
      <c r="Q202" t="s">
        <v>1317</v>
      </c>
      <c r="R202" t="s">
        <v>246</v>
      </c>
      <c r="S202" s="22">
        <v>44131.550763888888</v>
      </c>
      <c r="T202" s="22" t="s">
        <v>2222</v>
      </c>
    </row>
    <row r="203" spans="1:20" x14ac:dyDescent="0.25">
      <c r="A203" t="s">
        <v>1939</v>
      </c>
      <c r="B203" t="s">
        <v>949</v>
      </c>
      <c r="C203">
        <v>8</v>
      </c>
      <c r="D203" t="s">
        <v>951</v>
      </c>
      <c r="E203" s="22">
        <v>43466</v>
      </c>
      <c r="F203" t="s">
        <v>1648</v>
      </c>
      <c r="G203">
        <v>4</v>
      </c>
      <c r="H203" t="s">
        <v>1977</v>
      </c>
      <c r="I203" t="s">
        <v>1745</v>
      </c>
      <c r="J203">
        <v>1234</v>
      </c>
      <c r="K203" t="s">
        <v>1978</v>
      </c>
      <c r="L203" t="s">
        <v>1301</v>
      </c>
      <c r="M203" t="s">
        <v>1302</v>
      </c>
      <c r="N203" s="22">
        <v>44131</v>
      </c>
      <c r="O203" t="s">
        <v>1303</v>
      </c>
      <c r="P203">
        <v>123456</v>
      </c>
      <c r="Q203" t="s">
        <v>1317</v>
      </c>
      <c r="R203" t="s">
        <v>246</v>
      </c>
      <c r="S203" s="22">
        <v>44131.550138888888</v>
      </c>
      <c r="T203" s="22" t="s">
        <v>2222</v>
      </c>
    </row>
    <row r="204" spans="1:20" x14ac:dyDescent="0.25">
      <c r="A204" t="s">
        <v>1939</v>
      </c>
      <c r="B204" t="s">
        <v>1979</v>
      </c>
      <c r="C204">
        <v>8</v>
      </c>
      <c r="D204" t="s">
        <v>1980</v>
      </c>
      <c r="E204" s="22">
        <v>43466</v>
      </c>
      <c r="F204" t="s">
        <v>1378</v>
      </c>
      <c r="G204">
        <v>4</v>
      </c>
      <c r="H204" t="s">
        <v>1981</v>
      </c>
      <c r="I204" t="s">
        <v>1299</v>
      </c>
      <c r="J204">
        <v>1234</v>
      </c>
      <c r="K204" t="s">
        <v>1982</v>
      </c>
      <c r="L204" t="s">
        <v>1323</v>
      </c>
      <c r="M204" t="s">
        <v>1324</v>
      </c>
      <c r="N204" s="22">
        <v>44131</v>
      </c>
      <c r="O204" t="s">
        <v>1303</v>
      </c>
      <c r="P204">
        <v>123456</v>
      </c>
      <c r="Q204" t="s">
        <v>1317</v>
      </c>
      <c r="R204" t="s">
        <v>246</v>
      </c>
      <c r="S204" s="22">
        <v>44131.398194444446</v>
      </c>
      <c r="T204" s="22" t="s">
        <v>2222</v>
      </c>
    </row>
    <row r="205" spans="1:20" x14ac:dyDescent="0.25">
      <c r="A205" t="s">
        <v>1939</v>
      </c>
      <c r="B205" t="s">
        <v>1983</v>
      </c>
      <c r="C205">
        <v>8</v>
      </c>
      <c r="D205" t="s">
        <v>1984</v>
      </c>
      <c r="E205" s="22">
        <v>43466</v>
      </c>
      <c r="F205" t="s">
        <v>1378</v>
      </c>
      <c r="G205">
        <v>4</v>
      </c>
      <c r="H205" t="s">
        <v>1985</v>
      </c>
      <c r="I205" t="s">
        <v>1299</v>
      </c>
      <c r="J205">
        <v>1234</v>
      </c>
      <c r="K205" t="s">
        <v>1331</v>
      </c>
      <c r="L205" t="s">
        <v>1323</v>
      </c>
      <c r="M205" t="s">
        <v>1324</v>
      </c>
      <c r="N205" s="22">
        <v>44131</v>
      </c>
      <c r="O205" t="s">
        <v>1303</v>
      </c>
      <c r="P205">
        <v>123456</v>
      </c>
      <c r="Q205" t="s">
        <v>1317</v>
      </c>
      <c r="R205" t="s">
        <v>246</v>
      </c>
      <c r="S205" s="22">
        <v>44131.398414351854</v>
      </c>
      <c r="T205" s="22" t="s">
        <v>2222</v>
      </c>
    </row>
    <row r="206" spans="1:20" x14ac:dyDescent="0.25">
      <c r="A206" t="s">
        <v>1986</v>
      </c>
      <c r="B206" t="s">
        <v>1987</v>
      </c>
      <c r="C206">
        <v>6</v>
      </c>
      <c r="D206" t="s">
        <v>1988</v>
      </c>
      <c r="E206" s="22">
        <v>43466</v>
      </c>
      <c r="F206" t="s">
        <v>1648</v>
      </c>
      <c r="G206">
        <v>4</v>
      </c>
      <c r="H206" t="s">
        <v>1989</v>
      </c>
      <c r="I206" t="s">
        <v>1299</v>
      </c>
      <c r="J206">
        <v>1234</v>
      </c>
      <c r="K206" t="s">
        <v>1990</v>
      </c>
      <c r="L206" t="s">
        <v>1323</v>
      </c>
      <c r="M206" t="s">
        <v>1324</v>
      </c>
      <c r="N206" s="22">
        <v>44131</v>
      </c>
      <c r="O206" t="s">
        <v>1303</v>
      </c>
      <c r="P206">
        <v>123456</v>
      </c>
      <c r="Q206" t="s">
        <v>1317</v>
      </c>
      <c r="R206" t="s">
        <v>246</v>
      </c>
      <c r="S206" s="22">
        <v>44131.615567129629</v>
      </c>
      <c r="T206" s="22" t="s">
        <v>2222</v>
      </c>
    </row>
    <row r="207" spans="1:20" x14ac:dyDescent="0.25">
      <c r="A207" t="s">
        <v>1986</v>
      </c>
      <c r="B207" t="s">
        <v>1991</v>
      </c>
      <c r="C207">
        <v>6</v>
      </c>
      <c r="D207" t="s">
        <v>1992</v>
      </c>
      <c r="E207" s="22">
        <v>43466</v>
      </c>
      <c r="F207" t="s">
        <v>1648</v>
      </c>
      <c r="G207">
        <v>4</v>
      </c>
      <c r="H207" t="s">
        <v>1993</v>
      </c>
      <c r="I207" t="s">
        <v>1657</v>
      </c>
      <c r="J207">
        <v>1234</v>
      </c>
      <c r="K207" t="s">
        <v>1336</v>
      </c>
      <c r="L207" t="s">
        <v>1301</v>
      </c>
      <c r="M207" t="s">
        <v>1302</v>
      </c>
      <c r="N207" s="22">
        <v>44131</v>
      </c>
      <c r="O207" t="s">
        <v>1303</v>
      </c>
      <c r="P207">
        <v>123456</v>
      </c>
      <c r="Q207" t="s">
        <v>1317</v>
      </c>
      <c r="R207" t="s">
        <v>246</v>
      </c>
      <c r="S207" s="22">
        <v>44131.615856481483</v>
      </c>
      <c r="T207" s="22" t="s">
        <v>2222</v>
      </c>
    </row>
    <row r="208" spans="1:20" x14ac:dyDescent="0.25">
      <c r="A208" t="s">
        <v>1986</v>
      </c>
      <c r="B208" t="s">
        <v>917</v>
      </c>
      <c r="C208">
        <v>6</v>
      </c>
      <c r="D208" t="s">
        <v>919</v>
      </c>
      <c r="E208" s="22">
        <v>43466</v>
      </c>
      <c r="F208" t="s">
        <v>1648</v>
      </c>
      <c r="G208">
        <v>4</v>
      </c>
      <c r="H208" t="s">
        <v>1840</v>
      </c>
      <c r="I208" t="s">
        <v>1299</v>
      </c>
      <c r="J208">
        <v>1234</v>
      </c>
      <c r="K208" t="s">
        <v>1566</v>
      </c>
      <c r="L208" t="s">
        <v>1301</v>
      </c>
      <c r="M208" t="s">
        <v>1302</v>
      </c>
      <c r="N208" s="22">
        <v>44131</v>
      </c>
      <c r="O208" t="s">
        <v>1303</v>
      </c>
      <c r="P208">
        <v>123456</v>
      </c>
      <c r="Q208" t="s">
        <v>1317</v>
      </c>
      <c r="R208" t="s">
        <v>246</v>
      </c>
      <c r="S208" s="22">
        <v>44131.616168981483</v>
      </c>
      <c r="T208" s="22" t="s">
        <v>2222</v>
      </c>
    </row>
    <row r="209" spans="1:20" x14ac:dyDescent="0.25">
      <c r="A209" t="s">
        <v>1986</v>
      </c>
      <c r="B209" t="s">
        <v>1994</v>
      </c>
      <c r="C209">
        <v>6</v>
      </c>
      <c r="D209" t="s">
        <v>1995</v>
      </c>
      <c r="E209" s="22">
        <v>43466</v>
      </c>
      <c r="F209" t="s">
        <v>1648</v>
      </c>
      <c r="G209">
        <v>4</v>
      </c>
      <c r="H209" t="s">
        <v>1996</v>
      </c>
      <c r="I209" t="s">
        <v>1299</v>
      </c>
      <c r="J209">
        <v>1234</v>
      </c>
      <c r="K209" t="s">
        <v>1997</v>
      </c>
      <c r="L209" t="s">
        <v>1323</v>
      </c>
      <c r="M209" t="s">
        <v>1324</v>
      </c>
      <c r="N209" s="22">
        <v>44131</v>
      </c>
      <c r="O209" t="s">
        <v>1303</v>
      </c>
      <c r="P209">
        <v>123456</v>
      </c>
      <c r="Q209" t="s">
        <v>1317</v>
      </c>
      <c r="R209" t="s">
        <v>246</v>
      </c>
      <c r="S209" s="22">
        <v>44131.616354166668</v>
      </c>
      <c r="T209" s="22" t="s">
        <v>2222</v>
      </c>
    </row>
    <row r="210" spans="1:20" x14ac:dyDescent="0.25">
      <c r="A210" t="s">
        <v>1986</v>
      </c>
      <c r="B210" t="s">
        <v>779</v>
      </c>
      <c r="C210">
        <v>6</v>
      </c>
      <c r="D210" t="s">
        <v>781</v>
      </c>
      <c r="E210" s="22">
        <v>44075</v>
      </c>
      <c r="F210" t="s">
        <v>1307</v>
      </c>
      <c r="G210">
        <v>4</v>
      </c>
      <c r="H210" t="s">
        <v>1998</v>
      </c>
      <c r="I210" t="s">
        <v>1999</v>
      </c>
      <c r="J210" t="s">
        <v>1715</v>
      </c>
      <c r="K210" t="s">
        <v>1916</v>
      </c>
      <c r="L210" t="s">
        <v>1323</v>
      </c>
      <c r="M210" t="s">
        <v>1509</v>
      </c>
      <c r="N210" s="22">
        <v>44131</v>
      </c>
      <c r="O210" t="s">
        <v>1303</v>
      </c>
      <c r="P210">
        <v>123456</v>
      </c>
      <c r="Q210" t="s">
        <v>1312</v>
      </c>
      <c r="R210" t="s">
        <v>246</v>
      </c>
      <c r="S210" s="22">
        <v>44131.636574074073</v>
      </c>
      <c r="T210" s="22" t="s">
        <v>2222</v>
      </c>
    </row>
    <row r="211" spans="1:20" x14ac:dyDescent="0.25">
      <c r="A211" t="s">
        <v>1986</v>
      </c>
      <c r="B211" t="s">
        <v>2000</v>
      </c>
      <c r="C211">
        <v>6</v>
      </c>
      <c r="D211" t="s">
        <v>2001</v>
      </c>
      <c r="E211" s="22">
        <v>44089</v>
      </c>
      <c r="F211">
        <v>1</v>
      </c>
      <c r="G211">
        <v>4</v>
      </c>
      <c r="H211" t="s">
        <v>2002</v>
      </c>
      <c r="I211" t="s">
        <v>2003</v>
      </c>
      <c r="J211" t="s">
        <v>1715</v>
      </c>
      <c r="K211" t="s">
        <v>1534</v>
      </c>
      <c r="L211" t="s">
        <v>1301</v>
      </c>
      <c r="M211" t="s">
        <v>1302</v>
      </c>
      <c r="N211" s="22">
        <v>44131</v>
      </c>
      <c r="O211" t="s">
        <v>1303</v>
      </c>
      <c r="P211">
        <v>123456</v>
      </c>
      <c r="Q211" t="s">
        <v>1312</v>
      </c>
      <c r="R211" t="s">
        <v>246</v>
      </c>
      <c r="S211" s="22">
        <v>44131.63689814815</v>
      </c>
      <c r="T211" s="22" t="s">
        <v>2222</v>
      </c>
    </row>
    <row r="212" spans="1:20" x14ac:dyDescent="0.25">
      <c r="A212" t="s">
        <v>1986</v>
      </c>
      <c r="B212" t="s">
        <v>2004</v>
      </c>
      <c r="C212">
        <v>6</v>
      </c>
      <c r="D212" t="s">
        <v>2005</v>
      </c>
      <c r="E212" s="22">
        <v>43466</v>
      </c>
      <c r="F212" t="s">
        <v>1648</v>
      </c>
      <c r="G212">
        <v>4</v>
      </c>
      <c r="H212" t="s">
        <v>2006</v>
      </c>
      <c r="I212" t="s">
        <v>1299</v>
      </c>
      <c r="J212">
        <v>1234</v>
      </c>
      <c r="K212" t="s">
        <v>1534</v>
      </c>
      <c r="L212" t="s">
        <v>1301</v>
      </c>
      <c r="M212" t="s">
        <v>1302</v>
      </c>
      <c r="N212" s="22">
        <v>44131</v>
      </c>
      <c r="O212" t="s">
        <v>1303</v>
      </c>
      <c r="P212">
        <v>123456</v>
      </c>
      <c r="Q212" t="s">
        <v>1317</v>
      </c>
      <c r="R212" t="s">
        <v>246</v>
      </c>
      <c r="S212" s="22">
        <v>44131.637164351851</v>
      </c>
      <c r="T212" s="22" t="s">
        <v>2222</v>
      </c>
    </row>
    <row r="213" spans="1:20" x14ac:dyDescent="0.25">
      <c r="A213" t="s">
        <v>1986</v>
      </c>
      <c r="B213" t="s">
        <v>926</v>
      </c>
      <c r="C213">
        <v>6</v>
      </c>
      <c r="D213" t="s">
        <v>928</v>
      </c>
      <c r="E213" s="22">
        <v>43466</v>
      </c>
      <c r="F213" t="s">
        <v>1648</v>
      </c>
      <c r="G213">
        <v>4</v>
      </c>
      <c r="H213" t="s">
        <v>2007</v>
      </c>
      <c r="I213" t="s">
        <v>1299</v>
      </c>
      <c r="J213">
        <v>1234</v>
      </c>
      <c r="K213" t="s">
        <v>1566</v>
      </c>
      <c r="L213" t="s">
        <v>1301</v>
      </c>
      <c r="M213" t="s">
        <v>1302</v>
      </c>
      <c r="N213" s="22">
        <v>44131</v>
      </c>
      <c r="O213" t="s">
        <v>1303</v>
      </c>
      <c r="P213">
        <v>123456</v>
      </c>
      <c r="Q213" t="s">
        <v>1317</v>
      </c>
      <c r="R213" t="s">
        <v>246</v>
      </c>
      <c r="S213" s="22">
        <v>44131.636076388888</v>
      </c>
      <c r="T213" s="22" t="s">
        <v>2222</v>
      </c>
    </row>
    <row r="214" spans="1:20" x14ac:dyDescent="0.25">
      <c r="A214" t="s">
        <v>1986</v>
      </c>
      <c r="B214" t="s">
        <v>2008</v>
      </c>
      <c r="C214">
        <v>6</v>
      </c>
      <c r="D214" t="s">
        <v>2009</v>
      </c>
      <c r="E214" s="22">
        <v>43586</v>
      </c>
      <c r="F214" t="s">
        <v>1648</v>
      </c>
      <c r="G214">
        <v>6</v>
      </c>
      <c r="H214" t="s">
        <v>2010</v>
      </c>
      <c r="I214" t="s">
        <v>1299</v>
      </c>
      <c r="J214">
        <v>1234</v>
      </c>
      <c r="K214" t="s">
        <v>1336</v>
      </c>
      <c r="L214" t="s">
        <v>1301</v>
      </c>
      <c r="M214" t="s">
        <v>1302</v>
      </c>
      <c r="N214" s="22">
        <v>44131</v>
      </c>
      <c r="O214" t="s">
        <v>1303</v>
      </c>
      <c r="P214">
        <v>123456</v>
      </c>
      <c r="Q214" t="s">
        <v>1317</v>
      </c>
      <c r="R214" t="s">
        <v>246</v>
      </c>
      <c r="S214" s="22">
        <v>44131.637384259258</v>
      </c>
      <c r="T214" s="22" t="s">
        <v>2222</v>
      </c>
    </row>
    <row r="215" spans="1:20" x14ac:dyDescent="0.25">
      <c r="A215" t="s">
        <v>1986</v>
      </c>
      <c r="B215" t="s">
        <v>2011</v>
      </c>
      <c r="C215">
        <v>6</v>
      </c>
      <c r="D215" t="s">
        <v>2012</v>
      </c>
      <c r="E215" s="22">
        <v>43466</v>
      </c>
      <c r="F215" t="s">
        <v>1648</v>
      </c>
      <c r="G215">
        <v>4</v>
      </c>
      <c r="H215" t="s">
        <v>2013</v>
      </c>
      <c r="I215" t="s">
        <v>1299</v>
      </c>
      <c r="J215">
        <v>1234</v>
      </c>
      <c r="K215" t="s">
        <v>2014</v>
      </c>
      <c r="L215" t="s">
        <v>1323</v>
      </c>
      <c r="M215" t="s">
        <v>1324</v>
      </c>
      <c r="N215" s="22">
        <v>44131</v>
      </c>
      <c r="O215" t="s">
        <v>1303</v>
      </c>
      <c r="P215" t="s">
        <v>2015</v>
      </c>
      <c r="Q215" t="s">
        <v>1317</v>
      </c>
      <c r="R215" t="s">
        <v>246</v>
      </c>
      <c r="S215" s="22">
        <v>44131.637673611112</v>
      </c>
      <c r="T215" s="22" t="s">
        <v>2222</v>
      </c>
    </row>
    <row r="216" spans="1:20" x14ac:dyDescent="0.25">
      <c r="A216" t="s">
        <v>1986</v>
      </c>
      <c r="B216" t="s">
        <v>2016</v>
      </c>
      <c r="C216">
        <v>6</v>
      </c>
      <c r="D216" t="s">
        <v>2017</v>
      </c>
      <c r="E216" s="22">
        <v>43466</v>
      </c>
      <c r="F216" t="s">
        <v>1648</v>
      </c>
      <c r="G216">
        <v>4</v>
      </c>
      <c r="H216" t="s">
        <v>2018</v>
      </c>
      <c r="I216" t="s">
        <v>1299</v>
      </c>
      <c r="J216">
        <v>1234</v>
      </c>
      <c r="K216" t="s">
        <v>2019</v>
      </c>
      <c r="L216" t="s">
        <v>1323</v>
      </c>
      <c r="M216" t="s">
        <v>1324</v>
      </c>
      <c r="N216" s="22">
        <v>44131</v>
      </c>
      <c r="O216" t="s">
        <v>1303</v>
      </c>
      <c r="P216">
        <v>123456</v>
      </c>
      <c r="Q216" t="s">
        <v>1317</v>
      </c>
      <c r="R216" t="s">
        <v>246</v>
      </c>
      <c r="S216" s="22">
        <v>44131.642523148148</v>
      </c>
      <c r="T216" s="22" t="s">
        <v>2222</v>
      </c>
    </row>
    <row r="217" spans="1:20" x14ac:dyDescent="0.25">
      <c r="A217" t="s">
        <v>2020</v>
      </c>
      <c r="B217" t="s">
        <v>496</v>
      </c>
      <c r="C217">
        <v>23</v>
      </c>
      <c r="D217" t="s">
        <v>498</v>
      </c>
      <c r="E217" s="22">
        <v>44075</v>
      </c>
      <c r="F217" t="s">
        <v>1307</v>
      </c>
      <c r="G217">
        <v>4</v>
      </c>
      <c r="H217" t="s">
        <v>2021</v>
      </c>
      <c r="I217" t="s">
        <v>2022</v>
      </c>
      <c r="J217" t="s">
        <v>1715</v>
      </c>
      <c r="K217" t="s">
        <v>2023</v>
      </c>
      <c r="L217" t="s">
        <v>1323</v>
      </c>
      <c r="M217" t="s">
        <v>1509</v>
      </c>
      <c r="N217" s="22">
        <v>44133</v>
      </c>
      <c r="O217" t="s">
        <v>1303</v>
      </c>
      <c r="P217">
        <v>123456</v>
      </c>
      <c r="Q217" t="s">
        <v>1312</v>
      </c>
      <c r="R217" t="s">
        <v>246</v>
      </c>
      <c r="S217" s="22">
        <v>44133.55369212963</v>
      </c>
      <c r="T217" s="22" t="s">
        <v>2222</v>
      </c>
    </row>
    <row r="218" spans="1:20" x14ac:dyDescent="0.25">
      <c r="A218" t="s">
        <v>2020</v>
      </c>
      <c r="B218" t="s">
        <v>2024</v>
      </c>
      <c r="C218">
        <v>23</v>
      </c>
      <c r="D218" t="s">
        <v>2025</v>
      </c>
      <c r="E218" s="22">
        <v>43748</v>
      </c>
      <c r="F218" t="s">
        <v>1648</v>
      </c>
      <c r="G218">
        <v>4</v>
      </c>
      <c r="H218" t="s">
        <v>2026</v>
      </c>
      <c r="I218" t="s">
        <v>1299</v>
      </c>
      <c r="J218">
        <v>1234</v>
      </c>
      <c r="K218" t="s">
        <v>1534</v>
      </c>
      <c r="L218" t="s">
        <v>1301</v>
      </c>
      <c r="M218" t="s">
        <v>1302</v>
      </c>
      <c r="N218" s="22">
        <v>44133</v>
      </c>
      <c r="O218" t="s">
        <v>1303</v>
      </c>
      <c r="P218">
        <v>123456</v>
      </c>
      <c r="Q218" t="s">
        <v>1317</v>
      </c>
      <c r="R218" t="s">
        <v>246</v>
      </c>
      <c r="S218" s="22">
        <v>44133.552129629628</v>
      </c>
      <c r="T218" s="22" t="s">
        <v>2222</v>
      </c>
    </row>
    <row r="219" spans="1:20" x14ac:dyDescent="0.25">
      <c r="A219" t="s">
        <v>2020</v>
      </c>
      <c r="B219" t="s">
        <v>2027</v>
      </c>
      <c r="C219">
        <v>23</v>
      </c>
      <c r="D219" t="s">
        <v>2028</v>
      </c>
      <c r="E219" s="22">
        <v>43466</v>
      </c>
      <c r="F219" t="s">
        <v>1648</v>
      </c>
      <c r="G219">
        <v>6</v>
      </c>
      <c r="H219" t="s">
        <v>2029</v>
      </c>
      <c r="I219" t="s">
        <v>2030</v>
      </c>
      <c r="J219" t="s">
        <v>2031</v>
      </c>
      <c r="K219" t="s">
        <v>2032</v>
      </c>
      <c r="L219" t="s">
        <v>1323</v>
      </c>
      <c r="M219" t="s">
        <v>1324</v>
      </c>
      <c r="N219" s="22">
        <v>44133</v>
      </c>
      <c r="O219" t="s">
        <v>1303</v>
      </c>
      <c r="P219">
        <v>123456</v>
      </c>
      <c r="Q219" t="s">
        <v>1317</v>
      </c>
      <c r="R219" t="s">
        <v>246</v>
      </c>
      <c r="S219" s="22">
        <v>44133.552395833336</v>
      </c>
      <c r="T219" s="22" t="s">
        <v>2222</v>
      </c>
    </row>
    <row r="220" spans="1:20" x14ac:dyDescent="0.25">
      <c r="A220" t="s">
        <v>2020</v>
      </c>
      <c r="B220" t="s">
        <v>2033</v>
      </c>
      <c r="C220">
        <v>23</v>
      </c>
      <c r="D220" t="s">
        <v>2034</v>
      </c>
      <c r="E220" s="22">
        <v>43525</v>
      </c>
      <c r="F220" t="s">
        <v>1648</v>
      </c>
      <c r="G220">
        <v>4</v>
      </c>
      <c r="H220" t="s">
        <v>2035</v>
      </c>
      <c r="I220" t="s">
        <v>1299</v>
      </c>
      <c r="J220">
        <v>1234</v>
      </c>
      <c r="K220" t="s">
        <v>1336</v>
      </c>
      <c r="L220" t="s">
        <v>1301</v>
      </c>
      <c r="M220" t="s">
        <v>1302</v>
      </c>
      <c r="N220" s="22">
        <v>44133</v>
      </c>
      <c r="O220" t="s">
        <v>1303</v>
      </c>
      <c r="P220">
        <v>123456</v>
      </c>
      <c r="Q220" t="s">
        <v>1317</v>
      </c>
      <c r="R220" t="s">
        <v>246</v>
      </c>
      <c r="S220" s="22">
        <v>44133.552766203706</v>
      </c>
      <c r="T220" s="22" t="s">
        <v>2222</v>
      </c>
    </row>
    <row r="221" spans="1:20" x14ac:dyDescent="0.25">
      <c r="A221" t="s">
        <v>2020</v>
      </c>
      <c r="B221" t="s">
        <v>2036</v>
      </c>
      <c r="C221">
        <v>23</v>
      </c>
      <c r="D221" t="s">
        <v>2037</v>
      </c>
      <c r="E221" s="22">
        <v>43466</v>
      </c>
      <c r="F221" t="s">
        <v>1648</v>
      </c>
      <c r="G221">
        <v>4</v>
      </c>
      <c r="H221" t="s">
        <v>2038</v>
      </c>
      <c r="I221" t="s">
        <v>1299</v>
      </c>
      <c r="J221">
        <v>1234</v>
      </c>
      <c r="K221" t="s">
        <v>1336</v>
      </c>
      <c r="L221" t="s">
        <v>1301</v>
      </c>
      <c r="M221" t="s">
        <v>1302</v>
      </c>
      <c r="N221" s="22">
        <v>44133</v>
      </c>
      <c r="O221" t="s">
        <v>1303</v>
      </c>
      <c r="P221">
        <v>123456</v>
      </c>
      <c r="Q221" t="s">
        <v>1317</v>
      </c>
      <c r="R221" t="s">
        <v>246</v>
      </c>
      <c r="S221" s="22">
        <v>44133.553136574075</v>
      </c>
      <c r="T221" s="22" t="s">
        <v>2222</v>
      </c>
    </row>
    <row r="222" spans="1:20" x14ac:dyDescent="0.25">
      <c r="A222" t="s">
        <v>2020</v>
      </c>
      <c r="B222" t="s">
        <v>2039</v>
      </c>
      <c r="C222">
        <v>23</v>
      </c>
      <c r="D222" t="s">
        <v>2040</v>
      </c>
      <c r="E222" s="22">
        <v>43525</v>
      </c>
      <c r="F222" t="s">
        <v>1648</v>
      </c>
      <c r="G222">
        <v>4</v>
      </c>
      <c r="H222" t="s">
        <v>2041</v>
      </c>
      <c r="I222" t="s">
        <v>1745</v>
      </c>
      <c r="J222">
        <v>1234</v>
      </c>
      <c r="K222" t="s">
        <v>1331</v>
      </c>
      <c r="L222" t="s">
        <v>1323</v>
      </c>
      <c r="M222" t="s">
        <v>1302</v>
      </c>
      <c r="N222" s="22">
        <v>44133</v>
      </c>
      <c r="O222" t="s">
        <v>1303</v>
      </c>
      <c r="P222">
        <v>123456</v>
      </c>
      <c r="Q222" t="s">
        <v>1366</v>
      </c>
      <c r="R222" t="s">
        <v>246</v>
      </c>
      <c r="S222" s="22">
        <v>44133.553506944445</v>
      </c>
      <c r="T222" s="22" t="s">
        <v>2222</v>
      </c>
    </row>
    <row r="223" spans="1:20" x14ac:dyDescent="0.25">
      <c r="A223" t="s">
        <v>2042</v>
      </c>
      <c r="B223" t="s">
        <v>2043</v>
      </c>
      <c r="C223">
        <v>7</v>
      </c>
      <c r="D223" t="s">
        <v>2044</v>
      </c>
      <c r="E223" s="22">
        <v>43101</v>
      </c>
      <c r="F223" t="s">
        <v>1648</v>
      </c>
      <c r="G223">
        <v>3</v>
      </c>
      <c r="H223" t="s">
        <v>2045</v>
      </c>
      <c r="I223" t="s">
        <v>1745</v>
      </c>
      <c r="J223">
        <v>1234</v>
      </c>
      <c r="K223" t="s">
        <v>2046</v>
      </c>
      <c r="L223" t="s">
        <v>1323</v>
      </c>
      <c r="M223" t="s">
        <v>1324</v>
      </c>
      <c r="N223" s="22">
        <v>44133</v>
      </c>
      <c r="O223" t="s">
        <v>1303</v>
      </c>
      <c r="P223" t="s">
        <v>2047</v>
      </c>
      <c r="Q223" t="s">
        <v>1317</v>
      </c>
      <c r="R223" t="s">
        <v>246</v>
      </c>
      <c r="S223" s="22">
        <v>44133.559050925927</v>
      </c>
      <c r="T223" s="22" t="s">
        <v>2222</v>
      </c>
    </row>
    <row r="224" spans="1:20" x14ac:dyDescent="0.25">
      <c r="A224" t="s">
        <v>2042</v>
      </c>
      <c r="B224" t="s">
        <v>2048</v>
      </c>
      <c r="C224">
        <v>7</v>
      </c>
      <c r="D224" t="s">
        <v>2049</v>
      </c>
      <c r="E224" s="22">
        <v>43101</v>
      </c>
      <c r="F224" t="s">
        <v>1648</v>
      </c>
      <c r="G224">
        <v>4</v>
      </c>
      <c r="H224" t="s">
        <v>2050</v>
      </c>
      <c r="I224" t="s">
        <v>1745</v>
      </c>
      <c r="J224">
        <v>1234</v>
      </c>
      <c r="K224" t="s">
        <v>2051</v>
      </c>
      <c r="L224" t="s">
        <v>1301</v>
      </c>
      <c r="M224" t="s">
        <v>1324</v>
      </c>
      <c r="N224" s="22">
        <v>44133</v>
      </c>
      <c r="O224" t="s">
        <v>1303</v>
      </c>
      <c r="P224">
        <v>123456</v>
      </c>
      <c r="Q224">
        <v>1</v>
      </c>
      <c r="R224" t="s">
        <v>246</v>
      </c>
      <c r="S224" s="22">
        <v>44133.559305555558</v>
      </c>
      <c r="T224" s="22" t="s">
        <v>2222</v>
      </c>
    </row>
    <row r="225" spans="1:20" x14ac:dyDescent="0.25">
      <c r="A225" t="s">
        <v>2042</v>
      </c>
      <c r="B225" t="s">
        <v>2052</v>
      </c>
      <c r="C225">
        <v>7</v>
      </c>
      <c r="D225" t="s">
        <v>2053</v>
      </c>
      <c r="E225" s="22">
        <v>43732</v>
      </c>
      <c r="F225" t="s">
        <v>1648</v>
      </c>
      <c r="G225">
        <v>4</v>
      </c>
      <c r="H225" t="s">
        <v>2054</v>
      </c>
      <c r="I225" t="s">
        <v>1299</v>
      </c>
      <c r="J225">
        <v>1234</v>
      </c>
      <c r="K225" t="s">
        <v>1336</v>
      </c>
      <c r="L225" t="s">
        <v>1301</v>
      </c>
      <c r="M225" t="s">
        <v>1302</v>
      </c>
      <c r="N225" s="22">
        <v>44133</v>
      </c>
      <c r="O225" t="s">
        <v>1303</v>
      </c>
      <c r="P225">
        <v>123456</v>
      </c>
      <c r="Q225" t="s">
        <v>1317</v>
      </c>
      <c r="R225" t="s">
        <v>246</v>
      </c>
      <c r="S225" s="22">
        <v>44133.556018518517</v>
      </c>
      <c r="T225" s="22" t="s">
        <v>2222</v>
      </c>
    </row>
    <row r="226" spans="1:20" x14ac:dyDescent="0.25">
      <c r="A226" t="s">
        <v>2042</v>
      </c>
      <c r="B226" t="s">
        <v>362</v>
      </c>
      <c r="C226">
        <v>7</v>
      </c>
      <c r="D226" t="s">
        <v>364</v>
      </c>
      <c r="E226" s="22">
        <v>43101</v>
      </c>
      <c r="F226" t="s">
        <v>1648</v>
      </c>
      <c r="G226">
        <v>4</v>
      </c>
      <c r="H226" t="s">
        <v>1409</v>
      </c>
      <c r="I226" t="s">
        <v>1299</v>
      </c>
      <c r="J226">
        <v>1234</v>
      </c>
      <c r="K226" t="s">
        <v>1336</v>
      </c>
      <c r="L226" t="s">
        <v>1301</v>
      </c>
      <c r="M226" t="s">
        <v>1302</v>
      </c>
      <c r="N226" s="22">
        <v>44133</v>
      </c>
      <c r="O226" t="s">
        <v>1303</v>
      </c>
      <c r="P226" t="s">
        <v>2055</v>
      </c>
      <c r="Q226" t="s">
        <v>1317</v>
      </c>
      <c r="R226" t="s">
        <v>246</v>
      </c>
      <c r="S226" s="22">
        <v>44133.556215277778</v>
      </c>
      <c r="T226" s="22" t="s">
        <v>2222</v>
      </c>
    </row>
    <row r="227" spans="1:20" x14ac:dyDescent="0.25">
      <c r="A227" t="s">
        <v>2042</v>
      </c>
      <c r="B227" t="s">
        <v>289</v>
      </c>
      <c r="C227">
        <v>7</v>
      </c>
      <c r="D227" t="s">
        <v>291</v>
      </c>
      <c r="E227" s="22">
        <v>43466</v>
      </c>
      <c r="F227" t="s">
        <v>1648</v>
      </c>
      <c r="G227">
        <v>4</v>
      </c>
      <c r="H227" t="s">
        <v>2056</v>
      </c>
      <c r="I227" t="s">
        <v>1299</v>
      </c>
      <c r="J227">
        <v>1234</v>
      </c>
      <c r="K227" t="s">
        <v>2057</v>
      </c>
      <c r="L227" t="s">
        <v>1323</v>
      </c>
      <c r="M227" t="s">
        <v>1302</v>
      </c>
      <c r="N227" s="22">
        <v>44140</v>
      </c>
      <c r="O227" t="s">
        <v>1303</v>
      </c>
      <c r="P227">
        <v>123456</v>
      </c>
      <c r="Q227" t="s">
        <v>1317</v>
      </c>
      <c r="R227" t="s">
        <v>246</v>
      </c>
      <c r="S227" s="22">
        <v>44140.560115740744</v>
      </c>
      <c r="T227" s="22" t="s">
        <v>2221</v>
      </c>
    </row>
    <row r="228" spans="1:20" x14ac:dyDescent="0.25">
      <c r="A228" t="s">
        <v>2042</v>
      </c>
      <c r="B228" t="s">
        <v>1076</v>
      </c>
      <c r="C228">
        <v>7</v>
      </c>
      <c r="D228" t="s">
        <v>1078</v>
      </c>
      <c r="E228" s="22">
        <v>43466</v>
      </c>
      <c r="F228" t="s">
        <v>1648</v>
      </c>
      <c r="G228">
        <v>4</v>
      </c>
      <c r="H228" t="s">
        <v>2058</v>
      </c>
      <c r="I228" t="s">
        <v>1299</v>
      </c>
      <c r="J228">
        <v>1234</v>
      </c>
      <c r="K228" t="s">
        <v>2059</v>
      </c>
      <c r="L228" t="s">
        <v>1301</v>
      </c>
      <c r="M228" t="s">
        <v>1324</v>
      </c>
      <c r="N228" s="22">
        <v>44133</v>
      </c>
      <c r="O228" t="s">
        <v>1303</v>
      </c>
      <c r="P228" t="s">
        <v>2060</v>
      </c>
      <c r="Q228" t="s">
        <v>1317</v>
      </c>
      <c r="R228" t="s">
        <v>246</v>
      </c>
      <c r="S228" s="22">
        <v>44133.558854166666</v>
      </c>
      <c r="T228" s="22" t="s">
        <v>2222</v>
      </c>
    </row>
    <row r="229" spans="1:20" x14ac:dyDescent="0.25">
      <c r="A229" t="s">
        <v>2042</v>
      </c>
      <c r="B229" t="s">
        <v>1102</v>
      </c>
      <c r="C229">
        <v>7</v>
      </c>
      <c r="D229" t="s">
        <v>1104</v>
      </c>
      <c r="E229" s="22">
        <v>43101</v>
      </c>
      <c r="F229" t="s">
        <v>1648</v>
      </c>
      <c r="G229">
        <v>4</v>
      </c>
      <c r="H229" t="s">
        <v>2061</v>
      </c>
      <c r="I229" t="s">
        <v>1299</v>
      </c>
      <c r="J229">
        <v>1234</v>
      </c>
      <c r="K229" t="s">
        <v>2062</v>
      </c>
      <c r="L229" t="s">
        <v>1323</v>
      </c>
      <c r="M229" t="s">
        <v>1324</v>
      </c>
      <c r="N229" s="22">
        <v>44133</v>
      </c>
      <c r="O229" t="s">
        <v>1303</v>
      </c>
      <c r="P229" t="s">
        <v>2063</v>
      </c>
      <c r="Q229" t="s">
        <v>1317</v>
      </c>
      <c r="R229" t="s">
        <v>246</v>
      </c>
      <c r="S229" s="22">
        <v>44133.559537037036</v>
      </c>
      <c r="T229" s="22" t="s">
        <v>2222</v>
      </c>
    </row>
    <row r="230" spans="1:20" x14ac:dyDescent="0.25">
      <c r="A230" t="s">
        <v>2042</v>
      </c>
      <c r="B230" t="s">
        <v>2064</v>
      </c>
      <c r="C230">
        <v>7</v>
      </c>
      <c r="D230" t="s">
        <v>2065</v>
      </c>
      <c r="E230" s="22">
        <v>43466</v>
      </c>
      <c r="F230" t="s">
        <v>1648</v>
      </c>
      <c r="G230">
        <v>4</v>
      </c>
      <c r="H230" t="s">
        <v>2066</v>
      </c>
      <c r="I230" t="s">
        <v>1299</v>
      </c>
      <c r="J230">
        <v>1234</v>
      </c>
      <c r="K230" t="s">
        <v>1331</v>
      </c>
      <c r="L230" t="s">
        <v>1323</v>
      </c>
      <c r="M230" t="s">
        <v>1302</v>
      </c>
      <c r="N230" s="22">
        <v>44133</v>
      </c>
      <c r="O230" t="s">
        <v>1303</v>
      </c>
      <c r="P230" t="s">
        <v>2067</v>
      </c>
      <c r="Q230" t="s">
        <v>1317</v>
      </c>
      <c r="R230" t="s">
        <v>246</v>
      </c>
      <c r="S230" s="22">
        <v>44133.557372685187</v>
      </c>
      <c r="T230" s="22" t="s">
        <v>2222</v>
      </c>
    </row>
    <row r="231" spans="1:20" x14ac:dyDescent="0.25">
      <c r="A231" t="s">
        <v>2042</v>
      </c>
      <c r="B231" t="s">
        <v>2068</v>
      </c>
      <c r="C231">
        <v>7</v>
      </c>
      <c r="D231" t="s">
        <v>2069</v>
      </c>
      <c r="E231" s="22">
        <v>43747</v>
      </c>
      <c r="F231" t="s">
        <v>1648</v>
      </c>
      <c r="G231">
        <v>4</v>
      </c>
      <c r="H231">
        <v>1234</v>
      </c>
      <c r="I231">
        <v>1234</v>
      </c>
      <c r="J231" t="s">
        <v>1745</v>
      </c>
      <c r="K231" t="s">
        <v>2070</v>
      </c>
      <c r="L231" t="s">
        <v>1323</v>
      </c>
      <c r="M231" t="s">
        <v>1728</v>
      </c>
      <c r="N231" s="22">
        <v>44133</v>
      </c>
      <c r="O231" t="s">
        <v>1303</v>
      </c>
      <c r="P231" t="s">
        <v>1698</v>
      </c>
      <c r="Q231" t="s">
        <v>1698</v>
      </c>
      <c r="R231" t="s">
        <v>246</v>
      </c>
      <c r="S231" s="22">
        <v>44133.55982638889</v>
      </c>
      <c r="T231" s="22" t="s">
        <v>2222</v>
      </c>
    </row>
    <row r="232" spans="1:20" x14ac:dyDescent="0.25">
      <c r="A232" t="s">
        <v>2042</v>
      </c>
      <c r="B232" t="s">
        <v>2071</v>
      </c>
      <c r="C232">
        <v>7</v>
      </c>
      <c r="D232" t="s">
        <v>2072</v>
      </c>
      <c r="E232" s="22">
        <v>43374</v>
      </c>
      <c r="F232" t="s">
        <v>1648</v>
      </c>
      <c r="G232">
        <v>4</v>
      </c>
      <c r="H232" t="s">
        <v>2073</v>
      </c>
      <c r="I232" t="s">
        <v>1299</v>
      </c>
      <c r="J232">
        <v>1234</v>
      </c>
      <c r="K232" t="s">
        <v>1331</v>
      </c>
      <c r="L232" t="s">
        <v>1323</v>
      </c>
      <c r="M232" t="s">
        <v>1302</v>
      </c>
      <c r="N232" s="22">
        <v>44133</v>
      </c>
      <c r="O232" t="s">
        <v>1303</v>
      </c>
      <c r="P232">
        <v>123456</v>
      </c>
      <c r="Q232" t="s">
        <v>1317</v>
      </c>
      <c r="R232" t="s">
        <v>246</v>
      </c>
      <c r="S232" s="22">
        <v>44133.558217592596</v>
      </c>
      <c r="T232" s="22" t="s">
        <v>2222</v>
      </c>
    </row>
    <row r="233" spans="1:20" x14ac:dyDescent="0.25">
      <c r="A233" t="s">
        <v>2042</v>
      </c>
      <c r="B233" t="s">
        <v>2074</v>
      </c>
      <c r="C233">
        <v>7</v>
      </c>
      <c r="D233" t="s">
        <v>2075</v>
      </c>
      <c r="E233" s="22">
        <v>43101</v>
      </c>
      <c r="F233" t="s">
        <v>1648</v>
      </c>
      <c r="G233">
        <v>4</v>
      </c>
      <c r="H233" t="s">
        <v>2076</v>
      </c>
      <c r="I233" t="s">
        <v>1299</v>
      </c>
      <c r="J233">
        <v>1234</v>
      </c>
      <c r="K233" t="s">
        <v>2077</v>
      </c>
      <c r="L233" t="s">
        <v>1323</v>
      </c>
      <c r="M233" t="s">
        <v>1324</v>
      </c>
      <c r="N233" s="22">
        <v>44133</v>
      </c>
      <c r="O233" t="s">
        <v>1303</v>
      </c>
      <c r="P233" t="s">
        <v>2078</v>
      </c>
      <c r="Q233" t="s">
        <v>1317</v>
      </c>
      <c r="R233" t="s">
        <v>246</v>
      </c>
      <c r="S233" s="22">
        <v>44133.560057870367</v>
      </c>
      <c r="T233" s="22" t="s">
        <v>2222</v>
      </c>
    </row>
    <row r="234" spans="1:20" x14ac:dyDescent="0.25">
      <c r="A234" t="s">
        <v>2042</v>
      </c>
      <c r="B234" t="s">
        <v>319</v>
      </c>
      <c r="C234">
        <v>7</v>
      </c>
      <c r="D234" t="s">
        <v>321</v>
      </c>
      <c r="E234" s="22">
        <v>43101</v>
      </c>
      <c r="F234" t="s">
        <v>2079</v>
      </c>
      <c r="G234">
        <v>4</v>
      </c>
      <c r="H234" t="s">
        <v>2080</v>
      </c>
      <c r="I234" t="s">
        <v>1299</v>
      </c>
      <c r="J234">
        <v>1234</v>
      </c>
      <c r="K234" t="s">
        <v>1331</v>
      </c>
      <c r="L234" t="s">
        <v>1323</v>
      </c>
      <c r="M234" t="s">
        <v>1324</v>
      </c>
      <c r="N234" s="22">
        <v>44133</v>
      </c>
      <c r="O234" t="s">
        <v>1303</v>
      </c>
      <c r="P234" t="s">
        <v>2081</v>
      </c>
      <c r="Q234" t="s">
        <v>1317</v>
      </c>
      <c r="R234" t="s">
        <v>246</v>
      </c>
      <c r="S234" s="22">
        <v>44133.556828703702</v>
      </c>
      <c r="T234" s="22" t="s">
        <v>2222</v>
      </c>
    </row>
    <row r="235" spans="1:20" x14ac:dyDescent="0.25">
      <c r="A235" t="s">
        <v>2042</v>
      </c>
      <c r="B235" t="s">
        <v>2082</v>
      </c>
      <c r="C235">
        <v>7</v>
      </c>
      <c r="D235" t="s">
        <v>2083</v>
      </c>
      <c r="E235" s="22">
        <v>43101</v>
      </c>
      <c r="F235" t="s">
        <v>1648</v>
      </c>
      <c r="G235">
        <v>4</v>
      </c>
      <c r="H235" t="s">
        <v>2084</v>
      </c>
      <c r="I235" t="s">
        <v>1299</v>
      </c>
      <c r="J235">
        <v>1234</v>
      </c>
      <c r="K235" t="s">
        <v>1336</v>
      </c>
      <c r="L235" t="s">
        <v>1301</v>
      </c>
      <c r="M235" t="s">
        <v>1302</v>
      </c>
      <c r="N235" s="22">
        <v>44133</v>
      </c>
      <c r="O235" t="s">
        <v>1303</v>
      </c>
      <c r="P235" t="s">
        <v>2085</v>
      </c>
      <c r="Q235" t="s">
        <v>1317</v>
      </c>
      <c r="R235" t="s">
        <v>246</v>
      </c>
      <c r="S235" s="22">
        <v>44133.558518518519</v>
      </c>
      <c r="T235" s="22" t="s">
        <v>2222</v>
      </c>
    </row>
    <row r="236" spans="1:20" x14ac:dyDescent="0.25">
      <c r="A236" t="s">
        <v>2042</v>
      </c>
      <c r="B236" t="s">
        <v>2086</v>
      </c>
      <c r="C236">
        <v>7</v>
      </c>
      <c r="D236" t="s">
        <v>2087</v>
      </c>
      <c r="E236" s="22">
        <v>43101</v>
      </c>
      <c r="F236" t="s">
        <v>1648</v>
      </c>
      <c r="G236">
        <v>4</v>
      </c>
      <c r="H236" t="s">
        <v>2088</v>
      </c>
      <c r="I236" t="s">
        <v>1299</v>
      </c>
      <c r="J236">
        <v>1234</v>
      </c>
      <c r="K236" t="s">
        <v>1966</v>
      </c>
      <c r="L236" t="s">
        <v>1323</v>
      </c>
      <c r="M236" t="s">
        <v>1324</v>
      </c>
      <c r="N236" s="22">
        <v>44133</v>
      </c>
      <c r="O236" t="s">
        <v>1303</v>
      </c>
      <c r="P236" t="s">
        <v>2089</v>
      </c>
      <c r="Q236" t="s">
        <v>1317</v>
      </c>
      <c r="R236" t="s">
        <v>246</v>
      </c>
      <c r="S236" s="22">
        <v>44133.560266203705</v>
      </c>
      <c r="T236" s="22" t="s">
        <v>2222</v>
      </c>
    </row>
    <row r="237" spans="1:20" x14ac:dyDescent="0.25">
      <c r="A237" t="s">
        <v>2042</v>
      </c>
      <c r="B237" t="s">
        <v>2090</v>
      </c>
      <c r="C237">
        <v>7</v>
      </c>
      <c r="D237" t="s">
        <v>2091</v>
      </c>
      <c r="E237" s="22">
        <v>43101</v>
      </c>
      <c r="F237" t="s">
        <v>1648</v>
      </c>
      <c r="G237">
        <v>4</v>
      </c>
      <c r="H237" t="s">
        <v>2092</v>
      </c>
      <c r="I237" t="s">
        <v>1299</v>
      </c>
      <c r="J237">
        <v>1234</v>
      </c>
      <c r="K237" t="s">
        <v>1696</v>
      </c>
      <c r="L237" t="s">
        <v>1323</v>
      </c>
      <c r="M237" t="s">
        <v>1324</v>
      </c>
      <c r="N237" s="22">
        <v>44133</v>
      </c>
      <c r="O237" t="s">
        <v>1303</v>
      </c>
      <c r="P237" t="s">
        <v>2093</v>
      </c>
      <c r="Q237" t="s">
        <v>1317</v>
      </c>
      <c r="R237" t="s">
        <v>246</v>
      </c>
      <c r="S237" s="22">
        <v>44133.557581018518</v>
      </c>
      <c r="T237" s="22" t="s">
        <v>2222</v>
      </c>
    </row>
    <row r="238" spans="1:20" x14ac:dyDescent="0.25">
      <c r="A238" t="s">
        <v>2094</v>
      </c>
      <c r="B238" t="s">
        <v>2095</v>
      </c>
      <c r="C238">
        <v>14</v>
      </c>
      <c r="D238" t="s">
        <v>2096</v>
      </c>
      <c r="E238" s="22">
        <v>43101</v>
      </c>
      <c r="F238" t="s">
        <v>1648</v>
      </c>
      <c r="G238">
        <v>4</v>
      </c>
      <c r="H238" t="s">
        <v>2097</v>
      </c>
      <c r="I238" t="s">
        <v>2098</v>
      </c>
      <c r="J238" t="s">
        <v>2099</v>
      </c>
      <c r="K238" t="s">
        <v>1336</v>
      </c>
      <c r="L238" t="s">
        <v>1301</v>
      </c>
      <c r="M238" t="s">
        <v>1302</v>
      </c>
      <c r="N238" s="22">
        <v>44133</v>
      </c>
      <c r="O238" t="s">
        <v>1303</v>
      </c>
      <c r="P238">
        <v>123456</v>
      </c>
      <c r="Q238" t="s">
        <v>1317</v>
      </c>
      <c r="R238" t="s">
        <v>246</v>
      </c>
      <c r="S238" s="22">
        <v>44133.589201388888</v>
      </c>
      <c r="T238" s="22" t="s">
        <v>2222</v>
      </c>
    </row>
    <row r="239" spans="1:20" x14ac:dyDescent="0.25">
      <c r="A239" t="s">
        <v>2094</v>
      </c>
      <c r="B239" t="s">
        <v>2100</v>
      </c>
      <c r="C239">
        <v>14</v>
      </c>
      <c r="D239" t="s">
        <v>2101</v>
      </c>
      <c r="E239" s="22">
        <v>43858</v>
      </c>
      <c r="F239" t="s">
        <v>1307</v>
      </c>
      <c r="G239">
        <v>4</v>
      </c>
      <c r="H239" t="s">
        <v>2102</v>
      </c>
      <c r="I239" t="s">
        <v>2103</v>
      </c>
      <c r="J239" t="s">
        <v>2104</v>
      </c>
      <c r="K239" t="s">
        <v>2105</v>
      </c>
      <c r="L239" t="s">
        <v>1301</v>
      </c>
      <c r="M239" t="s">
        <v>1302</v>
      </c>
      <c r="N239" s="22">
        <v>44133</v>
      </c>
      <c r="O239" t="s">
        <v>1303</v>
      </c>
      <c r="P239">
        <v>123456</v>
      </c>
      <c r="Q239" t="s">
        <v>1317</v>
      </c>
      <c r="R239" t="s">
        <v>246</v>
      </c>
      <c r="S239" s="22">
        <v>44133.586435185185</v>
      </c>
      <c r="T239" s="22" t="s">
        <v>2222</v>
      </c>
    </row>
    <row r="240" spans="1:20" x14ac:dyDescent="0.25">
      <c r="A240" t="s">
        <v>2094</v>
      </c>
      <c r="B240" t="s">
        <v>2106</v>
      </c>
      <c r="C240">
        <v>14</v>
      </c>
      <c r="D240" t="s">
        <v>2107</v>
      </c>
      <c r="E240" s="22">
        <v>43101</v>
      </c>
      <c r="F240" t="s">
        <v>1648</v>
      </c>
      <c r="G240">
        <v>4</v>
      </c>
      <c r="H240" t="s">
        <v>2108</v>
      </c>
      <c r="I240" t="s">
        <v>1299</v>
      </c>
      <c r="J240">
        <v>1234</v>
      </c>
      <c r="K240" t="s">
        <v>2109</v>
      </c>
      <c r="L240" t="s">
        <v>1301</v>
      </c>
      <c r="M240" t="s">
        <v>1324</v>
      </c>
      <c r="N240" s="22">
        <v>44133</v>
      </c>
      <c r="O240" t="s">
        <v>1303</v>
      </c>
      <c r="P240">
        <v>123456</v>
      </c>
      <c r="Q240" t="s">
        <v>1448</v>
      </c>
      <c r="R240" t="s">
        <v>246</v>
      </c>
      <c r="S240" s="22">
        <v>44133.588773148149</v>
      </c>
      <c r="T240" s="22" t="s">
        <v>2222</v>
      </c>
    </row>
    <row r="241" spans="1:20" x14ac:dyDescent="0.25">
      <c r="A241" t="s">
        <v>2094</v>
      </c>
      <c r="B241" t="s">
        <v>580</v>
      </c>
      <c r="C241">
        <v>14</v>
      </c>
      <c r="D241" t="s">
        <v>582</v>
      </c>
      <c r="E241" s="22">
        <v>43374</v>
      </c>
      <c r="F241" t="s">
        <v>1648</v>
      </c>
      <c r="G241">
        <v>6</v>
      </c>
      <c r="H241" t="s">
        <v>1660</v>
      </c>
      <c r="I241" t="s">
        <v>1299</v>
      </c>
      <c r="J241">
        <v>1234</v>
      </c>
      <c r="K241" t="s">
        <v>2110</v>
      </c>
      <c r="L241" t="s">
        <v>1323</v>
      </c>
      <c r="M241" t="s">
        <v>1324</v>
      </c>
      <c r="N241" s="22">
        <v>44133</v>
      </c>
      <c r="O241" t="s">
        <v>1303</v>
      </c>
      <c r="P241">
        <v>123456</v>
      </c>
      <c r="Q241" t="s">
        <v>1317</v>
      </c>
      <c r="R241" t="s">
        <v>246</v>
      </c>
      <c r="S241" s="22">
        <v>44133.587175925924</v>
      </c>
      <c r="T241" s="22" t="s">
        <v>2222</v>
      </c>
    </row>
    <row r="242" spans="1:20" x14ac:dyDescent="0.25">
      <c r="A242" t="s">
        <v>2094</v>
      </c>
      <c r="B242" t="s">
        <v>2111</v>
      </c>
      <c r="C242">
        <v>14</v>
      </c>
      <c r="D242" t="s">
        <v>2112</v>
      </c>
      <c r="E242" s="22">
        <v>43101</v>
      </c>
      <c r="F242" t="s">
        <v>1648</v>
      </c>
      <c r="G242">
        <v>4</v>
      </c>
      <c r="H242" t="s">
        <v>2113</v>
      </c>
      <c r="I242" t="s">
        <v>1745</v>
      </c>
      <c r="J242">
        <v>1234</v>
      </c>
      <c r="K242" t="s">
        <v>2114</v>
      </c>
      <c r="L242" t="s">
        <v>1301</v>
      </c>
      <c r="M242" t="s">
        <v>1324</v>
      </c>
      <c r="N242" s="22">
        <v>44133</v>
      </c>
      <c r="O242" t="s">
        <v>1303</v>
      </c>
      <c r="P242">
        <v>123456</v>
      </c>
      <c r="Q242" t="s">
        <v>1317</v>
      </c>
      <c r="R242" t="s">
        <v>246</v>
      </c>
      <c r="S242" s="22">
        <v>44133.586701388886</v>
      </c>
      <c r="T242" s="22" t="s">
        <v>2222</v>
      </c>
    </row>
    <row r="243" spans="1:20" x14ac:dyDescent="0.25">
      <c r="A243" t="s">
        <v>2094</v>
      </c>
      <c r="B243" t="s">
        <v>2115</v>
      </c>
      <c r="C243">
        <v>14</v>
      </c>
      <c r="D243" t="s">
        <v>2116</v>
      </c>
      <c r="E243" s="22">
        <v>43101</v>
      </c>
      <c r="F243" t="s">
        <v>1648</v>
      </c>
      <c r="G243">
        <v>4</v>
      </c>
      <c r="H243" t="s">
        <v>2117</v>
      </c>
      <c r="I243" t="s">
        <v>1299</v>
      </c>
      <c r="J243">
        <v>1234</v>
      </c>
      <c r="K243" t="s">
        <v>2118</v>
      </c>
      <c r="L243" t="s">
        <v>1323</v>
      </c>
      <c r="M243" t="s">
        <v>1324</v>
      </c>
      <c r="N243" s="22">
        <v>44133</v>
      </c>
      <c r="O243" t="s">
        <v>1303</v>
      </c>
      <c r="P243">
        <v>123456</v>
      </c>
      <c r="Q243" t="s">
        <v>1317</v>
      </c>
      <c r="R243" t="s">
        <v>246</v>
      </c>
      <c r="S243" s="22">
        <v>44133.588483796295</v>
      </c>
      <c r="T243" s="22" t="s">
        <v>2222</v>
      </c>
    </row>
    <row r="244" spans="1:20" x14ac:dyDescent="0.25">
      <c r="A244" t="s">
        <v>2094</v>
      </c>
      <c r="B244" t="s">
        <v>2119</v>
      </c>
      <c r="C244">
        <v>14</v>
      </c>
      <c r="D244" t="s">
        <v>2120</v>
      </c>
      <c r="E244" s="22">
        <v>43101</v>
      </c>
      <c r="F244" t="s">
        <v>1648</v>
      </c>
      <c r="G244">
        <v>4</v>
      </c>
      <c r="H244" t="s">
        <v>2121</v>
      </c>
      <c r="I244" t="s">
        <v>1299</v>
      </c>
      <c r="J244">
        <v>1234</v>
      </c>
      <c r="K244" t="s">
        <v>2122</v>
      </c>
      <c r="L244" t="s">
        <v>1323</v>
      </c>
      <c r="M244" t="s">
        <v>1324</v>
      </c>
      <c r="N244" s="22">
        <v>44133</v>
      </c>
      <c r="O244" t="s">
        <v>1303</v>
      </c>
      <c r="P244" t="s">
        <v>2123</v>
      </c>
      <c r="Q244" t="s">
        <v>1317</v>
      </c>
      <c r="R244" t="s">
        <v>246</v>
      </c>
      <c r="S244" s="22">
        <v>44133.587442129632</v>
      </c>
      <c r="T244" s="22" t="s">
        <v>2222</v>
      </c>
    </row>
    <row r="245" spans="1:20" x14ac:dyDescent="0.25">
      <c r="A245" t="s">
        <v>2094</v>
      </c>
      <c r="B245" t="s">
        <v>2124</v>
      </c>
      <c r="C245">
        <v>14</v>
      </c>
      <c r="D245" t="s">
        <v>2125</v>
      </c>
      <c r="E245" s="22">
        <v>43101</v>
      </c>
      <c r="F245" t="s">
        <v>1648</v>
      </c>
      <c r="G245">
        <v>4</v>
      </c>
      <c r="H245" t="s">
        <v>2126</v>
      </c>
      <c r="I245" t="s">
        <v>1299</v>
      </c>
      <c r="J245">
        <v>1234</v>
      </c>
      <c r="K245" t="s">
        <v>2127</v>
      </c>
      <c r="L245" t="s">
        <v>1323</v>
      </c>
      <c r="M245" t="s">
        <v>1324</v>
      </c>
      <c r="N245" s="22">
        <v>44133</v>
      </c>
      <c r="O245" t="s">
        <v>1303</v>
      </c>
      <c r="P245">
        <v>123456</v>
      </c>
      <c r="Q245" t="s">
        <v>1317</v>
      </c>
      <c r="R245" t="s">
        <v>246</v>
      </c>
      <c r="S245" s="22">
        <v>44133.587893518517</v>
      </c>
      <c r="T245" s="22" t="s">
        <v>2222</v>
      </c>
    </row>
    <row r="246" spans="1:20" x14ac:dyDescent="0.25">
      <c r="A246" t="s">
        <v>2094</v>
      </c>
      <c r="B246" t="s">
        <v>2128</v>
      </c>
      <c r="C246">
        <v>14</v>
      </c>
      <c r="D246" t="s">
        <v>2129</v>
      </c>
      <c r="E246" s="22">
        <v>43101</v>
      </c>
      <c r="F246" t="s">
        <v>1648</v>
      </c>
      <c r="G246">
        <v>4</v>
      </c>
      <c r="H246" t="s">
        <v>2130</v>
      </c>
      <c r="I246" t="s">
        <v>1299</v>
      </c>
      <c r="J246">
        <v>1234</v>
      </c>
      <c r="K246" t="s">
        <v>1336</v>
      </c>
      <c r="L246" t="s">
        <v>1301</v>
      </c>
      <c r="M246" t="s">
        <v>1302</v>
      </c>
      <c r="N246" s="22">
        <v>44133</v>
      </c>
      <c r="O246" t="s">
        <v>1303</v>
      </c>
      <c r="P246">
        <v>123456</v>
      </c>
      <c r="Q246" t="s">
        <v>1317</v>
      </c>
      <c r="R246" t="s">
        <v>246</v>
      </c>
      <c r="S246" s="22">
        <v>44133.588321759256</v>
      </c>
      <c r="T246" s="22" t="s">
        <v>2222</v>
      </c>
    </row>
    <row r="247" spans="1:20" x14ac:dyDescent="0.25">
      <c r="A247" t="s">
        <v>2094</v>
      </c>
      <c r="B247" t="s">
        <v>2131</v>
      </c>
      <c r="C247">
        <v>14</v>
      </c>
      <c r="D247" t="s">
        <v>2132</v>
      </c>
      <c r="E247" s="22">
        <v>43101</v>
      </c>
      <c r="F247" t="s">
        <v>1648</v>
      </c>
      <c r="G247">
        <v>4</v>
      </c>
      <c r="H247" t="s">
        <v>2133</v>
      </c>
      <c r="I247" t="s">
        <v>1299</v>
      </c>
      <c r="J247">
        <v>1234</v>
      </c>
      <c r="K247" t="s">
        <v>2134</v>
      </c>
      <c r="L247" t="s">
        <v>1323</v>
      </c>
      <c r="M247" t="s">
        <v>1324</v>
      </c>
      <c r="N247" s="22">
        <v>44133</v>
      </c>
      <c r="O247" t="s">
        <v>1303</v>
      </c>
      <c r="P247">
        <v>123456</v>
      </c>
      <c r="Q247" t="s">
        <v>1317</v>
      </c>
      <c r="R247" t="s">
        <v>246</v>
      </c>
      <c r="S247" s="22">
        <v>44133.588090277779</v>
      </c>
      <c r="T247" s="22" t="s">
        <v>2222</v>
      </c>
    </row>
    <row r="248" spans="1:20" x14ac:dyDescent="0.25">
      <c r="A248" t="s">
        <v>2094</v>
      </c>
      <c r="B248" t="s">
        <v>2135</v>
      </c>
      <c r="C248">
        <v>14</v>
      </c>
      <c r="D248" t="s">
        <v>2136</v>
      </c>
      <c r="E248" s="22">
        <v>43101</v>
      </c>
      <c r="F248" t="s">
        <v>1648</v>
      </c>
      <c r="G248">
        <v>4</v>
      </c>
      <c r="H248" t="s">
        <v>2137</v>
      </c>
      <c r="I248" t="s">
        <v>1299</v>
      </c>
      <c r="J248">
        <v>1234</v>
      </c>
      <c r="K248" t="s">
        <v>2138</v>
      </c>
      <c r="L248" t="s">
        <v>1323</v>
      </c>
      <c r="M248" t="s">
        <v>1324</v>
      </c>
      <c r="N248" s="22">
        <v>44133</v>
      </c>
      <c r="O248" t="s">
        <v>1303</v>
      </c>
      <c r="P248">
        <v>123456</v>
      </c>
      <c r="Q248" t="s">
        <v>1317</v>
      </c>
      <c r="R248" t="s">
        <v>246</v>
      </c>
      <c r="S248" s="22">
        <v>44133.586875000001</v>
      </c>
      <c r="T248" s="22" t="s">
        <v>2222</v>
      </c>
    </row>
    <row r="249" spans="1:20" x14ac:dyDescent="0.25">
      <c r="A249" t="s">
        <v>2139</v>
      </c>
      <c r="B249" t="s">
        <v>505</v>
      </c>
      <c r="C249">
        <v>15</v>
      </c>
      <c r="D249" t="s">
        <v>507</v>
      </c>
      <c r="E249" s="22">
        <v>43223</v>
      </c>
      <c r="F249" t="s">
        <v>1648</v>
      </c>
      <c r="G249">
        <v>4</v>
      </c>
      <c r="H249" t="s">
        <v>2140</v>
      </c>
      <c r="I249" t="s">
        <v>1299</v>
      </c>
      <c r="J249">
        <v>1234</v>
      </c>
      <c r="K249" t="s">
        <v>1336</v>
      </c>
      <c r="L249" t="s">
        <v>1301</v>
      </c>
      <c r="M249" t="s">
        <v>1302</v>
      </c>
      <c r="N249" s="22">
        <v>44162</v>
      </c>
      <c r="O249" t="s">
        <v>1303</v>
      </c>
      <c r="P249">
        <v>123456</v>
      </c>
      <c r="Q249" t="s">
        <v>1317</v>
      </c>
      <c r="R249" t="s">
        <v>246</v>
      </c>
      <c r="S249" s="22">
        <v>44162.429606481484</v>
      </c>
      <c r="T249" s="22" t="s">
        <v>2221</v>
      </c>
    </row>
    <row r="250" spans="1:20" x14ac:dyDescent="0.25">
      <c r="A250" t="s">
        <v>2139</v>
      </c>
      <c r="B250" t="s">
        <v>2141</v>
      </c>
      <c r="C250">
        <v>15</v>
      </c>
      <c r="D250" t="s">
        <v>2142</v>
      </c>
      <c r="E250" s="22">
        <v>43101</v>
      </c>
      <c r="F250" t="s">
        <v>1648</v>
      </c>
      <c r="G250">
        <v>4</v>
      </c>
      <c r="H250" t="s">
        <v>2143</v>
      </c>
      <c r="I250" t="s">
        <v>1299</v>
      </c>
      <c r="J250">
        <v>1234</v>
      </c>
      <c r="K250" t="s">
        <v>2144</v>
      </c>
      <c r="L250" t="s">
        <v>1323</v>
      </c>
      <c r="M250" t="s">
        <v>1509</v>
      </c>
      <c r="N250" s="22">
        <v>44133</v>
      </c>
      <c r="O250" t="s">
        <v>1303</v>
      </c>
      <c r="P250">
        <v>123456</v>
      </c>
      <c r="Q250">
        <v>1</v>
      </c>
      <c r="R250" t="s">
        <v>246</v>
      </c>
      <c r="S250" s="22">
        <v>44133.590891203705</v>
      </c>
      <c r="T250" s="22" t="s">
        <v>2222</v>
      </c>
    </row>
    <row r="251" spans="1:20" x14ac:dyDescent="0.25">
      <c r="A251" t="s">
        <v>2139</v>
      </c>
      <c r="B251" t="s">
        <v>2145</v>
      </c>
      <c r="C251">
        <v>15</v>
      </c>
      <c r="D251" t="s">
        <v>2146</v>
      </c>
      <c r="E251" s="22">
        <v>43101</v>
      </c>
      <c r="F251" t="s">
        <v>1648</v>
      </c>
      <c r="G251">
        <v>4</v>
      </c>
      <c r="H251" t="s">
        <v>2147</v>
      </c>
      <c r="I251" t="s">
        <v>1657</v>
      </c>
      <c r="J251">
        <v>1234</v>
      </c>
      <c r="K251" t="s">
        <v>2144</v>
      </c>
      <c r="L251" t="s">
        <v>1323</v>
      </c>
      <c r="M251" t="s">
        <v>1509</v>
      </c>
      <c r="N251" s="22">
        <v>44133</v>
      </c>
      <c r="O251" t="s">
        <v>1303</v>
      </c>
      <c r="P251">
        <v>123456</v>
      </c>
      <c r="Q251" t="s">
        <v>1317</v>
      </c>
      <c r="R251" t="s">
        <v>246</v>
      </c>
      <c r="S251" s="22">
        <v>44133.59103009259</v>
      </c>
      <c r="T251" s="22" t="s">
        <v>2222</v>
      </c>
    </row>
    <row r="252" spans="1:20" x14ac:dyDescent="0.25">
      <c r="A252" t="s">
        <v>2148</v>
      </c>
      <c r="B252" t="s">
        <v>2149</v>
      </c>
      <c r="C252">
        <v>21</v>
      </c>
      <c r="D252" t="s">
        <v>2150</v>
      </c>
      <c r="E252" s="22">
        <v>43558</v>
      </c>
      <c r="F252" t="s">
        <v>1648</v>
      </c>
      <c r="G252">
        <v>6</v>
      </c>
      <c r="H252" t="s">
        <v>2151</v>
      </c>
      <c r="I252" t="s">
        <v>1299</v>
      </c>
      <c r="J252">
        <v>1234</v>
      </c>
      <c r="K252" t="s">
        <v>1336</v>
      </c>
      <c r="L252" t="s">
        <v>1301</v>
      </c>
      <c r="M252" t="s">
        <v>1302</v>
      </c>
      <c r="N252" s="22">
        <v>44133</v>
      </c>
      <c r="O252" t="s">
        <v>1303</v>
      </c>
      <c r="P252">
        <v>123456</v>
      </c>
      <c r="Q252" t="s">
        <v>1317</v>
      </c>
      <c r="R252" t="s">
        <v>246</v>
      </c>
      <c r="S252" s="22">
        <v>44133.594664351855</v>
      </c>
      <c r="T252" s="22" t="s">
        <v>2222</v>
      </c>
    </row>
    <row r="253" spans="1:20" x14ac:dyDescent="0.25">
      <c r="A253" t="s">
        <v>2148</v>
      </c>
      <c r="B253" t="s">
        <v>2152</v>
      </c>
      <c r="C253">
        <v>21</v>
      </c>
      <c r="D253" t="s">
        <v>2153</v>
      </c>
      <c r="E253" s="22">
        <v>44075</v>
      </c>
      <c r="F253" t="s">
        <v>1307</v>
      </c>
      <c r="G253">
        <v>4</v>
      </c>
      <c r="H253" t="s">
        <v>2154</v>
      </c>
      <c r="I253" t="s">
        <v>2155</v>
      </c>
      <c r="J253" t="s">
        <v>1715</v>
      </c>
      <c r="K253" t="s">
        <v>2156</v>
      </c>
      <c r="L253" t="s">
        <v>1323</v>
      </c>
      <c r="M253" t="s">
        <v>1509</v>
      </c>
      <c r="N253" s="22">
        <v>44133</v>
      </c>
      <c r="O253" t="s">
        <v>1303</v>
      </c>
      <c r="P253">
        <v>123456</v>
      </c>
      <c r="Q253" t="s">
        <v>1312</v>
      </c>
      <c r="R253" t="s">
        <v>246</v>
      </c>
      <c r="S253" s="22">
        <v>44133.59479166667</v>
      </c>
      <c r="T253" s="22" t="s">
        <v>2222</v>
      </c>
    </row>
    <row r="254" spans="1:20" x14ac:dyDescent="0.25">
      <c r="A254" t="s">
        <v>2157</v>
      </c>
      <c r="B254" t="s">
        <v>2158</v>
      </c>
      <c r="C254">
        <v>18</v>
      </c>
      <c r="D254" t="s">
        <v>2159</v>
      </c>
      <c r="E254" s="22">
        <v>43101</v>
      </c>
      <c r="F254" t="s">
        <v>1648</v>
      </c>
      <c r="G254">
        <v>4</v>
      </c>
      <c r="H254" t="s">
        <v>2160</v>
      </c>
      <c r="I254" t="s">
        <v>1299</v>
      </c>
      <c r="J254">
        <v>1234</v>
      </c>
      <c r="K254" t="s">
        <v>1336</v>
      </c>
      <c r="L254" t="s">
        <v>1301</v>
      </c>
      <c r="M254" t="s">
        <v>1302</v>
      </c>
      <c r="N254" s="22">
        <v>44133</v>
      </c>
      <c r="O254" t="s">
        <v>1303</v>
      </c>
      <c r="P254">
        <v>123456</v>
      </c>
      <c r="Q254" t="s">
        <v>1317</v>
      </c>
      <c r="R254" t="s">
        <v>246</v>
      </c>
      <c r="S254" s="22">
        <v>44133.595613425925</v>
      </c>
      <c r="T254" s="22" t="s">
        <v>2222</v>
      </c>
    </row>
    <row r="255" spans="1:20" x14ac:dyDescent="0.25">
      <c r="A255" t="s">
        <v>2157</v>
      </c>
      <c r="B255" t="s">
        <v>122</v>
      </c>
      <c r="C255">
        <v>18</v>
      </c>
      <c r="D255" t="s">
        <v>124</v>
      </c>
      <c r="E255" s="22">
        <v>43466</v>
      </c>
      <c r="F255" t="s">
        <v>1648</v>
      </c>
      <c r="G255">
        <v>4</v>
      </c>
      <c r="H255" t="s">
        <v>2161</v>
      </c>
      <c r="I255" t="s">
        <v>1299</v>
      </c>
      <c r="J255">
        <v>1234</v>
      </c>
      <c r="K255" t="s">
        <v>2162</v>
      </c>
      <c r="L255" t="s">
        <v>1301</v>
      </c>
      <c r="M255" t="s">
        <v>1324</v>
      </c>
      <c r="N255" s="22">
        <v>44133</v>
      </c>
      <c r="O255" t="s">
        <v>1303</v>
      </c>
      <c r="P255" t="s">
        <v>2163</v>
      </c>
      <c r="Q255" t="s">
        <v>1317</v>
      </c>
      <c r="R255" t="s">
        <v>246</v>
      </c>
      <c r="S255" s="22">
        <v>44133.595891203702</v>
      </c>
      <c r="T255" s="22" t="s">
        <v>2222</v>
      </c>
    </row>
    <row r="256" spans="1:20" x14ac:dyDescent="0.25">
      <c r="A256" t="s">
        <v>2157</v>
      </c>
      <c r="B256" t="s">
        <v>2164</v>
      </c>
      <c r="C256">
        <v>18</v>
      </c>
      <c r="D256" t="s">
        <v>2165</v>
      </c>
      <c r="E256" s="22">
        <v>43466</v>
      </c>
      <c r="F256" t="s">
        <v>1648</v>
      </c>
      <c r="G256">
        <v>4</v>
      </c>
      <c r="H256" t="s">
        <v>2166</v>
      </c>
      <c r="I256" t="s">
        <v>1299</v>
      </c>
      <c r="J256">
        <v>1234</v>
      </c>
      <c r="K256" t="s">
        <v>1336</v>
      </c>
      <c r="L256" t="s">
        <v>1301</v>
      </c>
      <c r="M256" t="s">
        <v>1302</v>
      </c>
      <c r="N256" s="22">
        <v>44133</v>
      </c>
      <c r="O256" t="s">
        <v>1303</v>
      </c>
      <c r="P256">
        <v>123456</v>
      </c>
      <c r="Q256" t="s">
        <v>1317</v>
      </c>
      <c r="R256" t="s">
        <v>246</v>
      </c>
      <c r="S256" s="22">
        <v>44133.59615740741</v>
      </c>
      <c r="T256" s="22" t="s">
        <v>2222</v>
      </c>
    </row>
    <row r="257" spans="1:20" x14ac:dyDescent="0.25">
      <c r="A257" t="s">
        <v>2157</v>
      </c>
      <c r="B257" t="s">
        <v>815</v>
      </c>
      <c r="C257">
        <v>18</v>
      </c>
      <c r="D257" t="s">
        <v>817</v>
      </c>
      <c r="E257" s="22">
        <v>43466</v>
      </c>
      <c r="F257" t="s">
        <v>1648</v>
      </c>
      <c r="G257">
        <v>4</v>
      </c>
      <c r="H257" t="s">
        <v>2167</v>
      </c>
      <c r="I257" t="s">
        <v>1299</v>
      </c>
      <c r="J257">
        <v>1234</v>
      </c>
      <c r="K257" t="s">
        <v>2168</v>
      </c>
      <c r="L257" t="s">
        <v>1301</v>
      </c>
      <c r="M257" t="s">
        <v>1324</v>
      </c>
      <c r="N257" s="22">
        <v>44133</v>
      </c>
      <c r="O257" t="s">
        <v>1303</v>
      </c>
      <c r="P257" t="s">
        <v>2169</v>
      </c>
      <c r="Q257" t="s">
        <v>1317</v>
      </c>
      <c r="R257" t="s">
        <v>246</v>
      </c>
      <c r="S257" s="22">
        <v>44133.59951388889</v>
      </c>
      <c r="T257" s="22" t="s">
        <v>2222</v>
      </c>
    </row>
    <row r="258" spans="1:20" x14ac:dyDescent="0.25">
      <c r="A258" t="s">
        <v>2157</v>
      </c>
      <c r="B258" t="s">
        <v>2170</v>
      </c>
      <c r="C258">
        <v>18</v>
      </c>
      <c r="D258" t="s">
        <v>2171</v>
      </c>
      <c r="E258" s="22">
        <v>43466</v>
      </c>
      <c r="F258" t="s">
        <v>1648</v>
      </c>
      <c r="G258">
        <v>4</v>
      </c>
      <c r="H258" t="s">
        <v>2172</v>
      </c>
      <c r="I258" t="s">
        <v>2173</v>
      </c>
      <c r="J258">
        <v>1234</v>
      </c>
      <c r="K258" t="s">
        <v>2174</v>
      </c>
      <c r="L258" t="s">
        <v>1301</v>
      </c>
      <c r="M258" t="s">
        <v>1324</v>
      </c>
      <c r="N258" s="22">
        <v>44133</v>
      </c>
      <c r="O258" t="s">
        <v>1303</v>
      </c>
      <c r="P258">
        <v>123456</v>
      </c>
      <c r="Q258" t="s">
        <v>1317</v>
      </c>
      <c r="R258" t="s">
        <v>246</v>
      </c>
      <c r="S258" s="22">
        <v>44133.599027777775</v>
      </c>
      <c r="T258" s="22" t="s">
        <v>2222</v>
      </c>
    </row>
    <row r="259" spans="1:20" x14ac:dyDescent="0.25">
      <c r="A259" t="s">
        <v>2157</v>
      </c>
      <c r="B259" t="s">
        <v>774</v>
      </c>
      <c r="C259">
        <v>18</v>
      </c>
      <c r="D259" t="s">
        <v>776</v>
      </c>
      <c r="E259" s="22">
        <v>43747</v>
      </c>
      <c r="F259" t="s">
        <v>1648</v>
      </c>
      <c r="G259">
        <v>4</v>
      </c>
      <c r="H259" t="s">
        <v>2175</v>
      </c>
      <c r="I259" t="s">
        <v>1299</v>
      </c>
      <c r="J259">
        <v>1234</v>
      </c>
      <c r="K259" t="s">
        <v>1331</v>
      </c>
      <c r="L259" t="s">
        <v>1323</v>
      </c>
      <c r="M259" t="s">
        <v>1324</v>
      </c>
      <c r="N259" s="22">
        <v>44133</v>
      </c>
      <c r="O259" t="s">
        <v>1303</v>
      </c>
      <c r="P259">
        <v>123456</v>
      </c>
      <c r="Q259" t="s">
        <v>1317</v>
      </c>
      <c r="R259" t="s">
        <v>246</v>
      </c>
      <c r="S259" s="22">
        <v>44133.599942129629</v>
      </c>
      <c r="T259" s="22" t="s">
        <v>2222</v>
      </c>
    </row>
    <row r="260" spans="1:20" x14ac:dyDescent="0.25">
      <c r="A260" t="s">
        <v>2157</v>
      </c>
      <c r="B260" t="s">
        <v>2176</v>
      </c>
      <c r="C260">
        <v>18</v>
      </c>
      <c r="D260" t="s">
        <v>2177</v>
      </c>
      <c r="E260" s="22">
        <v>43101</v>
      </c>
      <c r="F260" t="s">
        <v>1648</v>
      </c>
      <c r="G260">
        <v>4</v>
      </c>
      <c r="H260" t="s">
        <v>2178</v>
      </c>
      <c r="I260" t="s">
        <v>1299</v>
      </c>
      <c r="J260">
        <v>1234</v>
      </c>
      <c r="K260" t="s">
        <v>2179</v>
      </c>
      <c r="L260" t="s">
        <v>1301</v>
      </c>
      <c r="M260" t="s">
        <v>1324</v>
      </c>
      <c r="N260" s="22">
        <v>44133</v>
      </c>
      <c r="O260" t="s">
        <v>1303</v>
      </c>
      <c r="P260">
        <v>123456</v>
      </c>
      <c r="Q260">
        <v>1</v>
      </c>
      <c r="R260" t="s">
        <v>246</v>
      </c>
      <c r="S260" s="22">
        <v>44133.601481481484</v>
      </c>
      <c r="T260" s="22" t="s">
        <v>2222</v>
      </c>
    </row>
    <row r="261" spans="1:20" x14ac:dyDescent="0.25">
      <c r="A261" t="s">
        <v>2157</v>
      </c>
      <c r="B261" t="s">
        <v>2180</v>
      </c>
      <c r="C261">
        <v>18</v>
      </c>
      <c r="D261" t="s">
        <v>2181</v>
      </c>
      <c r="E261" s="22">
        <v>43101</v>
      </c>
      <c r="F261" t="s">
        <v>1648</v>
      </c>
      <c r="G261">
        <v>4</v>
      </c>
      <c r="H261" t="s">
        <v>2182</v>
      </c>
      <c r="I261" t="s">
        <v>1299</v>
      </c>
      <c r="J261">
        <v>1234</v>
      </c>
      <c r="K261" t="s">
        <v>1331</v>
      </c>
      <c r="L261" t="s">
        <v>1323</v>
      </c>
      <c r="M261" t="s">
        <v>1302</v>
      </c>
      <c r="N261" s="22">
        <v>44133</v>
      </c>
      <c r="O261" t="s">
        <v>1303</v>
      </c>
      <c r="P261">
        <v>123456</v>
      </c>
      <c r="Q261" t="s">
        <v>1317</v>
      </c>
      <c r="R261" t="s">
        <v>246</v>
      </c>
      <c r="S261" s="22">
        <v>44133.601226851853</v>
      </c>
      <c r="T261" s="22" t="s">
        <v>2222</v>
      </c>
    </row>
    <row r="262" spans="1:20" x14ac:dyDescent="0.25">
      <c r="A262" t="s">
        <v>2157</v>
      </c>
      <c r="B262" t="s">
        <v>2183</v>
      </c>
      <c r="C262">
        <v>18</v>
      </c>
      <c r="D262" t="s">
        <v>2184</v>
      </c>
      <c r="E262" s="22">
        <v>43101</v>
      </c>
      <c r="F262" t="s">
        <v>1648</v>
      </c>
      <c r="G262">
        <v>4</v>
      </c>
      <c r="H262" t="s">
        <v>2185</v>
      </c>
      <c r="I262" t="s">
        <v>1299</v>
      </c>
      <c r="J262">
        <v>1234</v>
      </c>
      <c r="K262" t="s">
        <v>1489</v>
      </c>
      <c r="L262" t="s">
        <v>1323</v>
      </c>
      <c r="M262" t="s">
        <v>1302</v>
      </c>
      <c r="N262" s="22">
        <v>44133</v>
      </c>
      <c r="O262" t="s">
        <v>1303</v>
      </c>
      <c r="P262">
        <v>123456</v>
      </c>
      <c r="Q262" t="s">
        <v>1317</v>
      </c>
      <c r="R262" t="s">
        <v>246</v>
      </c>
      <c r="S262" s="22">
        <v>44133.600902777776</v>
      </c>
      <c r="T262" s="22" t="s">
        <v>2222</v>
      </c>
    </row>
    <row r="263" spans="1:20" x14ac:dyDescent="0.25">
      <c r="A263" t="s">
        <v>2157</v>
      </c>
      <c r="B263" t="s">
        <v>2186</v>
      </c>
      <c r="C263">
        <v>18</v>
      </c>
      <c r="D263" t="s">
        <v>2187</v>
      </c>
      <c r="E263" s="22">
        <v>43101</v>
      </c>
      <c r="F263" t="s">
        <v>1648</v>
      </c>
      <c r="G263">
        <v>4</v>
      </c>
      <c r="H263" t="s">
        <v>2188</v>
      </c>
      <c r="I263" t="s">
        <v>1299</v>
      </c>
      <c r="J263">
        <v>1234</v>
      </c>
      <c r="K263" t="s">
        <v>2189</v>
      </c>
      <c r="L263" t="s">
        <v>1323</v>
      </c>
      <c r="M263" t="s">
        <v>1324</v>
      </c>
      <c r="N263" s="22">
        <v>44133</v>
      </c>
      <c r="O263" t="s">
        <v>1303</v>
      </c>
      <c r="P263">
        <v>123456</v>
      </c>
      <c r="Q263" t="s">
        <v>1317</v>
      </c>
      <c r="R263" t="s">
        <v>246</v>
      </c>
      <c r="S263" s="22">
        <v>44133.600277777776</v>
      </c>
      <c r="T263" s="22" t="s">
        <v>2222</v>
      </c>
    </row>
    <row r="264" spans="1:20" x14ac:dyDescent="0.25">
      <c r="A264" t="s">
        <v>2157</v>
      </c>
      <c r="B264" t="s">
        <v>2190</v>
      </c>
      <c r="C264">
        <v>18</v>
      </c>
      <c r="D264" t="s">
        <v>2191</v>
      </c>
      <c r="E264" s="22">
        <v>43101</v>
      </c>
      <c r="F264" t="s">
        <v>1648</v>
      </c>
      <c r="G264">
        <v>4</v>
      </c>
      <c r="H264" t="s">
        <v>2192</v>
      </c>
      <c r="I264" t="s">
        <v>1299</v>
      </c>
      <c r="J264">
        <v>1234</v>
      </c>
      <c r="K264" t="s">
        <v>1336</v>
      </c>
      <c r="L264" t="s">
        <v>1301</v>
      </c>
      <c r="M264" t="s">
        <v>1302</v>
      </c>
      <c r="N264" s="22">
        <v>44133</v>
      </c>
      <c r="O264" t="s">
        <v>1303</v>
      </c>
      <c r="P264">
        <v>123456</v>
      </c>
      <c r="Q264" t="s">
        <v>1317</v>
      </c>
      <c r="R264" t="s">
        <v>246</v>
      </c>
      <c r="S264" s="22">
        <v>44133.59878472222</v>
      </c>
      <c r="T264" s="22" t="s">
        <v>2222</v>
      </c>
    </row>
    <row r="265" spans="1:20" x14ac:dyDescent="0.25">
      <c r="A265" t="s">
        <v>2193</v>
      </c>
      <c r="B265" t="s">
        <v>2194</v>
      </c>
      <c r="C265">
        <v>19</v>
      </c>
      <c r="D265" t="s">
        <v>2195</v>
      </c>
      <c r="E265" s="22">
        <v>44075</v>
      </c>
      <c r="F265" t="s">
        <v>1307</v>
      </c>
      <c r="G265">
        <v>4</v>
      </c>
      <c r="H265" t="s">
        <v>2196</v>
      </c>
      <c r="I265" t="s">
        <v>2197</v>
      </c>
      <c r="J265" t="s">
        <v>1715</v>
      </c>
      <c r="K265" t="s">
        <v>1336</v>
      </c>
      <c r="L265" t="s">
        <v>1301</v>
      </c>
      <c r="M265" t="s">
        <v>1302</v>
      </c>
      <c r="N265" s="22">
        <v>44133</v>
      </c>
      <c r="O265" t="s">
        <v>1303</v>
      </c>
      <c r="P265">
        <v>123456</v>
      </c>
      <c r="Q265" t="s">
        <v>1312</v>
      </c>
      <c r="R265" t="s">
        <v>246</v>
      </c>
      <c r="S265" s="22">
        <v>44133.606550925928</v>
      </c>
      <c r="T265" s="22" t="s">
        <v>2222</v>
      </c>
    </row>
    <row r="266" spans="1:20" x14ac:dyDescent="0.25">
      <c r="A266" t="s">
        <v>2193</v>
      </c>
      <c r="B266" t="s">
        <v>2198</v>
      </c>
      <c r="C266">
        <v>19</v>
      </c>
      <c r="D266" t="s">
        <v>2199</v>
      </c>
      <c r="E266" s="22">
        <v>44075</v>
      </c>
      <c r="F266" t="s">
        <v>1307</v>
      </c>
      <c r="G266">
        <v>4</v>
      </c>
      <c r="H266" t="s">
        <v>2200</v>
      </c>
      <c r="I266" t="s">
        <v>2201</v>
      </c>
      <c r="J266" t="s">
        <v>1715</v>
      </c>
      <c r="K266" t="s">
        <v>2202</v>
      </c>
      <c r="L266" t="s">
        <v>1323</v>
      </c>
      <c r="M266" t="s">
        <v>1302</v>
      </c>
      <c r="N266" s="22">
        <v>44133</v>
      </c>
      <c r="O266" t="s">
        <v>1303</v>
      </c>
      <c r="P266">
        <v>123456</v>
      </c>
      <c r="Q266" t="s">
        <v>1312</v>
      </c>
      <c r="R266" t="s">
        <v>246</v>
      </c>
      <c r="S266" s="22">
        <v>44133.607037037036</v>
      </c>
      <c r="T266" s="22" t="s">
        <v>2222</v>
      </c>
    </row>
    <row r="267" spans="1:20" x14ac:dyDescent="0.25">
      <c r="A267" t="s">
        <v>2193</v>
      </c>
      <c r="B267" t="s">
        <v>2203</v>
      </c>
      <c r="C267">
        <v>19</v>
      </c>
      <c r="D267" t="s">
        <v>2204</v>
      </c>
      <c r="E267" s="22">
        <v>43009</v>
      </c>
      <c r="F267" t="s">
        <v>1648</v>
      </c>
      <c r="G267">
        <v>4</v>
      </c>
      <c r="H267" t="s">
        <v>2205</v>
      </c>
      <c r="I267" t="s">
        <v>1299</v>
      </c>
      <c r="J267">
        <v>1234</v>
      </c>
      <c r="K267" t="s">
        <v>1336</v>
      </c>
      <c r="L267" t="s">
        <v>1301</v>
      </c>
      <c r="M267" t="s">
        <v>1302</v>
      </c>
      <c r="N267" s="22">
        <v>44133</v>
      </c>
      <c r="O267" t="s">
        <v>1303</v>
      </c>
      <c r="P267">
        <v>123456</v>
      </c>
      <c r="Q267" t="s">
        <v>1317</v>
      </c>
      <c r="R267" t="s">
        <v>246</v>
      </c>
      <c r="S267" s="22">
        <v>44133.606840277775</v>
      </c>
      <c r="T267" s="22" t="s">
        <v>2222</v>
      </c>
    </row>
    <row r="268" spans="1:20" x14ac:dyDescent="0.25">
      <c r="A268" t="s">
        <v>2193</v>
      </c>
      <c r="B268" t="s">
        <v>165</v>
      </c>
      <c r="C268">
        <v>19</v>
      </c>
      <c r="D268" t="s">
        <v>168</v>
      </c>
      <c r="E268" s="22">
        <v>43588</v>
      </c>
      <c r="F268" t="s">
        <v>1648</v>
      </c>
      <c r="G268">
        <v>4</v>
      </c>
      <c r="H268" t="s">
        <v>2206</v>
      </c>
      <c r="I268" t="s">
        <v>1299</v>
      </c>
      <c r="J268">
        <v>1234</v>
      </c>
      <c r="K268" t="s">
        <v>2207</v>
      </c>
      <c r="L268" t="s">
        <v>1323</v>
      </c>
      <c r="M268" t="s">
        <v>1302</v>
      </c>
      <c r="N268" s="22">
        <v>44133</v>
      </c>
      <c r="O268" t="s">
        <v>1303</v>
      </c>
      <c r="P268">
        <v>123456</v>
      </c>
      <c r="Q268" t="s">
        <v>1317</v>
      </c>
      <c r="R268" t="s">
        <v>246</v>
      </c>
      <c r="S268" s="22">
        <v>44133.607256944444</v>
      </c>
      <c r="T268" s="22" t="s">
        <v>2222</v>
      </c>
    </row>
    <row r="269" spans="1:20" x14ac:dyDescent="0.25">
      <c r="A269" t="s">
        <v>2193</v>
      </c>
      <c r="B269" t="s">
        <v>2208</v>
      </c>
      <c r="C269">
        <v>19</v>
      </c>
      <c r="D269" t="s">
        <v>2209</v>
      </c>
      <c r="E269" s="22">
        <v>43588</v>
      </c>
      <c r="F269" t="s">
        <v>1648</v>
      </c>
      <c r="G269">
        <v>4</v>
      </c>
      <c r="H269" t="s">
        <v>2210</v>
      </c>
      <c r="I269" t="s">
        <v>1299</v>
      </c>
      <c r="J269">
        <v>1234</v>
      </c>
      <c r="K269" t="s">
        <v>1336</v>
      </c>
      <c r="L269" t="s">
        <v>1301</v>
      </c>
      <c r="M269" t="s">
        <v>1302</v>
      </c>
      <c r="N269" s="22">
        <v>44133</v>
      </c>
      <c r="O269" t="s">
        <v>1303</v>
      </c>
      <c r="P269">
        <v>123456</v>
      </c>
      <c r="Q269" t="s">
        <v>1698</v>
      </c>
      <c r="R269" t="s">
        <v>246</v>
      </c>
      <c r="S269" s="22">
        <v>44133.607407407406</v>
      </c>
      <c r="T269" s="22" t="s">
        <v>2222</v>
      </c>
    </row>
    <row r="270" spans="1:20" x14ac:dyDescent="0.25">
      <c r="A270" t="s">
        <v>2211</v>
      </c>
      <c r="B270" t="s">
        <v>2212</v>
      </c>
      <c r="C270">
        <v>17</v>
      </c>
      <c r="D270" t="s">
        <v>2213</v>
      </c>
      <c r="E270" s="22">
        <v>44075</v>
      </c>
      <c r="F270" t="s">
        <v>1307</v>
      </c>
      <c r="G270">
        <v>9</v>
      </c>
      <c r="H270" t="s">
        <v>2167</v>
      </c>
      <c r="I270" t="s">
        <v>2214</v>
      </c>
      <c r="J270" t="s">
        <v>2215</v>
      </c>
      <c r="K270" t="s">
        <v>1336</v>
      </c>
      <c r="L270" t="s">
        <v>1301</v>
      </c>
      <c r="M270" t="s">
        <v>1302</v>
      </c>
      <c r="N270" s="22">
        <v>44133</v>
      </c>
      <c r="O270" t="s">
        <v>1303</v>
      </c>
      <c r="P270">
        <v>123456</v>
      </c>
      <c r="Q270" t="s">
        <v>1312</v>
      </c>
      <c r="R270" t="s">
        <v>246</v>
      </c>
      <c r="S270" s="22">
        <v>44133.607974537037</v>
      </c>
      <c r="T270" s="22" t="s">
        <v>2222</v>
      </c>
    </row>
    <row r="271" spans="1:20" x14ac:dyDescent="0.25">
      <c r="A271" t="s">
        <v>2211</v>
      </c>
      <c r="B271" t="s">
        <v>2216</v>
      </c>
      <c r="C271" t="s">
        <v>1293</v>
      </c>
      <c r="D271" t="s">
        <v>1293</v>
      </c>
      <c r="E271" t="s">
        <v>1293</v>
      </c>
      <c r="F271" t="s">
        <v>1293</v>
      </c>
      <c r="G271" t="s">
        <v>1293</v>
      </c>
      <c r="H271" t="s">
        <v>1293</v>
      </c>
      <c r="I271" t="s">
        <v>1293</v>
      </c>
      <c r="J271" t="s">
        <v>1293</v>
      </c>
      <c r="K271" t="s">
        <v>1293</v>
      </c>
      <c r="L271" t="s">
        <v>1293</v>
      </c>
      <c r="M271" t="s">
        <v>1293</v>
      </c>
      <c r="N271" t="s">
        <v>1293</v>
      </c>
      <c r="O271" t="s">
        <v>1293</v>
      </c>
      <c r="P271" t="s">
        <v>1293</v>
      </c>
      <c r="Q271" t="s">
        <v>1293</v>
      </c>
      <c r="R271" t="s">
        <v>1293</v>
      </c>
      <c r="S271" t="s">
        <v>1293</v>
      </c>
      <c r="T271" s="21" t="s">
        <v>2220</v>
      </c>
    </row>
    <row r="272" spans="1:20" x14ac:dyDescent="0.25">
      <c r="A272" t="s">
        <v>2211</v>
      </c>
      <c r="B272" t="s">
        <v>2217</v>
      </c>
      <c r="C272" t="s">
        <v>1293</v>
      </c>
      <c r="D272" t="s">
        <v>1293</v>
      </c>
      <c r="E272" t="s">
        <v>1293</v>
      </c>
      <c r="F272" t="s">
        <v>1293</v>
      </c>
      <c r="G272" t="s">
        <v>1293</v>
      </c>
      <c r="H272" t="s">
        <v>1293</v>
      </c>
      <c r="I272" t="s">
        <v>1293</v>
      </c>
      <c r="J272" t="s">
        <v>1293</v>
      </c>
      <c r="K272" t="s">
        <v>1293</v>
      </c>
      <c r="L272" t="s">
        <v>1293</v>
      </c>
      <c r="M272" t="s">
        <v>1293</v>
      </c>
      <c r="N272" t="s">
        <v>1293</v>
      </c>
      <c r="O272" t="s">
        <v>1293</v>
      </c>
      <c r="P272" t="s">
        <v>1293</v>
      </c>
      <c r="Q272" t="s">
        <v>1293</v>
      </c>
      <c r="R272" t="s">
        <v>1293</v>
      </c>
      <c r="S272" t="s">
        <v>1293</v>
      </c>
      <c r="T272" s="21" t="s">
        <v>2220</v>
      </c>
    </row>
    <row r="273" spans="1:20" x14ac:dyDescent="0.25">
      <c r="A273" t="s">
        <v>2211</v>
      </c>
      <c r="B273" t="s">
        <v>2218</v>
      </c>
      <c r="C273" t="s">
        <v>1293</v>
      </c>
      <c r="D273" t="s">
        <v>1293</v>
      </c>
      <c r="E273" t="s">
        <v>1293</v>
      </c>
      <c r="F273" t="s">
        <v>1293</v>
      </c>
      <c r="G273" t="s">
        <v>1293</v>
      </c>
      <c r="H273" t="s">
        <v>1293</v>
      </c>
      <c r="I273" t="s">
        <v>1293</v>
      </c>
      <c r="J273" t="s">
        <v>1293</v>
      </c>
      <c r="K273" t="s">
        <v>1293</v>
      </c>
      <c r="L273" t="s">
        <v>1293</v>
      </c>
      <c r="M273" t="s">
        <v>1293</v>
      </c>
      <c r="N273" t="s">
        <v>1293</v>
      </c>
      <c r="O273" t="s">
        <v>1293</v>
      </c>
      <c r="P273" t="s">
        <v>1293</v>
      </c>
      <c r="Q273" t="s">
        <v>1293</v>
      </c>
      <c r="R273" t="s">
        <v>1293</v>
      </c>
      <c r="S273" t="s">
        <v>1293</v>
      </c>
      <c r="T273" s="21" t="s">
        <v>2220</v>
      </c>
    </row>
    <row r="274" spans="1:20" x14ac:dyDescent="0.25">
      <c r="A274" t="s">
        <v>2211</v>
      </c>
      <c r="B274" t="s">
        <v>2219</v>
      </c>
      <c r="C274" t="s">
        <v>1293</v>
      </c>
      <c r="D274" t="s">
        <v>1293</v>
      </c>
      <c r="E274" t="s">
        <v>1293</v>
      </c>
      <c r="F274" t="s">
        <v>1293</v>
      </c>
      <c r="G274" t="s">
        <v>1293</v>
      </c>
      <c r="H274" t="s">
        <v>1293</v>
      </c>
      <c r="I274" t="s">
        <v>1293</v>
      </c>
      <c r="J274" t="s">
        <v>1293</v>
      </c>
      <c r="K274" t="s">
        <v>1293</v>
      </c>
      <c r="L274" t="s">
        <v>1293</v>
      </c>
      <c r="M274" t="s">
        <v>1293</v>
      </c>
      <c r="N274" t="s">
        <v>1293</v>
      </c>
      <c r="O274" t="s">
        <v>1293</v>
      </c>
      <c r="P274" t="s">
        <v>1293</v>
      </c>
      <c r="Q274" t="s">
        <v>1293</v>
      </c>
      <c r="R274" t="s">
        <v>1293</v>
      </c>
      <c r="S274" t="s">
        <v>1293</v>
      </c>
      <c r="T274" s="21" t="s">
        <v>2220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pending federico</vt:lpstr>
      <vt:lpstr>Summary</vt:lpstr>
      <vt:lpstr>JO</vt:lpstr>
      <vt:lpstr>personnel</vt:lpstr>
      <vt:lpstr>CCTV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sheryl</dc:creator>
  <cp:lastModifiedBy>sheryl</cp:lastModifiedBy>
  <dcterms:created xsi:type="dcterms:W3CDTF">2020-12-01T03:50:20Z</dcterms:created>
  <dcterms:modified xsi:type="dcterms:W3CDTF">2020-12-01T04:47:26Z</dcterms:modified>
</cp:coreProperties>
</file>