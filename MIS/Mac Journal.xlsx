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64E5A948-CD87-4A05-A366-BAF866FE535E}" xr6:coauthVersionLast="45" xr6:coauthVersionMax="45" xr10:uidLastSave="{00000000-0000-0000-0000-000000000000}"/>
  <bookViews>
    <workbookView xWindow="-120" yWindow="-120" windowWidth="29040" windowHeight="15990" activeTab="2" xr2:uid="{567D458D-67D0-47FC-A8A9-740B5BD3144D}"/>
  </bookViews>
  <sheets>
    <sheet name="Sheet1" sheetId="1" r:id="rId1"/>
    <sheet name="TDD" sheetId="2" r:id="rId2"/>
    <sheet name="ACEN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G36" i="3"/>
  <c r="G35" i="3"/>
  <c r="G32" i="3"/>
  <c r="G31" i="3"/>
  <c r="G30" i="3"/>
  <c r="G7" i="3"/>
  <c r="I13" i="4" l="1"/>
  <c r="I11" i="4"/>
  <c r="I12" i="4"/>
  <c r="I10" i="4"/>
  <c r="J23" i="3" l="1"/>
  <c r="B4" i="3"/>
  <c r="C3" i="3" s="1"/>
  <c r="G12" i="3"/>
  <c r="F12" i="3" s="1"/>
  <c r="F9" i="3"/>
  <c r="F7" i="3"/>
  <c r="G2" i="3"/>
  <c r="G3" i="3"/>
  <c r="B9" i="3"/>
  <c r="C7" i="3" s="1"/>
  <c r="G19" i="3" l="1"/>
  <c r="C8" i="3"/>
  <c r="C9" i="3" s="1"/>
  <c r="G9" i="3"/>
  <c r="G13" i="3"/>
  <c r="C2" i="3"/>
  <c r="C4" i="3" s="1"/>
  <c r="G4" i="3"/>
  <c r="G21" i="3" l="1"/>
</calcChain>
</file>

<file path=xl/sharedStrings.xml><?xml version="1.0" encoding="utf-8"?>
<sst xmlns="http://schemas.openxmlformats.org/spreadsheetml/2006/main" count="281" uniqueCount="209">
  <si>
    <t>Date</t>
  </si>
  <si>
    <t>Particular</t>
  </si>
  <si>
    <t>Est. Days</t>
  </si>
  <si>
    <t>Start</t>
  </si>
  <si>
    <t>Finish</t>
  </si>
  <si>
    <t>Remarks</t>
  </si>
  <si>
    <t>Project Code</t>
  </si>
  <si>
    <t>Lender</t>
  </si>
  <si>
    <t>Partner Payment Integration</t>
  </si>
  <si>
    <t>Adjust date to actual date of payment from payment center</t>
  </si>
  <si>
    <t>Add "Penalty" field on OR Release</t>
  </si>
  <si>
    <t>LRTrackr</t>
  </si>
  <si>
    <t>Collection Unit</t>
  </si>
  <si>
    <t>Explain scheduling to M' Loraine / get suggestions</t>
  </si>
  <si>
    <t>Website</t>
  </si>
  <si>
    <t>Transaction Information Entry</t>
  </si>
  <si>
    <t>Sending of link to customer upon entry</t>
  </si>
  <si>
    <t>FBPromo</t>
  </si>
  <si>
    <t>API</t>
  </si>
  <si>
    <t>Webpage validation adjustment</t>
  </si>
  <si>
    <t>Account Status Update</t>
  </si>
  <si>
    <t>Check recalculate utilities from vb6 to vb.net on where the update happens</t>
  </si>
  <si>
    <t>Utility</t>
  </si>
  <si>
    <t>Transfer to linux server cron</t>
  </si>
  <si>
    <t>AR Accounts Mobile Activator</t>
  </si>
  <si>
    <t>Create/Modify Leads of TLM</t>
  </si>
  <si>
    <t>IntegSys</t>
  </si>
  <si>
    <t>Credit Application</t>
  </si>
  <si>
    <t>FB Promo</t>
  </si>
  <si>
    <t>Web pages</t>
  </si>
  <si>
    <t>Get transaction promo basis</t>
  </si>
  <si>
    <t>Multiple Step Error (Update append field size for address)</t>
  </si>
  <si>
    <t>Check system updates on all POS stations</t>
  </si>
  <si>
    <t>Alacart</t>
  </si>
  <si>
    <t>Servo POS System</t>
  </si>
  <si>
    <t>Backup files and database</t>
  </si>
  <si>
    <t>Lender-&gt;OR Release</t>
  </si>
  <si>
    <t>Check can't be OR Released account (Account already released and deleted, status on XAPITrans was not rollback then)</t>
  </si>
  <si>
    <t>GCard System</t>
  </si>
  <si>
    <t>Unable to save online points entry</t>
  </si>
  <si>
    <t>LRPayment cGCrdPstd is already 1 or something happen on the connection that's why it does not continue</t>
  </si>
  <si>
    <t>Initial testing, sent a copy to implementation team</t>
  </si>
  <si>
    <t>Facebook Problem upon clicking like button</t>
  </si>
  <si>
    <t>Check if error catching exists when saving monthly payment</t>
  </si>
  <si>
    <t>Credit Application type mismatch when saving GOCAS</t>
  </si>
  <si>
    <t>Invalid birthday</t>
  </si>
  <si>
    <t>This error just occurred on 2020-10-23 previous days are okay</t>
  </si>
  <si>
    <t>Catch claus is present, will check if the branch dll was updated</t>
  </si>
  <si>
    <t>PETMgr</t>
  </si>
  <si>
    <t>Check GCO Timkeeper not appearing option for log position</t>
  </si>
  <si>
    <t>Server</t>
  </si>
  <si>
    <t>Unable to start mysql server</t>
  </si>
  <si>
    <t>Unmounted hardrive, just remounted the drive</t>
  </si>
  <si>
    <t>Recompiled for GK mirror for GCO with different user credential to avoid duplicate entry</t>
  </si>
  <si>
    <t>spWIMS</t>
  </si>
  <si>
    <t>Adjust to POS like approach when loading detail</t>
  </si>
  <si>
    <t>Food POS</t>
  </si>
  <si>
    <t>Capture servo item list to guanzon POS</t>
  </si>
  <si>
    <t>Dashboard</t>
  </si>
  <si>
    <t>Compilation of program</t>
  </si>
  <si>
    <t>Transferred to implementation group</t>
  </si>
  <si>
    <t>Fix date time value on QR Code accounts</t>
  </si>
  <si>
    <t>Trace problem of voiding online entry</t>
  </si>
  <si>
    <t>Double entry of reference number on LR Payment so the system detects different account</t>
  </si>
  <si>
    <t>Recompiled transferred to implementation group</t>
  </si>
  <si>
    <t>Purchasing -&gt; SP PO Receiving -&gt; ggcSPPurchasing</t>
  </si>
  <si>
    <t>Sales -&gt; Wholesale</t>
  </si>
  <si>
    <t>Sales -&gt; Sales Return</t>
  </si>
  <si>
    <t>Wholesale -&gt; Issuance</t>
  </si>
  <si>
    <t>Purchasing -&gt; SP PO Return</t>
  </si>
  <si>
    <t>testObject</t>
  </si>
  <si>
    <t>@BeforeAll</t>
  </si>
  <si>
    <t>declare static variable</t>
  </si>
  <si>
    <t>declare variable</t>
  </si>
  <si>
    <t>@BeforeEach</t>
  </si>
  <si>
    <t>public static void setupClass()</t>
  </si>
  <si>
    <t>public void setupTest()</t>
  </si>
  <si>
    <t>@AfterEach</t>
  </si>
  <si>
    <t>public void tearDownTest()</t>
  </si>
  <si>
    <t>@AfterAll</t>
  </si>
  <si>
    <t>a procedure thas is called once when the object use ended</t>
  </si>
  <si>
    <t>a procedure that is called once when the object was used</t>
  </si>
  <si>
    <t>public static void tearDownClass()</t>
  </si>
  <si>
    <t>name of the object</t>
  </si>
  <si>
    <t>declaration</t>
  </si>
  <si>
    <t>a procedure that is always executing on every before a test method was executed</t>
  </si>
  <si>
    <t>a procedure that is always executing on every after a test method was executed</t>
  </si>
  <si>
    <t>@Test</t>
  </si>
  <si>
    <t>test method</t>
  </si>
  <si>
    <t>public void testMethod1</t>
  </si>
  <si>
    <t>public void testMethod2</t>
  </si>
  <si>
    <t>AssetJ</t>
  </si>
  <si>
    <t>Hamcrest</t>
  </si>
  <si>
    <t>AssertThat</t>
  </si>
  <si>
    <t>AssertThat, Matcher</t>
  </si>
  <si>
    <t>jMock</t>
  </si>
  <si>
    <t>Mockito</t>
  </si>
  <si>
    <t>EasyMock</t>
  </si>
  <si>
    <t>Mocking Frameworks</t>
  </si>
  <si>
    <t>Utility to create ramdom raffle numbers</t>
  </si>
  <si>
    <t>Adjust API to retreive random raffle no pre generated</t>
  </si>
  <si>
    <t>Trace duplicate key on adding existing but deactivated gcard on account</t>
  </si>
  <si>
    <t>Guanzon App</t>
  </si>
  <si>
    <t>Add validation on updating old gcard records of the user</t>
  </si>
  <si>
    <t>Pre generated random numbers on FB_Raffle_Ticket</t>
  </si>
  <si>
    <t>Trace unknown field detected on mc transfer posting</t>
  </si>
  <si>
    <t>Need update for IntegSys.exe, ggcWarehouse.dll</t>
  </si>
  <si>
    <t>Asked servo if they a system that supports POS networking</t>
  </si>
  <si>
    <t>OR Release -&gt; add validation</t>
  </si>
  <si>
    <t>Require reference number on remarks field, must start with BP or CC</t>
  </si>
  <si>
    <t>ggcAppDriver -&gt; add validation</t>
  </si>
  <si>
    <t>Inactive employees must not able to login ther account anymore</t>
  </si>
  <si>
    <t>Via support ticket(Morris)</t>
  </si>
  <si>
    <t>Check UI distortion</t>
  </si>
  <si>
    <t>Task</t>
  </si>
  <si>
    <t>Capture Suzuki sparepart list from Mam Joan Sape</t>
  </si>
  <si>
    <t>Run JO Utility M066 San Fernando Multi 172.16.4.182</t>
  </si>
  <si>
    <t>Max hours is 23, greater than this will auto assign the log to current day</t>
  </si>
  <si>
    <t>deffered(not frequently used or few items)</t>
  </si>
  <si>
    <t>deffered(quantity to issue is based on the approved quantity)</t>
  </si>
  <si>
    <t>Transaction -&gt; SP Wholesale</t>
  </si>
  <si>
    <t>PetMgr</t>
  </si>
  <si>
    <t>Trace why timekeeper not appearing option to place log</t>
  </si>
  <si>
    <t>Check In-house financing compilation reported by princess</t>
  </si>
  <si>
    <t>Check route area "out of stack space" error</t>
  </si>
  <si>
    <t>Adjust class, add fields to encoding app and add support for a utility call</t>
  </si>
  <si>
    <t>Found out wrong procedure of updating barangay cHasRoute and insert on Route_Area_Barangay table</t>
  </si>
  <si>
    <t>Add fields to API and database to support raffle draw filtering</t>
  </si>
  <si>
    <t>System_Code_Mobile</t>
  </si>
  <si>
    <t>Changed mobile number of existing record of CI M05611000473-09478850157 -&gt; 09616288260</t>
  </si>
  <si>
    <t>Run JO Utility M008 172.16.3.214</t>
  </si>
  <si>
    <t>Online Points</t>
  </si>
  <si>
    <t>Offline Points</t>
  </si>
  <si>
    <t>Points Update</t>
  </si>
  <si>
    <t>Removed QR Code OTP Validation on offline verification for digital type GCARD</t>
  </si>
  <si>
    <t>Review validation for already encoded entry</t>
  </si>
  <si>
    <t>MC Payment Posting</t>
  </si>
  <si>
    <t>Review unable to encode payments to online points entry</t>
  </si>
  <si>
    <t>Utility to auto-send transaction encoded for raffle</t>
  </si>
  <si>
    <t>Add address entry on interface</t>
  </si>
  <si>
    <t>Encounted cursor error on search feature for SQLite</t>
  </si>
  <si>
    <t>appdriver-agent-fx-ui</t>
  </si>
  <si>
    <t>Added browsing using JSON Array as Datasource</t>
  </si>
  <si>
    <t>Test update of MP Financing app compiled as Lender.exe @ Samsung Vigan</t>
  </si>
  <si>
    <t>MP Branches financing system is not updating when we update dlls and exe because of different directory. Will inform implementor/support to place the system on vb.net folder of GGC_Systems</t>
  </si>
  <si>
    <t>COL</t>
  </si>
  <si>
    <t>FMSec</t>
  </si>
  <si>
    <t>ACEN</t>
  </si>
  <si>
    <t>Outstanding</t>
  </si>
  <si>
    <t>SRO</t>
  </si>
  <si>
    <t>Holdings</t>
  </si>
  <si>
    <t>Total</t>
  </si>
  <si>
    <t>Total After</t>
  </si>
  <si>
    <t>Current Price</t>
  </si>
  <si>
    <t>SRO Price</t>
  </si>
  <si>
    <t>--&gt;</t>
  </si>
  <si>
    <t>Price After SRO</t>
  </si>
  <si>
    <t>Outstanding * Current Price</t>
  </si>
  <si>
    <t>SRO Shares * SRO Price</t>
  </si>
  <si>
    <t>PER(%)</t>
  </si>
  <si>
    <t>SRO Allotment</t>
  </si>
  <si>
    <t>Amount</t>
  </si>
  <si>
    <t>Stock Price</t>
  </si>
  <si>
    <t>Capitalization</t>
  </si>
  <si>
    <t>--------&gt;</t>
  </si>
  <si>
    <t>GIC Investment</t>
  </si>
  <si>
    <t>17.5 ownership</t>
  </si>
  <si>
    <t>after SRO</t>
  </si>
  <si>
    <t>Assumption after SRO</t>
  </si>
  <si>
    <t>Assumption after GIC Investment</t>
  </si>
  <si>
    <t>Outstanding Shares</t>
  </si>
  <si>
    <t>Shares to acquire</t>
  </si>
  <si>
    <t>GIC Acquired</t>
  </si>
  <si>
    <t>Remaining from 20B will be given to AC</t>
  </si>
  <si>
    <t>since AC since AC Energy is 100% owned by AC</t>
  </si>
  <si>
    <t>AC through AC Energy will receive</t>
  </si>
  <si>
    <t>ACEN shares in exchange for its international power and energy assets.</t>
  </si>
  <si>
    <t>That is on top of its existing controlling shares in ACEN.</t>
  </si>
  <si>
    <t>Projected by management to have 90B Market Cap on YYYY</t>
  </si>
  <si>
    <t>Current market capitalization</t>
  </si>
  <si>
    <t>Partial analysis</t>
  </si>
  <si>
    <t>Trace program why some employees are not appearing on contact tracing</t>
  </si>
  <si>
    <t>The employee has no barangay id assigned.</t>
  </si>
  <si>
    <t>Install TAP to Ars HR</t>
  </si>
  <si>
    <t>Request access at home to open system</t>
  </si>
  <si>
    <t>Sent to implementation team for testing</t>
  </si>
  <si>
    <t>Allow searching of account number on CC reference on API Payments</t>
  </si>
  <si>
    <t>Check MCC Bani reporting PR Payments are not reflecting on main office</t>
  </si>
  <si>
    <t>As of checking the payments reported are appearing on ledger. Asking them to verify to collection dept what is actually they are looking for</t>
  </si>
  <si>
    <t>Classify and consolidate JAVA utility to one object and prepare to LINUX crontab usage</t>
  </si>
  <si>
    <t>API Payment Utility</t>
  </si>
  <si>
    <t>Client Mobile Utility</t>
  </si>
  <si>
    <t>TLM Priority Leads</t>
  </si>
  <si>
    <t>TLM MC Sales to MP Leads</t>
  </si>
  <si>
    <t>TLM MC Credit Application to Leads</t>
  </si>
  <si>
    <t>On-hold, because Sir Jeff and Jovan team is developing Cartrade Credit App wherein it is the same location of object for API Partner Payments</t>
  </si>
  <si>
    <t>Xavier</t>
  </si>
  <si>
    <t>Jayson</t>
  </si>
  <si>
    <t>Kenneth</t>
  </si>
  <si>
    <t>Incentive</t>
  </si>
  <si>
    <t>Deduct</t>
  </si>
  <si>
    <t>Net</t>
  </si>
  <si>
    <t>Current Portfolio Value</t>
  </si>
  <si>
    <t>Current Portfolio Value after SRO</t>
  </si>
  <si>
    <t>Difference</t>
  </si>
  <si>
    <t>Current Holding</t>
  </si>
  <si>
    <t>SRO Subscription</t>
  </si>
  <si>
    <t>Subsbription Amount</t>
  </si>
  <si>
    <t>Value after SRO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</si>
</sst>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1"/>
      <color theme="1"/>
      <name val="Calibri"/>
      <family val="2"/>
      <scheme val="minor"/>
    </font>
    <font>
      <sz val="11"/>
      <color rgb="FFFF0000"/>
      <name val="Courier New"/>
      <family val="3"/>
    </font>
    <font>
      <sz val="11"/>
      <color rgb="FF00B05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3">
    <xf numFmtId="0" fontId="0" fillId="0" borderId="0" xfId="0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/>
    <xf numFmtId="0" fontId="1" fillId="0" borderId="0" xfId="0" applyFont="1"/>
    <xf numFmtId="43" fontId="2" fillId="0" borderId="0" xfId="1" applyFont="1"/>
    <xf numFmtId="165" fontId="2" fillId="0" borderId="0" xfId="1" applyNumberFormat="1" applyFont="1"/>
    <xf numFmtId="0" fontId="2" fillId="0" borderId="1" xfId="0" applyFont="1" applyBorder="1"/>
    <xf numFmtId="165" fontId="2" fillId="0" borderId="1" xfId="1" applyNumberFormat="1" applyFont="1" applyBorder="1"/>
    <xf numFmtId="0" fontId="1" fillId="3" borderId="1" xfId="0" applyFont="1" applyFill="1" applyBorder="1"/>
    <xf numFmtId="165" fontId="1" fillId="3" borderId="1" xfId="1" applyNumberFormat="1" applyFont="1" applyFill="1" applyBorder="1"/>
    <xf numFmtId="2" fontId="2" fillId="0" borderId="1" xfId="0" applyNumberFormat="1" applyFont="1" applyBorder="1"/>
    <xf numFmtId="43" fontId="1" fillId="3" borderId="1" xfId="1" applyNumberFormat="1" applyFont="1" applyFill="1" applyBorder="1"/>
    <xf numFmtId="0" fontId="1" fillId="2" borderId="1" xfId="0" applyFont="1" applyFill="1" applyBorder="1" applyAlignment="1">
      <alignment horizontal="center"/>
    </xf>
    <xf numFmtId="4" fontId="2" fillId="0" borderId="0" xfId="0" applyNumberFormat="1" applyFont="1"/>
    <xf numFmtId="14" fontId="2" fillId="0" borderId="1" xfId="0" applyNumberFormat="1" applyFont="1" applyBorder="1"/>
    <xf numFmtId="4" fontId="2" fillId="0" borderId="1" xfId="0" applyNumberFormat="1" applyFont="1" applyBorder="1"/>
    <xf numFmtId="4" fontId="1" fillId="3" borderId="1" xfId="0" applyNumberFormat="1" applyFont="1" applyFill="1" applyBorder="1"/>
    <xf numFmtId="43" fontId="2" fillId="0" borderId="1" xfId="1" applyFont="1" applyBorder="1"/>
    <xf numFmtId="4" fontId="1" fillId="2" borderId="1" xfId="0" applyNumberFormat="1" applyFont="1" applyFill="1" applyBorder="1" applyAlignment="1">
      <alignment horizontal="center"/>
    </xf>
    <xf numFmtId="43" fontId="2" fillId="0" borderId="1" xfId="0" applyNumberFormat="1" applyFont="1" applyBorder="1"/>
    <xf numFmtId="43" fontId="1" fillId="0" borderId="0" xfId="1" quotePrefix="1" applyFont="1"/>
    <xf numFmtId="3" fontId="2" fillId="0" borderId="0" xfId="0" applyNumberFormat="1" applyFont="1"/>
    <xf numFmtId="3" fontId="2" fillId="0" borderId="1" xfId="0" applyNumberFormat="1" applyFont="1" applyBorder="1"/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1" fillId="2" borderId="1" xfId="0" applyFont="1" applyFill="1" applyBorder="1"/>
    <xf numFmtId="2" fontId="1" fillId="0" borderId="0" xfId="0" applyNumberFormat="1" applyFont="1"/>
    <xf numFmtId="43" fontId="4" fillId="0" borderId="1" xfId="0" applyNumberFormat="1" applyFont="1" applyBorder="1"/>
    <xf numFmtId="4" fontId="4" fillId="0" borderId="1" xfId="0" applyNumberFormat="1" applyFont="1" applyBorder="1"/>
    <xf numFmtId="43" fontId="5" fillId="0" borderId="1" xfId="0" applyNumberFormat="1" applyFont="1" applyBorder="1"/>
    <xf numFmtId="4" fontId="5" fillId="0" borderId="1" xfId="0" applyNumberFormat="1" applyFont="1" applyBorder="1"/>
    <xf numFmtId="43" fontId="2" fillId="0" borderId="0" xfId="0" applyNumberFormat="1" applyFont="1" applyBorder="1"/>
    <xf numFmtId="0" fontId="1" fillId="2" borderId="1" xfId="0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2DC3-8458-4979-B761-BF4B3F012608}">
  <dimension ref="A1:G68"/>
  <sheetViews>
    <sheetView workbookViewId="0">
      <pane ySplit="1" topLeftCell="A44" activePane="bottomLeft" state="frozen"/>
      <selection pane="bottomLeft" activeCell="C78" sqref="C78"/>
    </sheetView>
  </sheetViews>
  <sheetFormatPr defaultRowHeight="15" x14ac:dyDescent="0.25"/>
  <cols>
    <col min="1" max="1" width="15.140625" style="3" customWidth="1"/>
    <col min="2" max="2" width="28.85546875" style="4" bestFit="1" customWidth="1"/>
    <col min="3" max="3" width="116.7109375" style="4" bestFit="1" customWidth="1"/>
    <col min="4" max="4" width="15.140625" style="5" customWidth="1"/>
    <col min="5" max="6" width="15.140625" style="3" customWidth="1"/>
    <col min="7" max="7" width="252.5703125" style="4" bestFit="1" customWidth="1"/>
    <col min="8" max="16384" width="9.140625" style="4"/>
  </cols>
  <sheetData>
    <row r="1" spans="1:7" s="2" customFormat="1" ht="15.75" x14ac:dyDescent="0.3">
      <c r="A1" s="1" t="s">
        <v>0</v>
      </c>
      <c r="B1" s="2" t="s">
        <v>6</v>
      </c>
      <c r="C1" s="2" t="s">
        <v>1</v>
      </c>
      <c r="D1" s="2" t="s">
        <v>2</v>
      </c>
      <c r="E1" s="1" t="s">
        <v>3</v>
      </c>
      <c r="F1" s="1" t="s">
        <v>4</v>
      </c>
      <c r="G1" s="2" t="s">
        <v>5</v>
      </c>
    </row>
    <row r="2" spans="1:7" x14ac:dyDescent="0.25">
      <c r="A2" s="3">
        <v>44123</v>
      </c>
      <c r="B2" s="4" t="s">
        <v>7</v>
      </c>
      <c r="C2" s="4" t="s">
        <v>8</v>
      </c>
      <c r="D2" s="5">
        <v>0</v>
      </c>
      <c r="E2" s="3">
        <v>44123</v>
      </c>
      <c r="F2" s="3">
        <v>44123</v>
      </c>
      <c r="G2" s="4" t="s">
        <v>9</v>
      </c>
    </row>
    <row r="3" spans="1:7" x14ac:dyDescent="0.25">
      <c r="A3" s="3">
        <v>44123</v>
      </c>
      <c r="B3" s="4" t="s">
        <v>7</v>
      </c>
      <c r="C3" s="4" t="s">
        <v>8</v>
      </c>
      <c r="D3" s="5">
        <v>0</v>
      </c>
      <c r="E3" s="3">
        <v>44123</v>
      </c>
      <c r="F3" s="3">
        <v>44123</v>
      </c>
      <c r="G3" s="4" t="s">
        <v>10</v>
      </c>
    </row>
    <row r="4" spans="1:7" x14ac:dyDescent="0.25">
      <c r="A4" s="3">
        <v>44123</v>
      </c>
      <c r="B4" s="4" t="s">
        <v>11</v>
      </c>
      <c r="C4" s="4" t="s">
        <v>12</v>
      </c>
      <c r="E4" s="3">
        <v>44125</v>
      </c>
      <c r="F4" s="3">
        <v>44125</v>
      </c>
      <c r="G4" s="4" t="s">
        <v>13</v>
      </c>
    </row>
    <row r="5" spans="1:7" x14ac:dyDescent="0.25">
      <c r="A5" s="3">
        <v>44123</v>
      </c>
      <c r="B5" s="4" t="s">
        <v>17</v>
      </c>
      <c r="C5" s="4" t="s">
        <v>15</v>
      </c>
      <c r="D5" s="5">
        <v>1</v>
      </c>
      <c r="E5" s="3">
        <v>44123</v>
      </c>
      <c r="F5" s="3">
        <v>44125</v>
      </c>
      <c r="G5" s="4" t="s">
        <v>16</v>
      </c>
    </row>
    <row r="6" spans="1:7" x14ac:dyDescent="0.25">
      <c r="A6" s="3">
        <v>44123</v>
      </c>
      <c r="B6" s="4" t="s">
        <v>17</v>
      </c>
      <c r="C6" s="4" t="s">
        <v>29</v>
      </c>
      <c r="D6" s="5">
        <v>1</v>
      </c>
      <c r="E6" s="3">
        <v>44123</v>
      </c>
      <c r="F6" s="3">
        <v>44127</v>
      </c>
      <c r="G6" s="4" t="s">
        <v>19</v>
      </c>
    </row>
    <row r="7" spans="1:7" x14ac:dyDescent="0.25">
      <c r="A7" s="3">
        <v>44123</v>
      </c>
      <c r="B7" s="4" t="s">
        <v>11</v>
      </c>
      <c r="C7" s="4" t="s">
        <v>20</v>
      </c>
      <c r="D7" s="5">
        <v>0</v>
      </c>
      <c r="G7" s="4" t="s">
        <v>21</v>
      </c>
    </row>
    <row r="8" spans="1:7" x14ac:dyDescent="0.25">
      <c r="A8" s="3">
        <v>44123</v>
      </c>
      <c r="B8" s="4" t="s">
        <v>22</v>
      </c>
      <c r="C8" s="4" t="s">
        <v>8</v>
      </c>
      <c r="D8" s="5">
        <v>0</v>
      </c>
      <c r="G8" s="4" t="s">
        <v>23</v>
      </c>
    </row>
    <row r="9" spans="1:7" x14ac:dyDescent="0.25">
      <c r="A9" s="3">
        <v>44123</v>
      </c>
      <c r="B9" s="4" t="s">
        <v>22</v>
      </c>
      <c r="C9" s="4" t="s">
        <v>24</v>
      </c>
      <c r="D9" s="5">
        <v>0</v>
      </c>
      <c r="G9" s="4" t="s">
        <v>23</v>
      </c>
    </row>
    <row r="10" spans="1:7" x14ac:dyDescent="0.25">
      <c r="A10" s="3">
        <v>44123</v>
      </c>
      <c r="B10" s="4" t="s">
        <v>22</v>
      </c>
      <c r="C10" s="4" t="s">
        <v>25</v>
      </c>
      <c r="D10" s="5">
        <v>0</v>
      </c>
      <c r="G10" s="4" t="s">
        <v>23</v>
      </c>
    </row>
    <row r="11" spans="1:7" x14ac:dyDescent="0.25">
      <c r="A11" s="3">
        <v>44124</v>
      </c>
      <c r="B11" s="4" t="s">
        <v>26</v>
      </c>
      <c r="C11" s="4" t="s">
        <v>27</v>
      </c>
      <c r="E11" s="3">
        <v>44124</v>
      </c>
      <c r="F11" s="3">
        <v>44124</v>
      </c>
      <c r="G11" s="4" t="s">
        <v>31</v>
      </c>
    </row>
    <row r="12" spans="1:7" x14ac:dyDescent="0.25">
      <c r="A12" s="3">
        <v>44124</v>
      </c>
      <c r="B12" s="4" t="s">
        <v>28</v>
      </c>
      <c r="C12" s="4" t="s">
        <v>18</v>
      </c>
      <c r="E12" s="3">
        <v>44124</v>
      </c>
      <c r="F12" s="3">
        <v>44124</v>
      </c>
      <c r="G12" s="4" t="s">
        <v>30</v>
      </c>
    </row>
    <row r="13" spans="1:7" x14ac:dyDescent="0.25">
      <c r="A13" s="3">
        <v>44125</v>
      </c>
      <c r="B13" s="4" t="s">
        <v>33</v>
      </c>
      <c r="C13" s="4" t="s">
        <v>34</v>
      </c>
      <c r="E13" s="3">
        <v>44125</v>
      </c>
      <c r="F13" s="3">
        <v>44125</v>
      </c>
      <c r="G13" s="4" t="s">
        <v>32</v>
      </c>
    </row>
    <row r="14" spans="1:7" x14ac:dyDescent="0.25">
      <c r="A14" s="3">
        <v>44125</v>
      </c>
      <c r="B14" s="4" t="s">
        <v>14</v>
      </c>
      <c r="C14" s="4" t="s">
        <v>35</v>
      </c>
      <c r="E14" s="3">
        <v>44125</v>
      </c>
      <c r="F14" s="3">
        <v>44125</v>
      </c>
    </row>
    <row r="15" spans="1:7" x14ac:dyDescent="0.25">
      <c r="A15" s="3">
        <v>44126</v>
      </c>
      <c r="B15" s="4" t="s">
        <v>11</v>
      </c>
      <c r="C15" s="4" t="s">
        <v>36</v>
      </c>
      <c r="E15" s="3">
        <v>44126</v>
      </c>
      <c r="F15" s="3">
        <v>44126</v>
      </c>
      <c r="G15" s="4" t="s">
        <v>37</v>
      </c>
    </row>
    <row r="16" spans="1:7" x14ac:dyDescent="0.25">
      <c r="A16" s="3">
        <v>44127</v>
      </c>
      <c r="B16" s="4" t="s">
        <v>38</v>
      </c>
      <c r="C16" s="4" t="s">
        <v>39</v>
      </c>
      <c r="E16" s="3">
        <v>44127</v>
      </c>
      <c r="F16" s="3">
        <v>44127</v>
      </c>
      <c r="G16" s="4" t="s">
        <v>40</v>
      </c>
    </row>
    <row r="17" spans="1:7" x14ac:dyDescent="0.25">
      <c r="A17" s="3">
        <v>44127</v>
      </c>
      <c r="B17" s="4" t="s">
        <v>17</v>
      </c>
      <c r="C17" s="4" t="s">
        <v>15</v>
      </c>
      <c r="E17" s="3">
        <v>44127</v>
      </c>
      <c r="F17" s="3">
        <v>44127</v>
      </c>
      <c r="G17" s="4" t="s">
        <v>41</v>
      </c>
    </row>
    <row r="18" spans="1:7" x14ac:dyDescent="0.25">
      <c r="A18" s="3">
        <v>44128</v>
      </c>
      <c r="B18" s="4" t="s">
        <v>17</v>
      </c>
      <c r="C18" s="4" t="s">
        <v>42</v>
      </c>
      <c r="E18" s="3">
        <v>44128</v>
      </c>
      <c r="G18" s="4" t="s">
        <v>46</v>
      </c>
    </row>
    <row r="19" spans="1:7" x14ac:dyDescent="0.25">
      <c r="A19" s="3">
        <v>44128</v>
      </c>
      <c r="B19" s="4" t="s">
        <v>7</v>
      </c>
      <c r="C19" s="4" t="s">
        <v>43</v>
      </c>
      <c r="E19" s="3">
        <v>44128</v>
      </c>
      <c r="F19" s="3">
        <v>44128</v>
      </c>
      <c r="G19" s="4" t="s">
        <v>47</v>
      </c>
    </row>
    <row r="20" spans="1:7" x14ac:dyDescent="0.25">
      <c r="A20" s="3">
        <v>44128</v>
      </c>
      <c r="B20" s="4" t="s">
        <v>26</v>
      </c>
      <c r="C20" s="4" t="s">
        <v>44</v>
      </c>
      <c r="E20" s="3">
        <v>44128</v>
      </c>
      <c r="F20" s="3">
        <v>44128</v>
      </c>
      <c r="G20" s="4" t="s">
        <v>45</v>
      </c>
    </row>
    <row r="21" spans="1:7" x14ac:dyDescent="0.25">
      <c r="A21" s="3">
        <v>44128</v>
      </c>
      <c r="B21" s="4" t="s">
        <v>48</v>
      </c>
      <c r="C21" s="4" t="s">
        <v>49</v>
      </c>
      <c r="D21" s="5">
        <v>0</v>
      </c>
      <c r="E21" s="3">
        <v>44130</v>
      </c>
      <c r="F21" s="3">
        <v>44130</v>
      </c>
      <c r="G21" s="4" t="s">
        <v>53</v>
      </c>
    </row>
    <row r="22" spans="1:7" x14ac:dyDescent="0.25">
      <c r="A22" s="3">
        <v>44130</v>
      </c>
      <c r="B22" s="4" t="s">
        <v>50</v>
      </c>
      <c r="C22" s="4" t="s">
        <v>51</v>
      </c>
      <c r="D22" s="5">
        <v>0</v>
      </c>
      <c r="E22" s="3">
        <v>44130</v>
      </c>
      <c r="F22" s="3">
        <v>44130</v>
      </c>
      <c r="G22" s="4" t="s">
        <v>52</v>
      </c>
    </row>
    <row r="23" spans="1:7" x14ac:dyDescent="0.25">
      <c r="A23" s="3">
        <v>44130</v>
      </c>
      <c r="B23" s="4" t="s">
        <v>54</v>
      </c>
      <c r="C23" s="4" t="s">
        <v>65</v>
      </c>
      <c r="E23" s="3">
        <v>44130</v>
      </c>
      <c r="F23" s="3">
        <v>44132</v>
      </c>
      <c r="G23" s="4" t="s">
        <v>55</v>
      </c>
    </row>
    <row r="24" spans="1:7" x14ac:dyDescent="0.25">
      <c r="A24" s="3">
        <v>44130</v>
      </c>
      <c r="B24" s="4" t="s">
        <v>56</v>
      </c>
      <c r="C24" s="4" t="s">
        <v>57</v>
      </c>
      <c r="E24" s="3">
        <v>44130</v>
      </c>
      <c r="F24" s="3">
        <v>44130</v>
      </c>
    </row>
    <row r="25" spans="1:7" x14ac:dyDescent="0.25">
      <c r="A25" s="3">
        <v>44131</v>
      </c>
      <c r="B25" s="4" t="s">
        <v>58</v>
      </c>
      <c r="C25" s="4" t="s">
        <v>59</v>
      </c>
      <c r="E25" s="3">
        <v>44131</v>
      </c>
      <c r="F25" s="3">
        <v>44131</v>
      </c>
      <c r="G25" s="4" t="s">
        <v>60</v>
      </c>
    </row>
    <row r="26" spans="1:7" x14ac:dyDescent="0.25">
      <c r="A26" s="3">
        <v>44132</v>
      </c>
      <c r="B26" s="4" t="s">
        <v>50</v>
      </c>
      <c r="C26" s="4" t="s">
        <v>51</v>
      </c>
      <c r="D26" s="5">
        <v>0</v>
      </c>
      <c r="E26" s="3">
        <v>44132</v>
      </c>
      <c r="F26" s="3">
        <v>44132</v>
      </c>
      <c r="G26" s="4" t="s">
        <v>52</v>
      </c>
    </row>
    <row r="27" spans="1:7" x14ac:dyDescent="0.25">
      <c r="A27" s="3">
        <v>44132</v>
      </c>
      <c r="B27" s="4" t="s">
        <v>38</v>
      </c>
      <c r="C27" s="4" t="s">
        <v>61</v>
      </c>
      <c r="E27" s="3">
        <v>44132</v>
      </c>
      <c r="F27" s="3">
        <v>44132</v>
      </c>
      <c r="G27" s="4" t="s">
        <v>64</v>
      </c>
    </row>
    <row r="28" spans="1:7" x14ac:dyDescent="0.25">
      <c r="A28" s="3">
        <v>44132</v>
      </c>
      <c r="B28" s="4" t="s">
        <v>38</v>
      </c>
      <c r="C28" s="4" t="s">
        <v>62</v>
      </c>
      <c r="E28" s="3">
        <v>44132</v>
      </c>
      <c r="F28" s="3">
        <v>44132</v>
      </c>
      <c r="G28" s="4" t="s">
        <v>63</v>
      </c>
    </row>
    <row r="29" spans="1:7" x14ac:dyDescent="0.25">
      <c r="A29" s="3">
        <v>44132</v>
      </c>
      <c r="B29" s="4" t="s">
        <v>54</v>
      </c>
      <c r="C29" s="4" t="s">
        <v>66</v>
      </c>
      <c r="E29" s="3">
        <v>44138</v>
      </c>
      <c r="F29" s="3">
        <v>44139</v>
      </c>
    </row>
    <row r="30" spans="1:7" x14ac:dyDescent="0.25">
      <c r="A30" s="3">
        <v>44132</v>
      </c>
      <c r="B30" s="4" t="s">
        <v>54</v>
      </c>
      <c r="C30" s="4" t="s">
        <v>67</v>
      </c>
      <c r="G30" s="4" t="s">
        <v>118</v>
      </c>
    </row>
    <row r="31" spans="1:7" x14ac:dyDescent="0.25">
      <c r="A31" s="3">
        <v>44132</v>
      </c>
      <c r="B31" s="4" t="s">
        <v>54</v>
      </c>
      <c r="C31" s="4" t="s">
        <v>68</v>
      </c>
      <c r="G31" s="4" t="s">
        <v>119</v>
      </c>
    </row>
    <row r="32" spans="1:7" x14ac:dyDescent="0.25">
      <c r="A32" s="3">
        <v>44132</v>
      </c>
      <c r="B32" s="4" t="s">
        <v>54</v>
      </c>
      <c r="C32" s="4" t="s">
        <v>69</v>
      </c>
      <c r="G32" s="4" t="s">
        <v>118</v>
      </c>
    </row>
    <row r="33" spans="1:7" x14ac:dyDescent="0.25">
      <c r="A33" s="3">
        <v>44135</v>
      </c>
      <c r="B33" s="4" t="s">
        <v>17</v>
      </c>
      <c r="C33" s="4" t="s">
        <v>99</v>
      </c>
      <c r="D33" s="5">
        <v>0</v>
      </c>
      <c r="E33" s="3">
        <v>44135</v>
      </c>
      <c r="F33" s="3">
        <v>44135</v>
      </c>
      <c r="G33" s="4" t="s">
        <v>104</v>
      </c>
    </row>
    <row r="34" spans="1:7" x14ac:dyDescent="0.25">
      <c r="A34" s="3">
        <v>44135</v>
      </c>
      <c r="B34" s="4" t="s">
        <v>17</v>
      </c>
      <c r="C34" s="4" t="s">
        <v>100</v>
      </c>
      <c r="D34" s="5">
        <v>0</v>
      </c>
      <c r="E34" s="3">
        <v>44135</v>
      </c>
      <c r="F34" s="3">
        <v>44135</v>
      </c>
    </row>
    <row r="35" spans="1:7" x14ac:dyDescent="0.25">
      <c r="A35" s="3">
        <v>44137</v>
      </c>
      <c r="B35" s="4" t="s">
        <v>102</v>
      </c>
      <c r="C35" s="4" t="s">
        <v>101</v>
      </c>
      <c r="D35" s="5">
        <v>0</v>
      </c>
      <c r="E35" s="3">
        <v>44137</v>
      </c>
      <c r="F35" s="3">
        <v>44137</v>
      </c>
      <c r="G35" s="4" t="s">
        <v>103</v>
      </c>
    </row>
    <row r="36" spans="1:7" x14ac:dyDescent="0.25">
      <c r="A36" s="3">
        <v>44137</v>
      </c>
      <c r="B36" s="4" t="s">
        <v>26</v>
      </c>
      <c r="C36" s="4" t="s">
        <v>105</v>
      </c>
      <c r="D36" s="5">
        <v>0</v>
      </c>
      <c r="E36" s="3">
        <v>44137</v>
      </c>
      <c r="F36" s="3">
        <v>44137</v>
      </c>
      <c r="G36" s="4" t="s">
        <v>106</v>
      </c>
    </row>
    <row r="37" spans="1:7" x14ac:dyDescent="0.25">
      <c r="A37" s="3">
        <v>44137</v>
      </c>
      <c r="B37" s="4" t="s">
        <v>56</v>
      </c>
      <c r="C37" s="4" t="s">
        <v>107</v>
      </c>
      <c r="D37" s="5">
        <v>0</v>
      </c>
      <c r="E37" s="3">
        <v>44137</v>
      </c>
      <c r="F37" s="3">
        <v>44137</v>
      </c>
      <c r="G37" s="4" t="s">
        <v>112</v>
      </c>
    </row>
    <row r="38" spans="1:7" x14ac:dyDescent="0.25">
      <c r="A38" s="3">
        <v>44137</v>
      </c>
      <c r="B38" s="4" t="s">
        <v>7</v>
      </c>
      <c r="C38" s="4" t="s">
        <v>108</v>
      </c>
      <c r="D38" s="5">
        <v>0</v>
      </c>
      <c r="G38" s="4" t="s">
        <v>109</v>
      </c>
    </row>
    <row r="39" spans="1:7" x14ac:dyDescent="0.25">
      <c r="A39" s="3">
        <v>44137</v>
      </c>
      <c r="B39" s="4" t="s">
        <v>7</v>
      </c>
      <c r="C39" s="4" t="s">
        <v>110</v>
      </c>
      <c r="D39" s="5">
        <v>0</v>
      </c>
      <c r="G39" s="4" t="s">
        <v>111</v>
      </c>
    </row>
    <row r="40" spans="1:7" x14ac:dyDescent="0.25">
      <c r="A40" s="3">
        <v>44137</v>
      </c>
      <c r="B40" s="4" t="s">
        <v>58</v>
      </c>
      <c r="C40" s="4" t="s">
        <v>113</v>
      </c>
    </row>
    <row r="41" spans="1:7" x14ac:dyDescent="0.25">
      <c r="A41" s="3">
        <v>44138</v>
      </c>
      <c r="B41" s="4" t="s">
        <v>114</v>
      </c>
      <c r="C41" s="4" t="s">
        <v>115</v>
      </c>
      <c r="D41" s="5">
        <v>0</v>
      </c>
      <c r="E41" s="3">
        <v>44138</v>
      </c>
      <c r="F41" s="3">
        <v>44138</v>
      </c>
    </row>
    <row r="42" spans="1:7" x14ac:dyDescent="0.25">
      <c r="A42" s="3">
        <v>44139</v>
      </c>
      <c r="B42" s="4" t="s">
        <v>121</v>
      </c>
      <c r="C42" s="4" t="s">
        <v>122</v>
      </c>
      <c r="D42" s="5">
        <v>0</v>
      </c>
      <c r="E42" s="3">
        <v>44139</v>
      </c>
      <c r="F42" s="3">
        <v>44139</v>
      </c>
      <c r="G42" s="4" t="s">
        <v>117</v>
      </c>
    </row>
    <row r="43" spans="1:7" x14ac:dyDescent="0.25">
      <c r="A43" s="3">
        <v>44139</v>
      </c>
      <c r="B43" s="4" t="s">
        <v>114</v>
      </c>
      <c r="C43" s="4" t="s">
        <v>116</v>
      </c>
    </row>
    <row r="44" spans="1:7" x14ac:dyDescent="0.25">
      <c r="A44" s="3">
        <v>44139</v>
      </c>
      <c r="B44" s="4" t="s">
        <v>26</v>
      </c>
      <c r="C44" s="4" t="s">
        <v>120</v>
      </c>
      <c r="E44" s="3">
        <v>44139</v>
      </c>
      <c r="F44" s="3">
        <v>44139</v>
      </c>
    </row>
    <row r="45" spans="1:7" x14ac:dyDescent="0.25">
      <c r="A45" s="3">
        <v>44139</v>
      </c>
      <c r="B45" s="4" t="s">
        <v>114</v>
      </c>
      <c r="C45" s="4" t="s">
        <v>130</v>
      </c>
    </row>
    <row r="46" spans="1:7" x14ac:dyDescent="0.25">
      <c r="A46" s="3">
        <v>44139</v>
      </c>
      <c r="B46" s="4" t="s">
        <v>7</v>
      </c>
      <c r="C46" s="4" t="s">
        <v>123</v>
      </c>
    </row>
    <row r="47" spans="1:7" x14ac:dyDescent="0.25">
      <c r="A47" s="3">
        <v>44140</v>
      </c>
      <c r="B47" s="4" t="s">
        <v>11</v>
      </c>
      <c r="C47" s="4" t="s">
        <v>124</v>
      </c>
      <c r="D47" s="5">
        <v>1</v>
      </c>
      <c r="E47" s="3">
        <v>44140</v>
      </c>
      <c r="F47" s="3">
        <v>44141</v>
      </c>
      <c r="G47" s="4" t="s">
        <v>126</v>
      </c>
    </row>
    <row r="48" spans="1:7" x14ac:dyDescent="0.25">
      <c r="A48" s="3">
        <v>44140</v>
      </c>
      <c r="B48" s="4" t="s">
        <v>17</v>
      </c>
      <c r="C48" s="4" t="s">
        <v>125</v>
      </c>
      <c r="D48" s="5">
        <v>1</v>
      </c>
      <c r="E48" s="3">
        <v>44140</v>
      </c>
      <c r="F48" s="3">
        <v>44141</v>
      </c>
    </row>
    <row r="49" spans="1:7" x14ac:dyDescent="0.25">
      <c r="A49" s="3">
        <v>44141</v>
      </c>
      <c r="B49" s="4" t="s">
        <v>17</v>
      </c>
      <c r="C49" s="4" t="s">
        <v>127</v>
      </c>
      <c r="D49" s="5">
        <v>0</v>
      </c>
      <c r="E49" s="3">
        <v>44141</v>
      </c>
      <c r="F49" s="3">
        <v>44141</v>
      </c>
    </row>
    <row r="50" spans="1:7" x14ac:dyDescent="0.25">
      <c r="A50" s="3">
        <v>44142</v>
      </c>
      <c r="B50" s="4" t="s">
        <v>114</v>
      </c>
      <c r="C50" s="4" t="s">
        <v>128</v>
      </c>
      <c r="D50" s="5">
        <v>0</v>
      </c>
      <c r="E50" s="3">
        <v>44142</v>
      </c>
      <c r="F50" s="3">
        <v>44142</v>
      </c>
      <c r="G50" s="4" t="s">
        <v>129</v>
      </c>
    </row>
    <row r="51" spans="1:7" x14ac:dyDescent="0.25">
      <c r="A51" s="3">
        <v>44142</v>
      </c>
      <c r="B51" s="4" t="s">
        <v>7</v>
      </c>
      <c r="C51" s="4" t="s">
        <v>136</v>
      </c>
      <c r="D51" s="5">
        <v>0</v>
      </c>
      <c r="E51" s="3">
        <v>44142</v>
      </c>
      <c r="F51" s="3">
        <v>44142</v>
      </c>
      <c r="G51" s="4" t="s">
        <v>137</v>
      </c>
    </row>
    <row r="52" spans="1:7" x14ac:dyDescent="0.25">
      <c r="A52" s="3">
        <v>44142</v>
      </c>
      <c r="B52" s="4" t="s">
        <v>38</v>
      </c>
      <c r="C52" s="4" t="s">
        <v>131</v>
      </c>
      <c r="D52" s="5">
        <v>0</v>
      </c>
      <c r="E52" s="3">
        <v>44142</v>
      </c>
      <c r="F52" s="3">
        <v>44142</v>
      </c>
      <c r="G52" s="4" t="s">
        <v>135</v>
      </c>
    </row>
    <row r="53" spans="1:7" x14ac:dyDescent="0.25">
      <c r="A53" s="3">
        <v>44142</v>
      </c>
      <c r="B53" s="4" t="s">
        <v>38</v>
      </c>
      <c r="C53" s="4" t="s">
        <v>132</v>
      </c>
      <c r="D53" s="5">
        <v>0</v>
      </c>
      <c r="E53" s="3">
        <v>44142</v>
      </c>
      <c r="F53" s="3">
        <v>44142</v>
      </c>
      <c r="G53" s="4" t="s">
        <v>135</v>
      </c>
    </row>
    <row r="54" spans="1:7" x14ac:dyDescent="0.25">
      <c r="A54" s="3">
        <v>44142</v>
      </c>
      <c r="B54" s="4" t="s">
        <v>38</v>
      </c>
      <c r="C54" s="4" t="s">
        <v>133</v>
      </c>
      <c r="D54" s="5">
        <v>0</v>
      </c>
      <c r="E54" s="3">
        <v>44142</v>
      </c>
      <c r="F54" s="3">
        <v>44142</v>
      </c>
      <c r="G54" s="4" t="s">
        <v>134</v>
      </c>
    </row>
    <row r="55" spans="1:7" s="28" customFormat="1" x14ac:dyDescent="0.25">
      <c r="A55" s="27">
        <v>44144</v>
      </c>
      <c r="B55" s="28" t="s">
        <v>28</v>
      </c>
      <c r="C55" s="28" t="s">
        <v>138</v>
      </c>
      <c r="D55" s="29">
        <v>1</v>
      </c>
      <c r="E55" s="27">
        <v>44146</v>
      </c>
      <c r="F55" s="27">
        <v>44149</v>
      </c>
      <c r="G55" s="28" t="s">
        <v>185</v>
      </c>
    </row>
    <row r="56" spans="1:7" x14ac:dyDescent="0.25">
      <c r="A56" s="3">
        <v>44144</v>
      </c>
      <c r="B56" s="4" t="s">
        <v>28</v>
      </c>
      <c r="C56" s="4" t="s">
        <v>139</v>
      </c>
      <c r="D56" s="5">
        <v>1</v>
      </c>
      <c r="E56" s="3">
        <v>44144</v>
      </c>
      <c r="F56" s="3">
        <v>44145</v>
      </c>
      <c r="G56" s="4" t="s">
        <v>140</v>
      </c>
    </row>
    <row r="57" spans="1:7" x14ac:dyDescent="0.25">
      <c r="A57" s="3">
        <v>44145</v>
      </c>
      <c r="B57" s="4" t="s">
        <v>141</v>
      </c>
      <c r="C57" s="4" t="s">
        <v>142</v>
      </c>
      <c r="D57" s="5">
        <v>0</v>
      </c>
      <c r="E57" s="3">
        <v>44145</v>
      </c>
      <c r="F57" s="3">
        <v>44145</v>
      </c>
    </row>
    <row r="58" spans="1:7" x14ac:dyDescent="0.25">
      <c r="A58" s="3">
        <v>44147</v>
      </c>
      <c r="B58" s="4" t="s">
        <v>114</v>
      </c>
      <c r="C58" s="4" t="s">
        <v>143</v>
      </c>
      <c r="D58" s="5">
        <v>0</v>
      </c>
      <c r="E58" s="3">
        <v>44147</v>
      </c>
      <c r="F58" s="3">
        <v>44147</v>
      </c>
      <c r="G58" s="4" t="s">
        <v>144</v>
      </c>
    </row>
    <row r="59" spans="1:7" x14ac:dyDescent="0.25">
      <c r="A59" s="3">
        <v>44147</v>
      </c>
      <c r="B59" s="4" t="s">
        <v>48</v>
      </c>
      <c r="C59" s="4" t="s">
        <v>181</v>
      </c>
      <c r="D59" s="5">
        <v>0</v>
      </c>
      <c r="E59" s="3">
        <v>44147</v>
      </c>
      <c r="F59" s="3">
        <v>44147</v>
      </c>
      <c r="G59" s="4" t="s">
        <v>182</v>
      </c>
    </row>
    <row r="60" spans="1:7" ht="15.75" thickBot="1" x14ac:dyDescent="0.3">
      <c r="A60" s="3">
        <v>44147</v>
      </c>
      <c r="B60" s="4" t="s">
        <v>114</v>
      </c>
      <c r="C60" s="4" t="s">
        <v>183</v>
      </c>
      <c r="D60" s="5">
        <v>0</v>
      </c>
      <c r="E60" s="3">
        <v>44147</v>
      </c>
      <c r="F60" s="3">
        <v>44147</v>
      </c>
      <c r="G60" s="4" t="s">
        <v>184</v>
      </c>
    </row>
    <row r="61" spans="1:7" s="28" customFormat="1" ht="15.75" thickBot="1" x14ac:dyDescent="0.3">
      <c r="A61" s="27">
        <v>44149</v>
      </c>
      <c r="B61" s="30" t="s">
        <v>7</v>
      </c>
      <c r="C61" s="30" t="s">
        <v>186</v>
      </c>
      <c r="D61" s="31">
        <v>1</v>
      </c>
      <c r="E61" s="27">
        <v>44149</v>
      </c>
      <c r="F61" s="27">
        <v>44151</v>
      </c>
      <c r="G61" s="27" t="s">
        <v>195</v>
      </c>
    </row>
    <row r="62" spans="1:7" x14ac:dyDescent="0.25">
      <c r="A62" s="3">
        <v>44151</v>
      </c>
      <c r="B62" s="4" t="s">
        <v>114</v>
      </c>
      <c r="C62" s="4" t="s">
        <v>187</v>
      </c>
      <c r="D62" s="5">
        <v>0</v>
      </c>
      <c r="E62" s="3">
        <v>44151</v>
      </c>
      <c r="F62" s="3">
        <v>44151</v>
      </c>
      <c r="G62" s="4" t="s">
        <v>188</v>
      </c>
    </row>
    <row r="63" spans="1:7" x14ac:dyDescent="0.25">
      <c r="A63" s="3">
        <v>44151</v>
      </c>
      <c r="B63" s="4" t="s">
        <v>22</v>
      </c>
      <c r="C63" s="4" t="s">
        <v>190</v>
      </c>
      <c r="D63" s="5">
        <v>0</v>
      </c>
      <c r="E63" s="3">
        <v>44151</v>
      </c>
      <c r="F63" s="3">
        <v>44151</v>
      </c>
      <c r="G63" s="4" t="s">
        <v>189</v>
      </c>
    </row>
    <row r="64" spans="1:7" x14ac:dyDescent="0.25">
      <c r="A64" s="3">
        <v>44151</v>
      </c>
      <c r="B64" s="4" t="s">
        <v>22</v>
      </c>
      <c r="C64" s="4" t="s">
        <v>191</v>
      </c>
      <c r="D64" s="5">
        <v>0</v>
      </c>
      <c r="E64" s="3">
        <v>44151</v>
      </c>
      <c r="F64" s="3">
        <v>44151</v>
      </c>
      <c r="G64" s="4" t="s">
        <v>189</v>
      </c>
    </row>
    <row r="65" spans="1:7" x14ac:dyDescent="0.25">
      <c r="A65" s="3">
        <v>44151</v>
      </c>
      <c r="B65" s="4" t="s">
        <v>22</v>
      </c>
      <c r="C65" s="4" t="s">
        <v>192</v>
      </c>
      <c r="D65" s="5">
        <v>0</v>
      </c>
      <c r="E65" s="3">
        <v>44151</v>
      </c>
      <c r="F65" s="3">
        <v>44151</v>
      </c>
      <c r="G65" s="4" t="s">
        <v>189</v>
      </c>
    </row>
    <row r="66" spans="1:7" x14ac:dyDescent="0.25">
      <c r="A66" s="3">
        <v>44151</v>
      </c>
      <c r="B66" s="4" t="s">
        <v>22</v>
      </c>
      <c r="C66" s="4" t="s">
        <v>193</v>
      </c>
      <c r="D66" s="5">
        <v>0</v>
      </c>
      <c r="E66" s="3">
        <v>44151</v>
      </c>
      <c r="F66" s="3">
        <v>44151</v>
      </c>
      <c r="G66" s="4" t="s">
        <v>189</v>
      </c>
    </row>
    <row r="67" spans="1:7" x14ac:dyDescent="0.25">
      <c r="A67" s="3">
        <v>44151</v>
      </c>
      <c r="B67" s="4" t="s">
        <v>22</v>
      </c>
      <c r="C67" s="4" t="s">
        <v>194</v>
      </c>
      <c r="D67" s="5">
        <v>0</v>
      </c>
      <c r="E67" s="3">
        <v>44151</v>
      </c>
      <c r="F67" s="3">
        <v>44151</v>
      </c>
      <c r="G67" s="4" t="s">
        <v>189</v>
      </c>
    </row>
    <row r="68" spans="1:7" x14ac:dyDescent="0.25">
      <c r="B68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1D65-69B4-4C4A-935F-D2EC6AC2F41A}">
  <dimension ref="A1:K29"/>
  <sheetViews>
    <sheetView workbookViewId="0">
      <selection activeCell="AN4" sqref="AN4"/>
    </sheetView>
  </sheetViews>
  <sheetFormatPr defaultColWidth="5.5703125" defaultRowHeight="15" x14ac:dyDescent="0.25"/>
  <cols>
    <col min="1" max="16384" width="5.5703125" style="4"/>
  </cols>
  <sheetData>
    <row r="1" spans="1:11" ht="15.75" x14ac:dyDescent="0.3">
      <c r="A1" s="7" t="s">
        <v>70</v>
      </c>
      <c r="K1" s="4" t="s">
        <v>83</v>
      </c>
    </row>
    <row r="2" spans="1:11" x14ac:dyDescent="0.25">
      <c r="B2" s="4" t="s">
        <v>72</v>
      </c>
      <c r="K2" s="4" t="s">
        <v>84</v>
      </c>
    </row>
    <row r="3" spans="1:11" x14ac:dyDescent="0.25">
      <c r="B3" s="4" t="s">
        <v>73</v>
      </c>
      <c r="K3" s="4" t="s">
        <v>84</v>
      </c>
    </row>
    <row r="5" spans="1:11" x14ac:dyDescent="0.25">
      <c r="B5" s="6" t="s">
        <v>71</v>
      </c>
      <c r="K5" s="4" t="s">
        <v>81</v>
      </c>
    </row>
    <row r="6" spans="1:11" x14ac:dyDescent="0.25">
      <c r="B6" s="4" t="s">
        <v>75</v>
      </c>
    </row>
    <row r="8" spans="1:11" x14ac:dyDescent="0.25">
      <c r="B8" s="6" t="s">
        <v>74</v>
      </c>
      <c r="K8" s="4" t="s">
        <v>85</v>
      </c>
    </row>
    <row r="9" spans="1:11" x14ac:dyDescent="0.25">
      <c r="B9" s="4" t="s">
        <v>76</v>
      </c>
    </row>
    <row r="11" spans="1:11" x14ac:dyDescent="0.25">
      <c r="B11" s="6" t="s">
        <v>77</v>
      </c>
      <c r="K11" s="4" t="s">
        <v>86</v>
      </c>
    </row>
    <row r="12" spans="1:11" x14ac:dyDescent="0.25">
      <c r="B12" s="4" t="s">
        <v>78</v>
      </c>
    </row>
    <row r="14" spans="1:11" x14ac:dyDescent="0.25">
      <c r="B14" s="6" t="s">
        <v>79</v>
      </c>
      <c r="K14" s="4" t="s">
        <v>80</v>
      </c>
    </row>
    <row r="15" spans="1:11" x14ac:dyDescent="0.25">
      <c r="B15" s="4" t="s">
        <v>82</v>
      </c>
    </row>
    <row r="17" spans="1:11" x14ac:dyDescent="0.25">
      <c r="B17" s="6" t="s">
        <v>87</v>
      </c>
      <c r="K17" s="4" t="s">
        <v>88</v>
      </c>
    </row>
    <row r="18" spans="1:11" x14ac:dyDescent="0.25">
      <c r="B18" s="4" t="s">
        <v>89</v>
      </c>
    </row>
    <row r="20" spans="1:11" x14ac:dyDescent="0.25">
      <c r="B20" s="6" t="s">
        <v>87</v>
      </c>
      <c r="K20" s="4" t="s">
        <v>88</v>
      </c>
    </row>
    <row r="21" spans="1:11" x14ac:dyDescent="0.25">
      <c r="B21" s="4" t="s">
        <v>90</v>
      </c>
    </row>
    <row r="23" spans="1:11" x14ac:dyDescent="0.25">
      <c r="A23" s="4" t="s">
        <v>91</v>
      </c>
      <c r="E23" s="4" t="s">
        <v>93</v>
      </c>
    </row>
    <row r="24" spans="1:11" x14ac:dyDescent="0.25">
      <c r="A24" s="4" t="s">
        <v>92</v>
      </c>
      <c r="E24" s="4" t="s">
        <v>94</v>
      </c>
    </row>
    <row r="26" spans="1:11" x14ac:dyDescent="0.25">
      <c r="A26" s="4" t="s">
        <v>98</v>
      </c>
    </row>
    <row r="27" spans="1:11" x14ac:dyDescent="0.25">
      <c r="B27" s="4" t="s">
        <v>95</v>
      </c>
    </row>
    <row r="28" spans="1:11" ht="15.75" x14ac:dyDescent="0.3">
      <c r="B28" s="7" t="s">
        <v>96</v>
      </c>
    </row>
    <row r="29" spans="1:11" x14ac:dyDescent="0.25">
      <c r="B29" s="4" t="s">
        <v>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000A-5536-448F-8027-E6919311AC6D}">
  <dimension ref="A1:L38"/>
  <sheetViews>
    <sheetView tabSelected="1" workbookViewId="0">
      <selection activeCell="J8" sqref="J8"/>
    </sheetView>
  </sheetViews>
  <sheetFormatPr defaultColWidth="4.7109375" defaultRowHeight="15" x14ac:dyDescent="0.25"/>
  <cols>
    <col min="1" max="1" width="15.5703125" style="4" bestFit="1" customWidth="1"/>
    <col min="2" max="2" width="26.28515625" style="9" bestFit="1" customWidth="1"/>
    <col min="3" max="3" width="11.5703125" style="4" bestFit="1" customWidth="1"/>
    <col min="4" max="5" width="4.7109375" style="4"/>
    <col min="6" max="6" width="47.5703125" style="4" bestFit="1" customWidth="1"/>
    <col min="7" max="7" width="26.28515625" style="17" bestFit="1" customWidth="1"/>
    <col min="8" max="8" width="4.7109375" style="4"/>
    <col min="9" max="9" width="14.28515625" style="8" bestFit="1" customWidth="1"/>
    <col min="10" max="10" width="20.85546875" style="4" bestFit="1" customWidth="1"/>
    <col min="11" max="11" width="6.42578125" style="4" bestFit="1" customWidth="1"/>
    <col min="12" max="12" width="19.5703125" style="4" bestFit="1" customWidth="1"/>
    <col min="13" max="16384" width="4.7109375" style="4"/>
  </cols>
  <sheetData>
    <row r="1" spans="1:12" ht="15.75" x14ac:dyDescent="0.3">
      <c r="A1" s="39" t="s">
        <v>147</v>
      </c>
      <c r="B1" s="39"/>
      <c r="C1" s="16" t="s">
        <v>159</v>
      </c>
      <c r="F1" s="39" t="s">
        <v>168</v>
      </c>
      <c r="G1" s="39"/>
      <c r="I1" s="40" t="s">
        <v>162</v>
      </c>
      <c r="J1" s="40"/>
      <c r="K1" s="40"/>
    </row>
    <row r="2" spans="1:12" x14ac:dyDescent="0.25">
      <c r="A2" s="10" t="s">
        <v>148</v>
      </c>
      <c r="B2" s="11">
        <v>13692457210</v>
      </c>
      <c r="C2" s="14">
        <f>B2/B$4 * 100</f>
        <v>85.792136055189872</v>
      </c>
      <c r="F2" s="10" t="s">
        <v>157</v>
      </c>
      <c r="G2" s="19">
        <f>B2*K2</f>
        <v>123232114890</v>
      </c>
      <c r="I2" s="18">
        <v>44155</v>
      </c>
      <c r="J2" s="11" t="s">
        <v>153</v>
      </c>
      <c r="K2" s="10">
        <v>9</v>
      </c>
    </row>
    <row r="3" spans="1:12" x14ac:dyDescent="0.25">
      <c r="A3" s="10" t="s">
        <v>149</v>
      </c>
      <c r="B3" s="11">
        <v>2267580434</v>
      </c>
      <c r="C3" s="14">
        <f>B3/B$4 * 100</f>
        <v>14.207863944810128</v>
      </c>
      <c r="F3" s="10" t="s">
        <v>158</v>
      </c>
      <c r="G3" s="19">
        <f>B3*K3</f>
        <v>5374165628.5799999</v>
      </c>
      <c r="I3" s="10"/>
      <c r="J3" s="11" t="s">
        <v>154</v>
      </c>
      <c r="K3" s="10">
        <v>2.37</v>
      </c>
    </row>
    <row r="4" spans="1:12" ht="15.75" x14ac:dyDescent="0.3">
      <c r="A4" s="12" t="s">
        <v>152</v>
      </c>
      <c r="B4" s="13">
        <f>SUM(B2:B3)</f>
        <v>15960037644</v>
      </c>
      <c r="C4" s="15">
        <f>SUM(C2:C3)</f>
        <v>100</v>
      </c>
      <c r="E4" s="6" t="s">
        <v>155</v>
      </c>
      <c r="F4" s="12" t="s">
        <v>156</v>
      </c>
      <c r="G4" s="20">
        <f>SUM(G2:G3)/B4</f>
        <v>8.0580186204590891</v>
      </c>
      <c r="I4" s="21" t="s">
        <v>167</v>
      </c>
      <c r="J4" s="11" t="s">
        <v>165</v>
      </c>
      <c r="K4" s="10">
        <v>2.97</v>
      </c>
      <c r="L4" s="4" t="s">
        <v>166</v>
      </c>
    </row>
    <row r="6" spans="1:12" ht="15.75" x14ac:dyDescent="0.3">
      <c r="A6" s="39" t="s">
        <v>150</v>
      </c>
      <c r="B6" s="39"/>
      <c r="C6" s="16" t="s">
        <v>159</v>
      </c>
      <c r="F6" s="16" t="s">
        <v>160</v>
      </c>
      <c r="G6" s="22" t="s">
        <v>161</v>
      </c>
    </row>
    <row r="7" spans="1:12" x14ac:dyDescent="0.25">
      <c r="A7" s="10" t="s">
        <v>145</v>
      </c>
      <c r="B7" s="11">
        <v>13000</v>
      </c>
      <c r="C7" s="14">
        <f>B7/B$9 * 100</f>
        <v>100</v>
      </c>
      <c r="F7" s="19">
        <f>B7/1.11</f>
        <v>11711.71171171171</v>
      </c>
      <c r="G7" s="21">
        <f>11000*K$3</f>
        <v>26070</v>
      </c>
    </row>
    <row r="8" spans="1:12" x14ac:dyDescent="0.25">
      <c r="A8" s="10" t="s">
        <v>146</v>
      </c>
      <c r="B8" s="11">
        <v>0</v>
      </c>
      <c r="C8" s="14">
        <f>B8/B$9 * 100</f>
        <v>0</v>
      </c>
      <c r="F8" s="19">
        <v>0</v>
      </c>
      <c r="G8" s="21">
        <v>0</v>
      </c>
    </row>
    <row r="9" spans="1:12" ht="15.75" x14ac:dyDescent="0.3">
      <c r="A9" s="12" t="s">
        <v>151</v>
      </c>
      <c r="B9" s="13">
        <f>SUM(B7:B8)</f>
        <v>13000</v>
      </c>
      <c r="C9" s="15">
        <f>SUM(C7:C8)</f>
        <v>100</v>
      </c>
      <c r="F9" s="20">
        <f>32000+17000</f>
        <v>49000</v>
      </c>
      <c r="G9" s="20">
        <f>SUM(G7:G8)</f>
        <v>26070</v>
      </c>
    </row>
    <row r="11" spans="1:12" ht="15.75" x14ac:dyDescent="0.3">
      <c r="F11" s="16" t="s">
        <v>163</v>
      </c>
      <c r="G11" s="16" t="s">
        <v>162</v>
      </c>
    </row>
    <row r="12" spans="1:12" ht="15.75" x14ac:dyDescent="0.3">
      <c r="F12" s="23">
        <f>B2*G12</f>
        <v>123232114890</v>
      </c>
      <c r="G12" s="19">
        <f>K2</f>
        <v>9</v>
      </c>
      <c r="I12" s="24" t="s">
        <v>164</v>
      </c>
      <c r="J12" s="7" t="s">
        <v>179</v>
      </c>
    </row>
    <row r="13" spans="1:12" ht="15.75" x14ac:dyDescent="0.3">
      <c r="F13" s="21">
        <v>90000000000</v>
      </c>
      <c r="G13" s="19">
        <f>F13/B4</f>
        <v>5.6390844437534584</v>
      </c>
      <c r="I13" s="24" t="s">
        <v>164</v>
      </c>
      <c r="J13" s="7" t="s">
        <v>178</v>
      </c>
    </row>
    <row r="18" spans="6:10" ht="15.75" x14ac:dyDescent="0.3">
      <c r="F18" s="39" t="s">
        <v>169</v>
      </c>
      <c r="G18" s="39"/>
      <c r="I18" s="24" t="s">
        <v>164</v>
      </c>
      <c r="J18" s="4" t="s">
        <v>180</v>
      </c>
    </row>
    <row r="19" spans="6:10" x14ac:dyDescent="0.25">
      <c r="F19" s="10" t="s">
        <v>170</v>
      </c>
      <c r="G19" s="26">
        <f>B4</f>
        <v>15960037644</v>
      </c>
    </row>
    <row r="20" spans="6:10" x14ac:dyDescent="0.25">
      <c r="F20" s="10" t="s">
        <v>171</v>
      </c>
      <c r="G20" s="26">
        <v>4000000000</v>
      </c>
    </row>
    <row r="21" spans="6:10" ht="15.75" x14ac:dyDescent="0.3">
      <c r="F21" s="10" t="s">
        <v>172</v>
      </c>
      <c r="G21" s="26">
        <f>G20*K4</f>
        <v>11880000000</v>
      </c>
      <c r="I21" s="24" t="s">
        <v>164</v>
      </c>
      <c r="J21" s="4" t="s">
        <v>173</v>
      </c>
    </row>
    <row r="22" spans="6:10" x14ac:dyDescent="0.25">
      <c r="J22" s="4" t="s">
        <v>174</v>
      </c>
    </row>
    <row r="23" spans="6:10" x14ac:dyDescent="0.25">
      <c r="J23" s="25">
        <f>20000000000-G21</f>
        <v>8120000000</v>
      </c>
    </row>
    <row r="26" spans="6:10" ht="15.75" x14ac:dyDescent="0.3">
      <c r="G26" s="4">
        <v>16685800533</v>
      </c>
      <c r="I26" s="24" t="s">
        <v>164</v>
      </c>
      <c r="J26" s="4" t="s">
        <v>175</v>
      </c>
    </row>
    <row r="27" spans="6:10" x14ac:dyDescent="0.25">
      <c r="J27" s="4" t="s">
        <v>176</v>
      </c>
    </row>
    <row r="28" spans="6:10" x14ac:dyDescent="0.25">
      <c r="J28" s="4" t="s">
        <v>177</v>
      </c>
    </row>
    <row r="29" spans="6:10" ht="15.75" x14ac:dyDescent="0.3">
      <c r="F29" s="39" t="s">
        <v>205</v>
      </c>
      <c r="G29" s="39"/>
    </row>
    <row r="30" spans="6:10" x14ac:dyDescent="0.25">
      <c r="F30" s="23" t="s">
        <v>202</v>
      </c>
      <c r="G30" s="19">
        <f>B9*K2</f>
        <v>117000</v>
      </c>
    </row>
    <row r="31" spans="6:10" x14ac:dyDescent="0.25">
      <c r="F31" s="23" t="s">
        <v>203</v>
      </c>
      <c r="G31" s="19">
        <f>B9*G4</f>
        <v>104754.24206596815</v>
      </c>
    </row>
    <row r="32" spans="6:10" x14ac:dyDescent="0.25">
      <c r="F32" s="34" t="s">
        <v>204</v>
      </c>
      <c r="G32" s="35">
        <f>G31-G30</f>
        <v>-12245.757934031848</v>
      </c>
      <c r="I32" s="4"/>
    </row>
    <row r="34" spans="6:7" ht="15.75" x14ac:dyDescent="0.3">
      <c r="F34" s="39" t="s">
        <v>206</v>
      </c>
      <c r="G34" s="39"/>
    </row>
    <row r="35" spans="6:7" x14ac:dyDescent="0.25">
      <c r="F35" s="23" t="s">
        <v>207</v>
      </c>
      <c r="G35" s="19">
        <f>G7</f>
        <v>26070</v>
      </c>
    </row>
    <row r="36" spans="6:7" x14ac:dyDescent="0.25">
      <c r="F36" s="23" t="s">
        <v>208</v>
      </c>
      <c r="G36" s="19">
        <f>11000*G4</f>
        <v>88638.204825049979</v>
      </c>
    </row>
    <row r="37" spans="6:7" x14ac:dyDescent="0.25">
      <c r="F37" s="36" t="s">
        <v>204</v>
      </c>
      <c r="G37" s="37">
        <f>G36-G35</f>
        <v>62568.204825049979</v>
      </c>
    </row>
    <row r="38" spans="6:7" x14ac:dyDescent="0.25">
      <c r="F38" s="38"/>
    </row>
  </sheetData>
  <mergeCells count="7">
    <mergeCell ref="I1:K1"/>
    <mergeCell ref="F18:G18"/>
    <mergeCell ref="F29:G29"/>
    <mergeCell ref="F34:G34"/>
    <mergeCell ref="A1:B1"/>
    <mergeCell ref="A6:B6"/>
    <mergeCell ref="F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1F5E-494A-470F-924E-B1407D1B0B85}">
  <dimension ref="F8:I13"/>
  <sheetViews>
    <sheetView workbookViewId="0">
      <selection activeCell="J23" sqref="J23"/>
    </sheetView>
  </sheetViews>
  <sheetFormatPr defaultRowHeight="15" x14ac:dyDescent="0.25"/>
  <cols>
    <col min="1" max="5" width="9.140625" style="4"/>
    <col min="6" max="7" width="12.85546875" style="4" bestFit="1" customWidth="1"/>
    <col min="8" max="8" width="9" style="4" bestFit="1" customWidth="1"/>
    <col min="9" max="9" width="10.28515625" style="4" bestFit="1" customWidth="1"/>
    <col min="10" max="16384" width="9.140625" style="4"/>
  </cols>
  <sheetData>
    <row r="8" spans="6:9" x14ac:dyDescent="0.25">
      <c r="F8" s="41">
        <v>43862</v>
      </c>
      <c r="G8" s="42"/>
      <c r="H8" s="42"/>
      <c r="I8" s="42"/>
    </row>
    <row r="9" spans="6:9" ht="15.75" x14ac:dyDescent="0.3">
      <c r="F9" s="32"/>
      <c r="G9" s="16" t="s">
        <v>199</v>
      </c>
      <c r="H9" s="16" t="s">
        <v>200</v>
      </c>
      <c r="I9" s="16" t="s">
        <v>201</v>
      </c>
    </row>
    <row r="10" spans="6:9" x14ac:dyDescent="0.25">
      <c r="F10" s="21" t="s">
        <v>196</v>
      </c>
      <c r="G10" s="14">
        <v>3406.1</v>
      </c>
      <c r="H10" s="10">
        <v>0</v>
      </c>
      <c r="I10" s="14">
        <f>G10-H10</f>
        <v>3406.1</v>
      </c>
    </row>
    <row r="11" spans="6:9" x14ac:dyDescent="0.25">
      <c r="F11" s="21" t="s">
        <v>197</v>
      </c>
      <c r="G11" s="14">
        <v>1946.34</v>
      </c>
      <c r="H11" s="10">
        <v>2000</v>
      </c>
      <c r="I11" s="14">
        <f t="shared" ref="I11:I12" si="0">G11-H11</f>
        <v>-53.660000000000082</v>
      </c>
    </row>
    <row r="12" spans="6:9" x14ac:dyDescent="0.25">
      <c r="F12" s="21" t="s">
        <v>198</v>
      </c>
      <c r="G12" s="14">
        <v>1216.46</v>
      </c>
      <c r="H12" s="10">
        <v>0</v>
      </c>
      <c r="I12" s="14">
        <f t="shared" si="0"/>
        <v>1216.46</v>
      </c>
    </row>
    <row r="13" spans="6:9" ht="15.75" x14ac:dyDescent="0.3">
      <c r="I13" s="33">
        <f>SUM(I10:I12)</f>
        <v>4568.8999999999996</v>
      </c>
    </row>
  </sheetData>
  <mergeCells count="1">
    <mergeCell ref="F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TDD</vt:lpstr>
      <vt:lpstr>ACEN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2020-10-19T00:19:09Z</dcterms:created>
  <dcterms:modified xsi:type="dcterms:W3CDTF">2021-01-10T11:28:23Z</dcterms:modified>
</cp:coreProperties>
</file>