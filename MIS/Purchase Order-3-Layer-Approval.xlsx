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xr:revisionPtr revIDLastSave="0" documentId="13_ncr:1_{FDA89BD3-F7DB-4044-A4A5-BDE68FA35792}" xr6:coauthVersionLast="45" xr6:coauthVersionMax="45" xr10:uidLastSave="{00000000-0000-0000-0000-000000000000}"/>
  <bookViews>
    <workbookView xWindow="-120" yWindow="-120" windowWidth="29040" windowHeight="15990" activeTab="1" xr2:uid="{00000000-000D-0000-FFFF-FFFF00000000}"/>
  </bookViews>
  <sheets>
    <sheet name="Tables" sheetId="2" r:id="rId1"/>
    <sheet name="API" sheetId="4" r:id="rId2"/>
    <sheet name="Notes" sheetId="3" r:id="rId3"/>
    <sheet name="Scrap Notes" sheetId="1" r:id="rId4"/>
    <sheet name="Sheet1" sheetId="5" r:id="rId5"/>
    <sheet name="BB DP Computation" sheetId="6" r:id="rId6"/>
  </sheets>
  <calcPr calcId="191029"/>
</workbook>
</file>

<file path=xl/calcChain.xml><?xml version="1.0" encoding="utf-8"?>
<calcChain xmlns="http://schemas.openxmlformats.org/spreadsheetml/2006/main">
  <c r="I9" i="6" l="1"/>
  <c r="I7" i="6"/>
  <c r="I8" i="6" s="1"/>
  <c r="I6" i="6"/>
  <c r="M5" i="6"/>
</calcChain>
</file>

<file path=xl/sharedStrings.xml><?xml version="1.0" encoding="utf-8"?>
<sst xmlns="http://schemas.openxmlformats.org/spreadsheetml/2006/main" count="407" uniqueCount="214">
  <si>
    <t>Random Ticket</t>
  </si>
  <si>
    <t>Random(1, 1000000)</t>
  </si>
  <si>
    <t>padleft(result, 8, 0)</t>
  </si>
  <si>
    <t>nEntryNo</t>
  </si>
  <si>
    <t>nTicketNo</t>
  </si>
  <si>
    <t>nIssuedx</t>
  </si>
  <si>
    <t>FB_Ticket</t>
  </si>
  <si>
    <t>Transaction</t>
  </si>
  <si>
    <t>Master</t>
  </si>
  <si>
    <t>Detail</t>
  </si>
  <si>
    <t>TransNox</t>
  </si>
  <si>
    <t>nEntryNox</t>
  </si>
  <si>
    <t>xxxSystemAuth</t>
  </si>
  <si>
    <t>sEmployNo</t>
  </si>
  <si>
    <t>sMobileNo</t>
  </si>
  <si>
    <t>nAuthEqlx</t>
  </si>
  <si>
    <t>sAuthIDxx</t>
  </si>
  <si>
    <t>cRecdStat</t>
  </si>
  <si>
    <t>sModified</t>
  </si>
  <si>
    <t>dModified</t>
  </si>
  <si>
    <t>dTimeStmp</t>
  </si>
  <si>
    <t>Purchase_Level</t>
  </si>
  <si>
    <t>sPurLvlID</t>
  </si>
  <si>
    <t>nLevelxxx</t>
  </si>
  <si>
    <t>nAmntThru</t>
  </si>
  <si>
    <t>sAuthLevl</t>
  </si>
  <si>
    <t>sAuthEqlx</t>
  </si>
  <si>
    <t>*</t>
  </si>
  <si>
    <t>sTransNox</t>
  </si>
  <si>
    <t>sApprByx1</t>
  </si>
  <si>
    <t>sApprByx2</t>
  </si>
  <si>
    <t>cRandomxx</t>
  </si>
  <si>
    <t>sRanAppr1</t>
  </si>
  <si>
    <t>sRanAppr2</t>
  </si>
  <si>
    <t>sApprCde1</t>
  </si>
  <si>
    <t>sApprCde2</t>
  </si>
  <si>
    <t>sRanCode1</t>
  </si>
  <si>
    <t>sRanCode2</t>
  </si>
  <si>
    <t xml:space="preserve"> + User will select the person authorized to approved (xxxSystemAuth-&gt;sEmployNo)</t>
  </si>
  <si>
    <t xml:space="preserve"> + A message will be sent the the authorized person using his number (xxxSystemAuth-&gt;sEmployNo)</t>
  </si>
  <si>
    <t xml:space="preserve"> + xxxSystemAuth-&gt;sAuthIDxx will be used as filter on selecting the authorized personnel</t>
  </si>
  <si>
    <t xml:space="preserve"> + Will use the API in sending the message</t>
  </si>
  <si>
    <t>PO_Master_Approval</t>
  </si>
  <si>
    <t>DES(HEX(enc_value,semployno))</t>
  </si>
  <si>
    <t>type</t>
  </si>
  <si>
    <t xml:space="preserve"> + 1-&gt; mobile</t>
  </si>
  <si>
    <t xml:space="preserve"> + 2-&gt; api</t>
  </si>
  <si>
    <t xml:space="preserve"> + 0-&gt; getApproval</t>
  </si>
  <si>
    <t xml:space="preserve"> + purchase.random.approval.engr = %</t>
  </si>
  <si>
    <t>System_Code_Mobile</t>
  </si>
  <si>
    <t>varchar(64)</t>
  </si>
  <si>
    <t>varchar(256)</t>
  </si>
  <si>
    <t>sAuthTokn</t>
  </si>
  <si>
    <t>Tokenized_Approval_Request</t>
  </si>
  <si>
    <t>varchar(12)</t>
  </si>
  <si>
    <t>dTransact</t>
  </si>
  <si>
    <t>date</t>
  </si>
  <si>
    <t>sReqstdBy</t>
  </si>
  <si>
    <t>sReqstInf</t>
  </si>
  <si>
    <t>char(1)</t>
  </si>
  <si>
    <t>varchar(4)</t>
  </si>
  <si>
    <t>sReqstdTo</t>
  </si>
  <si>
    <t>varchar(512)</t>
  </si>
  <si>
    <t>cSendxxxx</t>
  </si>
  <si>
    <t>cTranStat</t>
  </si>
  <si>
    <t>sSourceNo</t>
  </si>
  <si>
    <t>sSourceCD</t>
  </si>
  <si>
    <t>dSendDate</t>
  </si>
  <si>
    <t>datetime</t>
  </si>
  <si>
    <t>varchar(10)</t>
  </si>
  <si>
    <t>timestamp</t>
  </si>
  <si>
    <t>sApprCode</t>
  </si>
  <si>
    <t xml:space="preserve">{sTransNox, sTrantype, sRqstType, dTransact, sRqstInfo, sRqstdBy} </t>
  </si>
  <si>
    <t>hex(aes(transnox + ":approval_type:1" + ":" + reqst_type , employno))</t>
  </si>
  <si>
    <t>approval_type</t>
  </si>
  <si>
    <t>Encrypt/Decrypt System_Code_Mobile-&gt;sAuthTokn</t>
  </si>
  <si>
    <t>HEX(AES_ENCRYPT(sEmployNo:sMobileNo:sAuthLevl:sAuthEqlx, employno))</t>
  </si>
  <si>
    <t>AES_DECRYPT(HEX(enc_value,semployno))</t>
  </si>
  <si>
    <t>Encrypt/Decrypt Approval Token</t>
  </si>
  <si>
    <t>HEX(AES_ENCRYPT(transnox + ":approval_type:1" + ":" + reqst_type , employno))</t>
  </si>
  <si>
    <t>Logic Notes:</t>
  </si>
  <si>
    <t>unsigned tiny int</t>
  </si>
  <si>
    <t>decimal(10,2)</t>
  </si>
  <si>
    <t>varchar(24)</t>
  </si>
  <si>
    <t>APP_RQST EP/M0W2/M0W212000001;2020-11-21;25000;For Jolo Residence Parking Area/By: Jun Calaustro</t>
  </si>
  <si>
    <t>sRqstType</t>
  </si>
  <si>
    <t>*1a</t>
  </si>
  <si>
    <t>*1b</t>
  </si>
  <si>
    <t>*1c</t>
  </si>
  <si>
    <t>dRcvdDate</t>
  </si>
  <si>
    <t>P</t>
  </si>
  <si>
    <t>APP_RQST &lt;sRqstType&gt;/&lt;sBranchCD&gt;/&lt;sTransNox;dTransact;sOthrInfo;sRemarks&gt;/By: &lt;sRqstdBy&gt;</t>
  </si>
  <si>
    <t>sBranchCD</t>
  </si>
  <si>
    <t>HEADER</t>
  </si>
  <si>
    <t>g-api-id</t>
  </si>
  <si>
    <t>-&gt; product id(e.g. IntegSys)</t>
  </si>
  <si>
    <t>g-api-imei</t>
  </si>
  <si>
    <t>-&gt; device iemi</t>
  </si>
  <si>
    <t>g-api-key</t>
  </si>
  <si>
    <t>-&gt; current time(YYYYMMDDhhmmss)</t>
  </si>
  <si>
    <t>g-api-hash</t>
  </si>
  <si>
    <t>-&gt; md5hash(g-api-imei + g-api-key)</t>
  </si>
  <si>
    <t>g-api-client</t>
  </si>
  <si>
    <t>-&gt; client id(e.g. GGC_BM001)</t>
  </si>
  <si>
    <t>g-api-user</t>
  </si>
  <si>
    <t>-&gt; user id</t>
  </si>
  <si>
    <t>g-api-log</t>
  </si>
  <si>
    <t>-&gt; log number</t>
  </si>
  <si>
    <t>g-api-token</t>
  </si>
  <si>
    <t>-&gt; Google FCM token</t>
  </si>
  <si>
    <t>GUANZON APP API LIST</t>
  </si>
  <si>
    <t>MODULE</t>
  </si>
  <si>
    <t xml:space="preserve">Token Type Approval </t>
  </si>
  <si>
    <t>URL</t>
  </si>
  <si>
    <t>DESCRIPTION</t>
  </si>
  <si>
    <t>CONSUMES</t>
  </si>
  <si>
    <t>application/json</t>
  </si>
  <si>
    <t>RETURNS</t>
  </si>
  <si>
    <t>PARAMETER</t>
  </si>
  <si>
    <t>result</t>
  </si>
  <si>
    <t>success, error</t>
  </si>
  <si>
    <t>error(optional)</t>
  </si>
  <si>
    <t xml:space="preserve">  + message</t>
  </si>
  <si>
    <t>https://restgk.guanzongroup.com.ph/system/token_approval/fetch_code_request.php</t>
  </si>
  <si>
    <t>Fetch the code request for the approving officer.</t>
  </si>
  <si>
    <t>Employee No of Approving officer</t>
  </si>
  <si>
    <t>Transaction Status of Approval Request to fetch</t>
  </si>
  <si>
    <t>dApproved</t>
  </si>
  <si>
    <t>Send the reply for the approval request(approved or disapproved)</t>
  </si>
  <si>
    <t>https://restgk.guanzongroup.com.ph/system/token_approval/reply_code_request.php</t>
  </si>
  <si>
    <t>https://restgk.guanzongroup.com.ph/system/token_approval/upload_code_request.php</t>
  </si>
  <si>
    <t>Upload the request to the server…</t>
  </si>
  <si>
    <t>sTempTNox</t>
  </si>
  <si>
    <t>https://restgk.guanzongroup.com.ph/system/token_approval/check_code_request.php</t>
  </si>
  <si>
    <t>Fetch the status of request…</t>
  </si>
  <si>
    <t>Check Request</t>
  </si>
  <si>
    <t xml:space="preserve"> + purchase.random.approval.engr(this is just a temporary name) = 10</t>
  </si>
  <si>
    <t xml:space="preserve"> + means random is 1 to 10. and 1 is always check if random approval will be asked by the system</t>
  </si>
  <si>
    <t>sample screen</t>
  </si>
  <si>
    <t>Transaction Approval</t>
  </si>
  <si>
    <t>Request Type</t>
  </si>
  <si>
    <t>Requested To</t>
  </si>
  <si>
    <t>Is Approved</t>
  </si>
  <si>
    <t>Request Type:</t>
  </si>
  <si>
    <t>Request From/Approved By:</t>
  </si>
  <si>
    <t>Exit</t>
  </si>
  <si>
    <t>User Enters the transaction</t>
  </si>
  <si>
    <t>During saving, request for token validation will be created for each rules that needs approval</t>
  </si>
  <si>
    <t>During approval all request for token validation will be displayed in the Transaction Approval Screen.</t>
  </si>
  <si>
    <t>Approve</t>
  </si>
  <si>
    <t>Clicking the Approve button leads to GetApproval form.</t>
  </si>
  <si>
    <t>Clicking the SM Request button will send a SMS Request approval to the person specified in requested from.</t>
  </si>
  <si>
    <t>After clicking the Check Request button, the transaction approval object will check if all request for approval are approve.</t>
  </si>
  <si>
    <t>If all approval are approval are approval, then and only then will the transaction will be tagged as approved.</t>
  </si>
  <si>
    <t>the question then is how will I incorporate the rules in the query of who has authority to approve the validation.</t>
  </si>
  <si>
    <t>A utility will check for forwarded messages from the recepient indicating that the request was approve.</t>
  </si>
  <si>
    <t xml:space="preserve">{contains the remarks/additional information for the request} </t>
  </si>
  <si>
    <t>Procedure:</t>
  </si>
  <si>
    <t xml:space="preserve">Token Type Approval(*) </t>
  </si>
  <si>
    <t>SM Request/Requested</t>
  </si>
  <si>
    <t>After clicking the SMS Request the button will be replace with Requested button(disabled)</t>
  </si>
  <si>
    <t>cApprType</t>
  </si>
  <si>
    <t>https://restgk.guanzongroup.com.ph/system/token_approval/request_authorized.php</t>
  </si>
  <si>
    <t>Request authorized personnel to approved the token approval request.</t>
  </si>
  <si>
    <t>nLevelxxx(optional)</t>
  </si>
  <si>
    <t>varchar(11)</t>
  </si>
  <si>
    <t>sEmployID</t>
  </si>
  <si>
    <t>{sEmployID:sAuthLevl:sAuthEqlx}</t>
  </si>
  <si>
    <t>?</t>
  </si>
  <si>
    <t xml:space="preserve">Pag-gawa ng pelickula </t>
  </si>
  <si>
    <t xml:space="preserve">for the first Dec - January </t>
  </si>
  <si>
    <t>Production ng Screen</t>
  </si>
  <si>
    <t>per screent</t>
  </si>
  <si>
    <t xml:space="preserve">ano makikita ano ang dapat layut ano mga events ang ang mga api </t>
  </si>
  <si>
    <t>Maintenance / Layouting / Relayout/ ?</t>
  </si>
  <si>
    <t xml:space="preserve">TDD </t>
  </si>
  <si>
    <t>Una ang Testing</t>
  </si>
  <si>
    <t>style of programming / satisfing the result of test</t>
  </si>
  <si>
    <t>First Years</t>
  </si>
  <si>
    <t xml:space="preserve">   + Perfeting that approach</t>
  </si>
  <si>
    <t>Maraming coding aside code to test</t>
  </si>
  <si>
    <t>less testing</t>
  </si>
  <si>
    <t>2d</t>
  </si>
  <si>
    <t>6d</t>
  </si>
  <si>
    <t>Testing</t>
  </si>
  <si>
    <t>Iupdate</t>
  </si>
  <si>
    <t>2D</t>
  </si>
  <si>
    <t>butas</t>
  </si>
  <si>
    <t>ep</t>
  </si>
  <si>
    <t>epr</t>
  </si>
  <si>
    <t>ALTER TABLES</t>
  </si>
  <si>
    <t xml:space="preserve">ALTER TABLE `GGC_ISysDBF`.`System_Code_Mobile` CHANGE `sEmployID` `sEmployID` CHAR(12) CHARSET latin1 COLLATE latin1_swedish_ci NOT NULL FIRST, CHANGE `sAuthCode` `sAuthCode` VARCHAR(256) CHARSET latin1 COLLATE latin1_swedish_ci NOT NULL, ADD COLUMN `sAuthTokn` VARCHAR(256) NULL AFTER `sAuthCode`, CHANGE `sRemarksx` `sRemarksx` VARCHAR(64) CHARSET latin1 COLLATE latin1_swedish_ci NULL AFTER `sAuthTokn`, DROP PRIMARY KEY, ADD PRIMARY KEY (`sMobileNo`, `sEmployID`, `sAuthCode`); </t>
  </si>
  <si>
    <t xml:space="preserve">CREATE TABLE `GGC_ISysDBF`.`Tokenized_Approval_Request`( `sTransNox` VARCHAR(12) NOT NULL, `dTransact` DATE, `sSourceNo` VARCHAR(12), `sSourceCd` VARCHAR(4), `sRqstType` VARCHAR(4), `sReqstInf` VARCHAR(512), `sReqstdBy` VARCHAR(12), `sReqstdTo` VARCHAR(12), `sMobileNo` VARCHAR(11), `cApprType` CHAR(1), `sAuthTokn` VARCHAR(256), `sApprCode` VARCHAR(64), `cSendxxxx` CHAR(1), `dSendDate` DATETIME, `dRcvdDate` DATETIME, `dApproved` DATETIME, `cTranStat` CHAR(1), `sModified` VARCHAR(12), `dModified` DATETIME, `dTimeStmp` TIMESTAMP NOT NULL, PRIMARY KEY (`sTransNox`), INDEX `sSourceNo` (`sSourceNo`), INDEX `sSourceCd` (`sSourceCd`), INDEX `sRqstType` (`sRqstType`) , INDEX `sReqstdTo` (`sReqstdTo`)); </t>
  </si>
  <si>
    <t>save-&gt;check_authorized-&gt;upload_code_request</t>
  </si>
  <si>
    <t>check_request-&gt;check_code_request</t>
  </si>
  <si>
    <t>approval-&gt;Approve-&gt;getUserApproval</t>
  </si>
  <si>
    <t>approval-&gt;SM Request-&gt;sendSMSRequest</t>
  </si>
  <si>
    <t xml:space="preserve">CREATE TABLE `GGC_ISysDBF`.`Purchase_Level`( `sPurLvlID` VARCHAR(24) NOT NULL, `nLevelxxx` TINYINT UNSIGNED NOT NULL, `nAmntThru` DECIMAL(10,2), `nAuthEqlx` TINYINT UNSIGNED, `sModified` VARCHAR(10), `dModified` DATETIME, `dTimeStmp` TIMESTAMP NOT NULL, PRIMARY KEY (`sPurLvlID`, `nLevelxxx`) ); </t>
  </si>
  <si>
    <t xml:space="preserve">ALTER TABLE `GGC_ISysDBF`.`Purchase_Level` ADD INDEX `nAmntThru` (`nAmntThru`); </t>
  </si>
  <si>
    <t>X = X / Term</t>
  </si>
  <si>
    <t>X = SRP - ACTUAL DP</t>
  </si>
  <si>
    <t>X = X + REBATE</t>
  </si>
  <si>
    <t>SRP = Selling Price</t>
  </si>
  <si>
    <t>ACTUAL DP = Initial DP</t>
  </si>
  <si>
    <t>RATE = 1.2 per month</t>
  </si>
  <si>
    <t>REBATE = 1000</t>
  </si>
  <si>
    <t>SRP</t>
  </si>
  <si>
    <t>DP</t>
  </si>
  <si>
    <t>TERM</t>
  </si>
  <si>
    <t>RATE</t>
  </si>
  <si>
    <t>X = X + ( X * (RATE * Term) / 100)</t>
  </si>
  <si>
    <t>Service</t>
  </si>
  <si>
    <t>Parts</t>
  </si>
  <si>
    <t xml:space="preserve">ALTER TABLE `GGC_ISysDBF`.`Tokenized_Approval_Request` CHANGE `sApprCode` `sApprCode` VARCHAR(256) CHARSET latin1 COLLATE latin1_swedish_ci NULL;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</si>
</sst>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rgb="FFFF0000"/>
      <name val="Courier New"/>
      <family val="3"/>
    </font>
    <font>
      <sz val="11"/>
      <color theme="0" tint="-0.499984740745262"/>
      <name val="Courier New"/>
      <family val="3"/>
    </font>
    <font>
      <b/>
      <sz val="11"/>
      <color theme="1"/>
      <name val="Courier New"/>
      <family val="3"/>
    </font>
    <font>
      <u/>
      <sz val="11"/>
      <color theme="10"/>
      <name val="Calibri"/>
      <family val="2"/>
      <scheme val="minor"/>
    </font>
    <font>
      <u/>
      <sz val="11"/>
      <color theme="10"/>
      <name val="Courier New"/>
      <family val="3"/>
    </font>
    <font>
      <b/>
      <sz val="11"/>
      <color theme="0" tint="-0.499984740745262"/>
      <name val="Courier New"/>
      <family val="3"/>
    </font>
    <font>
      <sz val="11"/>
      <color rgb="FFFF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2" borderId="0" xfId="0" applyFont="1" applyFill="1"/>
    <xf numFmtId="0" fontId="3" fillId="0" borderId="0" xfId="0" applyFont="1"/>
    <xf numFmtId="0" fontId="1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6" fillId="0" borderId="0" xfId="1" applyFont="1" applyFill="1"/>
    <xf numFmtId="0" fontId="5" fillId="0" borderId="0" xfId="1" applyFill="1"/>
    <xf numFmtId="0" fontId="7" fillId="2" borderId="0" xfId="0" applyFont="1" applyFill="1"/>
    <xf numFmtId="0" fontId="8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1" fillId="2" borderId="0" xfId="0" applyFont="1" applyFill="1" applyBorder="1"/>
    <xf numFmtId="0" fontId="1" fillId="0" borderId="0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2" borderId="8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estgk.guanzongroup.com.ph/system/token_approval/upload_code_request.php" TargetMode="External"/><Relationship Id="rId2" Type="http://schemas.openxmlformats.org/officeDocument/2006/relationships/hyperlink" Target="https://restgk.guanzongroup.com.ph/system/token_approval/reply_code_request.php" TargetMode="External"/><Relationship Id="rId1" Type="http://schemas.openxmlformats.org/officeDocument/2006/relationships/hyperlink" Target="https://restgk.guanzongroup.com.ph/system/token_approval/fetch_code_request.php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restgk.guanzongroup.com.ph/system/token_approval/request_authorized.php" TargetMode="External"/><Relationship Id="rId4" Type="http://schemas.openxmlformats.org/officeDocument/2006/relationships/hyperlink" Target="https://restgk.guanzongroup.com.ph/system/token_approval/check_code_request.ph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4"/>
  <sheetViews>
    <sheetView topLeftCell="A22" workbookViewId="0">
      <selection activeCell="B54" sqref="B54"/>
    </sheetView>
  </sheetViews>
  <sheetFormatPr defaultRowHeight="15" x14ac:dyDescent="0.25"/>
  <cols>
    <col min="1" max="1" width="5.5703125" customWidth="1"/>
    <col min="2" max="2" width="12.85546875" bestFit="1" customWidth="1"/>
    <col min="3" max="3" width="23.5703125" bestFit="1" customWidth="1"/>
  </cols>
  <sheetData>
    <row r="2" spans="1:12" s="5" customFormat="1" ht="15.75" x14ac:dyDescent="0.3">
      <c r="A2" s="3" t="s">
        <v>49</v>
      </c>
    </row>
    <row r="3" spans="1:12" s="1" customFormat="1" x14ac:dyDescent="0.25">
      <c r="B3" s="1" t="s">
        <v>52</v>
      </c>
      <c r="C3" s="1" t="s">
        <v>51</v>
      </c>
      <c r="F3" s="4" t="s">
        <v>167</v>
      </c>
    </row>
    <row r="4" spans="1:12" s="1" customFormat="1" x14ac:dyDescent="0.25">
      <c r="F4" s="4"/>
    </row>
    <row r="5" spans="1:12" s="3" customFormat="1" ht="15.75" x14ac:dyDescent="0.3">
      <c r="A5" s="3" t="s">
        <v>21</v>
      </c>
    </row>
    <row r="6" spans="1:12" s="1" customFormat="1" x14ac:dyDescent="0.25">
      <c r="A6" s="1" t="s">
        <v>90</v>
      </c>
      <c r="B6" s="1" t="s">
        <v>22</v>
      </c>
      <c r="C6" s="1" t="s">
        <v>83</v>
      </c>
      <c r="H6" s="1">
        <v>1</v>
      </c>
      <c r="J6" s="1">
        <v>1</v>
      </c>
    </row>
    <row r="7" spans="1:12" s="1" customFormat="1" x14ac:dyDescent="0.25">
      <c r="B7" s="1" t="s">
        <v>23</v>
      </c>
      <c r="C7" s="1" t="s">
        <v>81</v>
      </c>
      <c r="H7" s="1">
        <v>2</v>
      </c>
      <c r="J7" s="1">
        <v>1</v>
      </c>
      <c r="L7" s="1">
        <v>2</v>
      </c>
    </row>
    <row r="8" spans="1:12" s="1" customFormat="1" x14ac:dyDescent="0.25">
      <c r="B8" s="1" t="s">
        <v>24</v>
      </c>
      <c r="C8" s="1" t="s">
        <v>82</v>
      </c>
      <c r="L8" s="1">
        <v>1</v>
      </c>
    </row>
    <row r="9" spans="1:12" s="1" customFormat="1" x14ac:dyDescent="0.25">
      <c r="B9" s="1" t="s">
        <v>15</v>
      </c>
      <c r="C9" s="1" t="s">
        <v>81</v>
      </c>
      <c r="I9" s="1">
        <v>2</v>
      </c>
    </row>
    <row r="10" spans="1:12" s="1" customFormat="1" x14ac:dyDescent="0.25">
      <c r="B10" s="1" t="s">
        <v>18</v>
      </c>
      <c r="C10" s="1" t="s">
        <v>69</v>
      </c>
    </row>
    <row r="11" spans="1:12" s="1" customFormat="1" x14ac:dyDescent="0.25">
      <c r="B11" s="1" t="s">
        <v>19</v>
      </c>
      <c r="C11" s="1" t="s">
        <v>68</v>
      </c>
    </row>
    <row r="12" spans="1:12" s="1" customFormat="1" x14ac:dyDescent="0.25">
      <c r="B12" s="1" t="s">
        <v>20</v>
      </c>
      <c r="C12" s="1" t="s">
        <v>70</v>
      </c>
    </row>
    <row r="14" spans="1:12" s="10" customFormat="1" ht="15.75" x14ac:dyDescent="0.3">
      <c r="A14" s="10" t="s">
        <v>42</v>
      </c>
    </row>
    <row r="15" spans="1:12" s="4" customFormat="1" x14ac:dyDescent="0.25">
      <c r="A15" s="4" t="s">
        <v>90</v>
      </c>
      <c r="B15" s="4" t="s">
        <v>28</v>
      </c>
      <c r="C15" s="4" t="s">
        <v>54</v>
      </c>
    </row>
    <row r="16" spans="1:12" s="4" customFormat="1" x14ac:dyDescent="0.25">
      <c r="B16" s="4" t="s">
        <v>29</v>
      </c>
      <c r="C16" s="4" t="s">
        <v>54</v>
      </c>
    </row>
    <row r="17" spans="1:6" s="4" customFormat="1" x14ac:dyDescent="0.25">
      <c r="B17" s="4" t="s">
        <v>34</v>
      </c>
      <c r="C17" s="4" t="s">
        <v>50</v>
      </c>
    </row>
    <row r="18" spans="1:6" s="4" customFormat="1" x14ac:dyDescent="0.25">
      <c r="B18" s="4" t="s">
        <v>30</v>
      </c>
      <c r="C18" s="4" t="s">
        <v>54</v>
      </c>
    </row>
    <row r="19" spans="1:6" s="4" customFormat="1" x14ac:dyDescent="0.25">
      <c r="B19" s="4" t="s">
        <v>35</v>
      </c>
      <c r="C19" s="4" t="s">
        <v>50</v>
      </c>
    </row>
    <row r="20" spans="1:6" s="4" customFormat="1" x14ac:dyDescent="0.25">
      <c r="B20" s="4" t="s">
        <v>31</v>
      </c>
      <c r="C20" s="4" t="s">
        <v>59</v>
      </c>
    </row>
    <row r="21" spans="1:6" s="4" customFormat="1" x14ac:dyDescent="0.25">
      <c r="B21" s="4" t="s">
        <v>32</v>
      </c>
      <c r="C21" s="4" t="s">
        <v>54</v>
      </c>
    </row>
    <row r="22" spans="1:6" s="4" customFormat="1" x14ac:dyDescent="0.25">
      <c r="B22" s="4" t="s">
        <v>36</v>
      </c>
      <c r="C22" s="4" t="s">
        <v>50</v>
      </c>
    </row>
    <row r="23" spans="1:6" s="4" customFormat="1" x14ac:dyDescent="0.25">
      <c r="B23" s="4" t="s">
        <v>33</v>
      </c>
      <c r="C23" s="4" t="s">
        <v>54</v>
      </c>
    </row>
    <row r="24" spans="1:6" s="4" customFormat="1" x14ac:dyDescent="0.25">
      <c r="B24" s="4" t="s">
        <v>37</v>
      </c>
      <c r="C24" s="4" t="s">
        <v>50</v>
      </c>
    </row>
    <row r="25" spans="1:6" s="4" customFormat="1" x14ac:dyDescent="0.25">
      <c r="B25" s="4" t="s">
        <v>20</v>
      </c>
      <c r="C25" s="4" t="s">
        <v>70</v>
      </c>
    </row>
    <row r="26" spans="1:6" s="1" customFormat="1" x14ac:dyDescent="0.25"/>
    <row r="27" spans="1:6" s="3" customFormat="1" ht="15.75" x14ac:dyDescent="0.3">
      <c r="A27" s="3" t="s">
        <v>53</v>
      </c>
    </row>
    <row r="28" spans="1:6" s="1" customFormat="1" x14ac:dyDescent="0.25">
      <c r="A28" s="1" t="s">
        <v>90</v>
      </c>
      <c r="B28" s="1" t="s">
        <v>28</v>
      </c>
      <c r="C28" s="1" t="s">
        <v>54</v>
      </c>
    </row>
    <row r="29" spans="1:6" s="1" customFormat="1" x14ac:dyDescent="0.25">
      <c r="B29" s="1" t="s">
        <v>55</v>
      </c>
      <c r="C29" s="1" t="s">
        <v>56</v>
      </c>
    </row>
    <row r="30" spans="1:6" s="1" customFormat="1" x14ac:dyDescent="0.25">
      <c r="A30" s="1" t="s">
        <v>87</v>
      </c>
      <c r="B30" s="1" t="s">
        <v>65</v>
      </c>
      <c r="C30" s="1" t="s">
        <v>54</v>
      </c>
    </row>
    <row r="31" spans="1:6" s="1" customFormat="1" x14ac:dyDescent="0.25">
      <c r="A31" s="1" t="s">
        <v>86</v>
      </c>
      <c r="B31" s="1" t="s">
        <v>66</v>
      </c>
      <c r="C31" s="1" t="s">
        <v>60</v>
      </c>
      <c r="E31" s="1" t="s">
        <v>188</v>
      </c>
      <c r="F31" s="1" t="s">
        <v>189</v>
      </c>
    </row>
    <row r="32" spans="1:6" s="1" customFormat="1" x14ac:dyDescent="0.25">
      <c r="A32" s="1" t="s">
        <v>88</v>
      </c>
      <c r="B32" s="1" t="s">
        <v>85</v>
      </c>
      <c r="C32" s="1" t="s">
        <v>60</v>
      </c>
      <c r="E32" s="1" t="s">
        <v>188</v>
      </c>
    </row>
    <row r="33" spans="2:8" s="1" customFormat="1" x14ac:dyDescent="0.25">
      <c r="B33" s="1" t="s">
        <v>58</v>
      </c>
      <c r="C33" s="1" t="s">
        <v>62</v>
      </c>
      <c r="E33" s="1" t="s">
        <v>156</v>
      </c>
    </row>
    <row r="34" spans="2:8" s="1" customFormat="1" x14ac:dyDescent="0.25">
      <c r="B34" s="1" t="s">
        <v>57</v>
      </c>
      <c r="C34" s="1" t="s">
        <v>54</v>
      </c>
    </row>
    <row r="35" spans="2:8" s="1" customFormat="1" x14ac:dyDescent="0.25">
      <c r="B35" s="1" t="s">
        <v>61</v>
      </c>
      <c r="C35" s="1" t="s">
        <v>54</v>
      </c>
    </row>
    <row r="36" spans="2:8" s="1" customFormat="1" x14ac:dyDescent="0.25">
      <c r="B36" s="11" t="s">
        <v>14</v>
      </c>
      <c r="C36" s="11" t="s">
        <v>165</v>
      </c>
    </row>
    <row r="37" spans="2:8" s="1" customFormat="1" x14ac:dyDescent="0.25">
      <c r="B37" s="11" t="s">
        <v>161</v>
      </c>
      <c r="C37" s="11" t="s">
        <v>59</v>
      </c>
    </row>
    <row r="38" spans="2:8" s="1" customFormat="1" x14ac:dyDescent="0.25">
      <c r="B38" s="11" t="s">
        <v>52</v>
      </c>
      <c r="C38" s="11" t="s">
        <v>51</v>
      </c>
      <c r="G38" s="1" t="s">
        <v>187</v>
      </c>
    </row>
    <row r="39" spans="2:8" s="1" customFormat="1" x14ac:dyDescent="0.25">
      <c r="B39" s="1" t="s">
        <v>71</v>
      </c>
      <c r="C39" s="1" t="s">
        <v>50</v>
      </c>
      <c r="E39" s="1" t="s">
        <v>79</v>
      </c>
    </row>
    <row r="40" spans="2:8" s="1" customFormat="1" x14ac:dyDescent="0.25">
      <c r="B40" s="1" t="s">
        <v>63</v>
      </c>
      <c r="C40" s="1" t="s">
        <v>59</v>
      </c>
    </row>
    <row r="41" spans="2:8" s="1" customFormat="1" x14ac:dyDescent="0.25">
      <c r="B41" s="1" t="s">
        <v>67</v>
      </c>
      <c r="C41" s="1" t="s">
        <v>68</v>
      </c>
    </row>
    <row r="42" spans="2:8" s="1" customFormat="1" x14ac:dyDescent="0.25">
      <c r="B42" s="1" t="s">
        <v>89</v>
      </c>
      <c r="C42" s="1" t="s">
        <v>68</v>
      </c>
      <c r="G42" s="1" t="s">
        <v>7</v>
      </c>
    </row>
    <row r="43" spans="2:8" s="1" customFormat="1" x14ac:dyDescent="0.25">
      <c r="B43" s="1" t="s">
        <v>127</v>
      </c>
      <c r="C43" s="1" t="s">
        <v>68</v>
      </c>
    </row>
    <row r="44" spans="2:8" s="1" customFormat="1" x14ac:dyDescent="0.25">
      <c r="B44" s="1" t="s">
        <v>64</v>
      </c>
      <c r="C44" s="1" t="s">
        <v>59</v>
      </c>
    </row>
    <row r="45" spans="2:8" s="1" customFormat="1" x14ac:dyDescent="0.25">
      <c r="B45" s="1" t="s">
        <v>18</v>
      </c>
      <c r="C45" s="1" t="s">
        <v>69</v>
      </c>
    </row>
    <row r="46" spans="2:8" s="1" customFormat="1" x14ac:dyDescent="0.25">
      <c r="B46" s="1" t="s">
        <v>19</v>
      </c>
      <c r="C46" s="1" t="s">
        <v>68</v>
      </c>
    </row>
    <row r="47" spans="2:8" s="1" customFormat="1" x14ac:dyDescent="0.25">
      <c r="B47" s="1" t="s">
        <v>20</v>
      </c>
      <c r="C47" s="1" t="s">
        <v>70</v>
      </c>
    </row>
    <row r="48" spans="2:8" x14ac:dyDescent="0.25">
      <c r="H48" s="1"/>
    </row>
    <row r="49" spans="1:8" x14ac:dyDescent="0.25">
      <c r="A49" t="s">
        <v>190</v>
      </c>
      <c r="H49" s="1"/>
    </row>
    <row r="50" spans="1:8" x14ac:dyDescent="0.25">
      <c r="B50" t="s">
        <v>191</v>
      </c>
      <c r="H50" s="1"/>
    </row>
    <row r="51" spans="1:8" x14ac:dyDescent="0.25">
      <c r="B51" t="s">
        <v>192</v>
      </c>
      <c r="H51" s="1"/>
    </row>
    <row r="52" spans="1:8" x14ac:dyDescent="0.25">
      <c r="B52" t="s">
        <v>197</v>
      </c>
      <c r="H52" s="1"/>
    </row>
    <row r="53" spans="1:8" x14ac:dyDescent="0.25">
      <c r="B53" t="s">
        <v>198</v>
      </c>
      <c r="H53" s="1"/>
    </row>
    <row r="54" spans="1:8" x14ac:dyDescent="0.25">
      <c r="B54" t="s">
        <v>213</v>
      </c>
      <c r="H54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8"/>
  <sheetViews>
    <sheetView tabSelected="1" topLeftCell="A76" workbookViewId="0">
      <selection activeCell="J97" sqref="J97"/>
    </sheetView>
  </sheetViews>
  <sheetFormatPr defaultRowHeight="15" x14ac:dyDescent="0.25"/>
  <cols>
    <col min="1" max="1" width="5.28515625" style="1" customWidth="1"/>
    <col min="2" max="2" width="16.5703125" style="1" customWidth="1"/>
    <col min="3" max="16384" width="9.140625" style="1"/>
  </cols>
  <sheetData>
    <row r="1" spans="1:3" s="3" customFormat="1" ht="15.75" x14ac:dyDescent="0.3">
      <c r="A1" s="3" t="s">
        <v>93</v>
      </c>
    </row>
    <row r="2" spans="1:3" x14ac:dyDescent="0.25">
      <c r="B2" s="1" t="s">
        <v>94</v>
      </c>
      <c r="C2" s="2" t="s">
        <v>95</v>
      </c>
    </row>
    <row r="3" spans="1:3" x14ac:dyDescent="0.25">
      <c r="B3" s="1" t="s">
        <v>96</v>
      </c>
      <c r="C3" s="1" t="s">
        <v>97</v>
      </c>
    </row>
    <row r="4" spans="1:3" x14ac:dyDescent="0.25">
      <c r="B4" s="1" t="s">
        <v>98</v>
      </c>
      <c r="C4" s="1" t="s">
        <v>99</v>
      </c>
    </row>
    <row r="5" spans="1:3" x14ac:dyDescent="0.25">
      <c r="B5" s="1" t="s">
        <v>100</v>
      </c>
      <c r="C5" s="1" t="s">
        <v>101</v>
      </c>
    </row>
    <row r="6" spans="1:3" x14ac:dyDescent="0.25">
      <c r="B6" s="1" t="s">
        <v>102</v>
      </c>
      <c r="C6" s="2" t="s">
        <v>103</v>
      </c>
    </row>
    <row r="7" spans="1:3" x14ac:dyDescent="0.25">
      <c r="B7" s="1" t="s">
        <v>104</v>
      </c>
      <c r="C7" s="2" t="s">
        <v>105</v>
      </c>
    </row>
    <row r="8" spans="1:3" x14ac:dyDescent="0.25">
      <c r="B8" s="1" t="s">
        <v>106</v>
      </c>
      <c r="C8" s="2" t="s">
        <v>107</v>
      </c>
    </row>
    <row r="9" spans="1:3" x14ac:dyDescent="0.25">
      <c r="B9" s="1" t="s">
        <v>108</v>
      </c>
      <c r="C9" s="2" t="s">
        <v>109</v>
      </c>
    </row>
    <row r="11" spans="1:3" s="3" customFormat="1" ht="15.75" x14ac:dyDescent="0.3">
      <c r="A11" s="3" t="s">
        <v>110</v>
      </c>
    </row>
    <row r="12" spans="1:3" x14ac:dyDescent="0.25">
      <c r="A12" s="1" t="s">
        <v>111</v>
      </c>
    </row>
    <row r="13" spans="1:3" s="6" customFormat="1" ht="15.75" x14ac:dyDescent="0.3">
      <c r="B13" s="6" t="s">
        <v>112</v>
      </c>
    </row>
    <row r="14" spans="1:3" x14ac:dyDescent="0.25">
      <c r="A14" s="1" t="s">
        <v>113</v>
      </c>
    </row>
    <row r="15" spans="1:3" s="7" customFormat="1" ht="15.75" x14ac:dyDescent="0.3">
      <c r="B15" s="8" t="s">
        <v>123</v>
      </c>
    </row>
    <row r="16" spans="1:3" x14ac:dyDescent="0.25">
      <c r="A16" s="1" t="s">
        <v>114</v>
      </c>
    </row>
    <row r="17" spans="1:4" x14ac:dyDescent="0.25">
      <c r="B17" s="1" t="s">
        <v>124</v>
      </c>
    </row>
    <row r="18" spans="1:4" x14ac:dyDescent="0.25">
      <c r="A18" s="1" t="s">
        <v>115</v>
      </c>
    </row>
    <row r="19" spans="1:4" x14ac:dyDescent="0.25">
      <c r="B19" s="1" t="s">
        <v>116</v>
      </c>
    </row>
    <row r="20" spans="1:4" x14ac:dyDescent="0.25">
      <c r="A20" s="1" t="s">
        <v>117</v>
      </c>
    </row>
    <row r="21" spans="1:4" x14ac:dyDescent="0.25">
      <c r="B21" s="1" t="s">
        <v>116</v>
      </c>
    </row>
    <row r="22" spans="1:4" x14ac:dyDescent="0.25">
      <c r="A22" s="1" t="s">
        <v>118</v>
      </c>
    </row>
    <row r="23" spans="1:4" x14ac:dyDescent="0.25">
      <c r="B23" s="1" t="s">
        <v>61</v>
      </c>
      <c r="D23" s="1" t="s">
        <v>125</v>
      </c>
    </row>
    <row r="24" spans="1:4" x14ac:dyDescent="0.25">
      <c r="B24" s="1" t="s">
        <v>64</v>
      </c>
      <c r="D24" s="1" t="s">
        <v>126</v>
      </c>
    </row>
    <row r="25" spans="1:4" x14ac:dyDescent="0.25">
      <c r="A25" s="1" t="s">
        <v>117</v>
      </c>
    </row>
    <row r="26" spans="1:4" x14ac:dyDescent="0.25">
      <c r="B26" s="1" t="s">
        <v>119</v>
      </c>
      <c r="C26" s="1" t="s">
        <v>120</v>
      </c>
    </row>
    <row r="27" spans="1:4" x14ac:dyDescent="0.25">
      <c r="B27" s="1" t="s">
        <v>28</v>
      </c>
    </row>
    <row r="28" spans="1:4" x14ac:dyDescent="0.25">
      <c r="B28" s="1" t="s">
        <v>55</v>
      </c>
    </row>
    <row r="29" spans="1:4" x14ac:dyDescent="0.25">
      <c r="B29" s="1" t="s">
        <v>65</v>
      </c>
    </row>
    <row r="30" spans="1:4" x14ac:dyDescent="0.25">
      <c r="B30" s="1" t="s">
        <v>66</v>
      </c>
    </row>
    <row r="31" spans="1:4" x14ac:dyDescent="0.25">
      <c r="B31" s="1" t="s">
        <v>85</v>
      </c>
    </row>
    <row r="32" spans="1:4" x14ac:dyDescent="0.25">
      <c r="B32" s="1" t="s">
        <v>58</v>
      </c>
    </row>
    <row r="33" spans="1:2" x14ac:dyDescent="0.25">
      <c r="B33" s="1" t="s">
        <v>57</v>
      </c>
    </row>
    <row r="34" spans="1:2" x14ac:dyDescent="0.25">
      <c r="B34" s="1" t="s">
        <v>61</v>
      </c>
    </row>
    <row r="35" spans="1:2" x14ac:dyDescent="0.25">
      <c r="B35" s="1" t="s">
        <v>71</v>
      </c>
    </row>
    <row r="36" spans="1:2" x14ac:dyDescent="0.25">
      <c r="B36" s="1" t="s">
        <v>127</v>
      </c>
    </row>
    <row r="37" spans="1:2" x14ac:dyDescent="0.25">
      <c r="B37" s="1" t="s">
        <v>64</v>
      </c>
    </row>
    <row r="38" spans="1:2" x14ac:dyDescent="0.25">
      <c r="B38" s="1" t="s">
        <v>121</v>
      </c>
    </row>
    <row r="39" spans="1:2" x14ac:dyDescent="0.25">
      <c r="B39" s="2" t="s">
        <v>122</v>
      </c>
    </row>
    <row r="41" spans="1:2" x14ac:dyDescent="0.25">
      <c r="A41" s="1" t="s">
        <v>111</v>
      </c>
    </row>
    <row r="42" spans="1:2" s="6" customFormat="1" ht="15.75" x14ac:dyDescent="0.3">
      <c r="B42" s="6" t="s">
        <v>112</v>
      </c>
    </row>
    <row r="43" spans="1:2" x14ac:dyDescent="0.25">
      <c r="A43" s="1" t="s">
        <v>113</v>
      </c>
    </row>
    <row r="44" spans="1:2" s="7" customFormat="1" ht="15.75" x14ac:dyDescent="0.3">
      <c r="B44" s="8" t="s">
        <v>129</v>
      </c>
    </row>
    <row r="45" spans="1:2" x14ac:dyDescent="0.25">
      <c r="A45" s="1" t="s">
        <v>114</v>
      </c>
    </row>
    <row r="46" spans="1:2" x14ac:dyDescent="0.25">
      <c r="B46" s="1" t="s">
        <v>128</v>
      </c>
    </row>
    <row r="47" spans="1:2" x14ac:dyDescent="0.25">
      <c r="A47" s="1" t="s">
        <v>115</v>
      </c>
    </row>
    <row r="48" spans="1:2" x14ac:dyDescent="0.25">
      <c r="B48" s="1" t="s">
        <v>116</v>
      </c>
    </row>
    <row r="49" spans="1:3" x14ac:dyDescent="0.25">
      <c r="A49" s="1" t="s">
        <v>117</v>
      </c>
    </row>
    <row r="50" spans="1:3" x14ac:dyDescent="0.25">
      <c r="B50" s="1" t="s">
        <v>116</v>
      </c>
    </row>
    <row r="51" spans="1:3" x14ac:dyDescent="0.25">
      <c r="A51" s="1" t="s">
        <v>118</v>
      </c>
    </row>
    <row r="52" spans="1:3" x14ac:dyDescent="0.25">
      <c r="B52" s="1" t="s">
        <v>28</v>
      </c>
    </row>
    <row r="53" spans="1:3" x14ac:dyDescent="0.25">
      <c r="B53" s="1" t="s">
        <v>64</v>
      </c>
    </row>
    <row r="54" spans="1:3" x14ac:dyDescent="0.25">
      <c r="A54" s="1" t="s">
        <v>117</v>
      </c>
    </row>
    <row r="55" spans="1:3" x14ac:dyDescent="0.25">
      <c r="B55" s="1" t="s">
        <v>119</v>
      </c>
      <c r="C55" s="1" t="s">
        <v>120</v>
      </c>
    </row>
    <row r="56" spans="1:3" x14ac:dyDescent="0.25">
      <c r="B56" s="1" t="s">
        <v>121</v>
      </c>
    </row>
    <row r="57" spans="1:3" x14ac:dyDescent="0.25">
      <c r="B57" s="2" t="s">
        <v>122</v>
      </c>
    </row>
    <row r="59" spans="1:3" x14ac:dyDescent="0.25">
      <c r="A59" s="1" t="s">
        <v>111</v>
      </c>
    </row>
    <row r="60" spans="1:3" s="6" customFormat="1" ht="15.75" x14ac:dyDescent="0.3">
      <c r="B60" s="6" t="s">
        <v>158</v>
      </c>
    </row>
    <row r="61" spans="1:3" x14ac:dyDescent="0.25">
      <c r="A61" s="1" t="s">
        <v>113</v>
      </c>
    </row>
    <row r="62" spans="1:3" s="7" customFormat="1" ht="15.75" x14ac:dyDescent="0.3">
      <c r="B62" s="8" t="s">
        <v>130</v>
      </c>
    </row>
    <row r="63" spans="1:3" x14ac:dyDescent="0.25">
      <c r="A63" s="1" t="s">
        <v>114</v>
      </c>
    </row>
    <row r="64" spans="1:3" x14ac:dyDescent="0.25">
      <c r="B64" s="1" t="s">
        <v>131</v>
      </c>
    </row>
    <row r="65" spans="1:3" x14ac:dyDescent="0.25">
      <c r="A65" s="1" t="s">
        <v>115</v>
      </c>
    </row>
    <row r="66" spans="1:3" x14ac:dyDescent="0.25">
      <c r="B66" s="1" t="s">
        <v>116</v>
      </c>
    </row>
    <row r="67" spans="1:3" x14ac:dyDescent="0.25">
      <c r="A67" s="1" t="s">
        <v>117</v>
      </c>
    </row>
    <row r="68" spans="1:3" x14ac:dyDescent="0.25">
      <c r="B68" s="1" t="s">
        <v>116</v>
      </c>
    </row>
    <row r="69" spans="1:3" x14ac:dyDescent="0.25">
      <c r="A69" s="1" t="s">
        <v>118</v>
      </c>
    </row>
    <row r="70" spans="1:3" x14ac:dyDescent="0.25">
      <c r="B70" s="1" t="s">
        <v>132</v>
      </c>
    </row>
    <row r="71" spans="1:3" x14ac:dyDescent="0.25">
      <c r="B71" s="1" t="s">
        <v>55</v>
      </c>
    </row>
    <row r="72" spans="1:3" x14ac:dyDescent="0.25">
      <c r="B72" s="1" t="s">
        <v>65</v>
      </c>
    </row>
    <row r="73" spans="1:3" x14ac:dyDescent="0.25">
      <c r="B73" s="1" t="s">
        <v>66</v>
      </c>
    </row>
    <row r="74" spans="1:3" x14ac:dyDescent="0.25">
      <c r="B74" s="1" t="s">
        <v>85</v>
      </c>
    </row>
    <row r="75" spans="1:3" x14ac:dyDescent="0.25">
      <c r="B75" s="1" t="s">
        <v>57</v>
      </c>
    </row>
    <row r="76" spans="1:3" x14ac:dyDescent="0.25">
      <c r="B76" s="1" t="s">
        <v>61</v>
      </c>
    </row>
    <row r="77" spans="1:3" x14ac:dyDescent="0.25">
      <c r="B77" s="1" t="s">
        <v>58</v>
      </c>
    </row>
    <row r="78" spans="1:3" x14ac:dyDescent="0.25">
      <c r="A78" s="1" t="s">
        <v>117</v>
      </c>
    </row>
    <row r="79" spans="1:3" x14ac:dyDescent="0.25">
      <c r="B79" s="1" t="s">
        <v>119</v>
      </c>
      <c r="C79" s="1" t="s">
        <v>120</v>
      </c>
    </row>
    <row r="80" spans="1:3" x14ac:dyDescent="0.25">
      <c r="B80" s="1" t="s">
        <v>28</v>
      </c>
    </row>
    <row r="81" spans="1:2" x14ac:dyDescent="0.25">
      <c r="B81" s="1" t="s">
        <v>121</v>
      </c>
    </row>
    <row r="82" spans="1:2" x14ac:dyDescent="0.25">
      <c r="B82" s="2" t="s">
        <v>122</v>
      </c>
    </row>
    <row r="83" spans="1:2" x14ac:dyDescent="0.25">
      <c r="B83" s="2"/>
    </row>
    <row r="84" spans="1:2" x14ac:dyDescent="0.25">
      <c r="A84" s="1" t="s">
        <v>111</v>
      </c>
    </row>
    <row r="85" spans="1:2" s="6" customFormat="1" ht="15.75" x14ac:dyDescent="0.3">
      <c r="B85" s="6" t="s">
        <v>158</v>
      </c>
    </row>
    <row r="86" spans="1:2" x14ac:dyDescent="0.25">
      <c r="A86" s="1" t="s">
        <v>113</v>
      </c>
    </row>
    <row r="87" spans="1:2" s="7" customFormat="1" ht="15.75" x14ac:dyDescent="0.3">
      <c r="B87" s="9" t="s">
        <v>133</v>
      </c>
    </row>
    <row r="88" spans="1:2" x14ac:dyDescent="0.25">
      <c r="A88" s="1" t="s">
        <v>114</v>
      </c>
    </row>
    <row r="89" spans="1:2" x14ac:dyDescent="0.25">
      <c r="B89" s="1" t="s">
        <v>134</v>
      </c>
    </row>
    <row r="90" spans="1:2" x14ac:dyDescent="0.25">
      <c r="A90" s="1" t="s">
        <v>115</v>
      </c>
    </row>
    <row r="91" spans="1:2" x14ac:dyDescent="0.25">
      <c r="B91" s="1" t="s">
        <v>116</v>
      </c>
    </row>
    <row r="92" spans="1:2" x14ac:dyDescent="0.25">
      <c r="A92" s="1" t="s">
        <v>117</v>
      </c>
    </row>
    <row r="93" spans="1:2" x14ac:dyDescent="0.25">
      <c r="B93" s="1" t="s">
        <v>116</v>
      </c>
    </row>
    <row r="94" spans="1:2" x14ac:dyDescent="0.25">
      <c r="A94" s="1" t="s">
        <v>118</v>
      </c>
    </row>
    <row r="95" spans="1:2" x14ac:dyDescent="0.25">
      <c r="B95" s="1" t="s">
        <v>65</v>
      </c>
    </row>
    <row r="96" spans="1:2" x14ac:dyDescent="0.25">
      <c r="B96" s="1" t="s">
        <v>66</v>
      </c>
    </row>
    <row r="97" spans="1:3" x14ac:dyDescent="0.25">
      <c r="B97" s="1" t="s">
        <v>85</v>
      </c>
    </row>
    <row r="98" spans="1:3" x14ac:dyDescent="0.25">
      <c r="B98" s="1" t="s">
        <v>61</v>
      </c>
    </row>
    <row r="99" spans="1:3" x14ac:dyDescent="0.25">
      <c r="A99" s="1" t="s">
        <v>117</v>
      </c>
    </row>
    <row r="100" spans="1:3" x14ac:dyDescent="0.25">
      <c r="B100" s="1" t="s">
        <v>119</v>
      </c>
      <c r="C100" s="1" t="s">
        <v>120</v>
      </c>
    </row>
    <row r="101" spans="1:3" x14ac:dyDescent="0.25">
      <c r="B101" s="11" t="s">
        <v>14</v>
      </c>
    </row>
    <row r="102" spans="1:3" x14ac:dyDescent="0.25">
      <c r="B102" s="11" t="s">
        <v>161</v>
      </c>
    </row>
    <row r="103" spans="1:3" x14ac:dyDescent="0.25">
      <c r="B103" s="11" t="s">
        <v>52</v>
      </c>
    </row>
    <row r="104" spans="1:3" x14ac:dyDescent="0.25">
      <c r="B104" s="1" t="s">
        <v>71</v>
      </c>
    </row>
    <row r="105" spans="1:3" x14ac:dyDescent="0.25">
      <c r="B105" s="1" t="s">
        <v>64</v>
      </c>
    </row>
    <row r="106" spans="1:3" x14ac:dyDescent="0.25">
      <c r="B106" s="1" t="s">
        <v>121</v>
      </c>
    </row>
    <row r="107" spans="1:3" x14ac:dyDescent="0.25">
      <c r="B107" s="2" t="s">
        <v>122</v>
      </c>
    </row>
    <row r="109" spans="1:3" x14ac:dyDescent="0.25">
      <c r="A109" s="1" t="s">
        <v>111</v>
      </c>
    </row>
    <row r="110" spans="1:3" s="6" customFormat="1" ht="15.75" x14ac:dyDescent="0.3">
      <c r="B110" s="6" t="s">
        <v>158</v>
      </c>
    </row>
    <row r="111" spans="1:3" x14ac:dyDescent="0.25">
      <c r="A111" s="1" t="s">
        <v>113</v>
      </c>
    </row>
    <row r="112" spans="1:3" s="7" customFormat="1" ht="15.75" x14ac:dyDescent="0.3">
      <c r="B112" s="9" t="s">
        <v>162</v>
      </c>
    </row>
    <row r="113" spans="1:3" x14ac:dyDescent="0.25">
      <c r="A113" s="1" t="s">
        <v>114</v>
      </c>
    </row>
    <row r="114" spans="1:3" x14ac:dyDescent="0.25">
      <c r="B114" s="1" t="s">
        <v>163</v>
      </c>
    </row>
    <row r="115" spans="1:3" x14ac:dyDescent="0.25">
      <c r="A115" s="1" t="s">
        <v>115</v>
      </c>
    </row>
    <row r="116" spans="1:3" x14ac:dyDescent="0.25">
      <c r="B116" s="1" t="s">
        <v>116</v>
      </c>
    </row>
    <row r="117" spans="1:3" x14ac:dyDescent="0.25">
      <c r="A117" s="1" t="s">
        <v>117</v>
      </c>
    </row>
    <row r="118" spans="1:3" x14ac:dyDescent="0.25">
      <c r="B118" s="1" t="s">
        <v>116</v>
      </c>
    </row>
    <row r="119" spans="1:3" x14ac:dyDescent="0.25">
      <c r="A119" s="1" t="s">
        <v>118</v>
      </c>
    </row>
    <row r="120" spans="1:3" x14ac:dyDescent="0.25">
      <c r="B120" s="1" t="s">
        <v>85</v>
      </c>
    </row>
    <row r="121" spans="1:3" x14ac:dyDescent="0.25">
      <c r="B121" s="1" t="s">
        <v>164</v>
      </c>
    </row>
    <row r="122" spans="1:3" x14ac:dyDescent="0.25">
      <c r="A122" s="1" t="s">
        <v>117</v>
      </c>
    </row>
    <row r="123" spans="1:3" x14ac:dyDescent="0.25">
      <c r="B123" s="1" t="s">
        <v>119</v>
      </c>
      <c r="C123" s="1" t="s">
        <v>120</v>
      </c>
    </row>
    <row r="124" spans="1:3" x14ac:dyDescent="0.25">
      <c r="B124" s="1" t="s">
        <v>14</v>
      </c>
    </row>
    <row r="125" spans="1:3" x14ac:dyDescent="0.25">
      <c r="B125" s="1" t="s">
        <v>166</v>
      </c>
    </row>
    <row r="126" spans="1:3" x14ac:dyDescent="0.25">
      <c r="B126" s="1" t="s">
        <v>52</v>
      </c>
    </row>
    <row r="127" spans="1:3" x14ac:dyDescent="0.25">
      <c r="B127" s="1" t="s">
        <v>121</v>
      </c>
    </row>
    <row r="128" spans="1:3" x14ac:dyDescent="0.25">
      <c r="B128" s="2" t="s">
        <v>122</v>
      </c>
    </row>
  </sheetData>
  <hyperlinks>
    <hyperlink ref="B15" r:id="rId1" xr:uid="{00000000-0004-0000-0100-000000000000}"/>
    <hyperlink ref="B44" r:id="rId2" xr:uid="{00000000-0004-0000-0100-000001000000}"/>
    <hyperlink ref="B62" r:id="rId3" xr:uid="{00000000-0004-0000-0100-000002000000}"/>
    <hyperlink ref="B87" r:id="rId4" xr:uid="{00000000-0004-0000-0100-000003000000}"/>
    <hyperlink ref="B112" r:id="rId5" xr:uid="{00000000-0004-0000-0100-000004000000}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55"/>
  <sheetViews>
    <sheetView workbookViewId="0">
      <selection activeCell="I3" sqref="I3"/>
    </sheetView>
  </sheetViews>
  <sheetFormatPr defaultRowHeight="15" x14ac:dyDescent="0.25"/>
  <cols>
    <col min="1" max="16384" width="9.140625" style="1"/>
  </cols>
  <sheetData>
    <row r="2" spans="1:2" x14ac:dyDescent="0.25">
      <c r="A2" s="1" t="s">
        <v>75</v>
      </c>
    </row>
    <row r="3" spans="1:2" x14ac:dyDescent="0.25">
      <c r="B3" s="1" t="s">
        <v>76</v>
      </c>
    </row>
    <row r="4" spans="1:2" x14ac:dyDescent="0.25">
      <c r="B4" s="1" t="s">
        <v>77</v>
      </c>
    </row>
    <row r="6" spans="1:2" x14ac:dyDescent="0.25">
      <c r="A6" s="1" t="s">
        <v>78</v>
      </c>
    </row>
    <row r="7" spans="1:2" x14ac:dyDescent="0.25">
      <c r="B7" s="1" t="s">
        <v>79</v>
      </c>
    </row>
    <row r="8" spans="1:2" x14ac:dyDescent="0.25">
      <c r="B8" s="1" t="s">
        <v>77</v>
      </c>
    </row>
    <row r="10" spans="1:2" x14ac:dyDescent="0.25">
      <c r="A10" s="1" t="s">
        <v>74</v>
      </c>
    </row>
    <row r="11" spans="1:2" x14ac:dyDescent="0.25">
      <c r="B11" s="2" t="s">
        <v>47</v>
      </c>
    </row>
    <row r="12" spans="1:2" x14ac:dyDescent="0.25">
      <c r="B12" s="2" t="s">
        <v>45</v>
      </c>
    </row>
    <row r="13" spans="1:2" x14ac:dyDescent="0.25">
      <c r="B13" s="2" t="s">
        <v>46</v>
      </c>
    </row>
    <row r="14" spans="1:2" x14ac:dyDescent="0.25">
      <c r="B14" s="2"/>
    </row>
    <row r="15" spans="1:2" x14ac:dyDescent="0.25">
      <c r="A15" s="1" t="s">
        <v>80</v>
      </c>
    </row>
    <row r="16" spans="1:2" x14ac:dyDescent="0.25">
      <c r="A16" s="2" t="s">
        <v>38</v>
      </c>
    </row>
    <row r="17" spans="1:17" x14ac:dyDescent="0.25">
      <c r="A17" s="2" t="s">
        <v>40</v>
      </c>
    </row>
    <row r="18" spans="1:17" x14ac:dyDescent="0.25">
      <c r="A18" s="2" t="s">
        <v>39</v>
      </c>
    </row>
    <row r="19" spans="1:17" x14ac:dyDescent="0.25">
      <c r="A19" s="1" t="s">
        <v>41</v>
      </c>
    </row>
    <row r="20" spans="1:17" x14ac:dyDescent="0.25">
      <c r="A20" s="2" t="s">
        <v>136</v>
      </c>
    </row>
    <row r="21" spans="1:17" x14ac:dyDescent="0.25">
      <c r="B21" s="2" t="s">
        <v>137</v>
      </c>
    </row>
    <row r="22" spans="1:17" x14ac:dyDescent="0.25">
      <c r="A22" s="2"/>
      <c r="B22" s="2"/>
    </row>
    <row r="23" spans="1:17" x14ac:dyDescent="0.25">
      <c r="B23" s="2"/>
    </row>
    <row r="25" spans="1:17" x14ac:dyDescent="0.25">
      <c r="A25" s="1" t="s">
        <v>91</v>
      </c>
    </row>
    <row r="26" spans="1:17" x14ac:dyDescent="0.25">
      <c r="A26" s="1" t="s">
        <v>84</v>
      </c>
    </row>
    <row r="29" spans="1:17" x14ac:dyDescent="0.25">
      <c r="A29" s="1" t="s">
        <v>138</v>
      </c>
    </row>
    <row r="30" spans="1:17" x14ac:dyDescent="0.25">
      <c r="Q30" s="1" t="s">
        <v>193</v>
      </c>
    </row>
    <row r="31" spans="1:17" x14ac:dyDescent="0.25">
      <c r="A31" s="12" t="s">
        <v>139</v>
      </c>
      <c r="B31" s="13"/>
      <c r="C31" s="13"/>
      <c r="D31" s="13"/>
      <c r="E31" s="13"/>
      <c r="F31" s="13"/>
      <c r="G31" s="14"/>
      <c r="Q31" s="1" t="s">
        <v>195</v>
      </c>
    </row>
    <row r="32" spans="1:17" x14ac:dyDescent="0.25">
      <c r="A32" s="15"/>
      <c r="B32" s="16"/>
      <c r="C32" s="16"/>
      <c r="D32" s="16"/>
      <c r="E32" s="16"/>
      <c r="F32" s="16"/>
      <c r="G32" s="17"/>
      <c r="Q32" s="1" t="s">
        <v>196</v>
      </c>
    </row>
    <row r="33" spans="1:17" x14ac:dyDescent="0.25">
      <c r="A33" s="15"/>
      <c r="B33" s="16" t="s">
        <v>143</v>
      </c>
      <c r="C33" s="16"/>
      <c r="D33" s="16"/>
      <c r="E33" s="16"/>
      <c r="F33" s="18" t="s">
        <v>149</v>
      </c>
      <c r="G33" s="17"/>
      <c r="Q33" s="1" t="s">
        <v>194</v>
      </c>
    </row>
    <row r="34" spans="1:17" x14ac:dyDescent="0.25">
      <c r="A34" s="15"/>
      <c r="B34" s="16" t="s">
        <v>144</v>
      </c>
      <c r="C34" s="16"/>
      <c r="D34" s="16"/>
      <c r="E34" s="16"/>
      <c r="F34" s="18" t="s">
        <v>159</v>
      </c>
      <c r="G34" s="17"/>
    </row>
    <row r="35" spans="1:17" x14ac:dyDescent="0.25">
      <c r="A35" s="15"/>
      <c r="B35" s="16"/>
      <c r="C35" s="16"/>
      <c r="D35" s="16"/>
      <c r="E35" s="16"/>
      <c r="F35" s="16"/>
      <c r="G35" s="17"/>
    </row>
    <row r="36" spans="1:17" x14ac:dyDescent="0.25">
      <c r="A36" s="15"/>
      <c r="C36" s="16"/>
      <c r="E36" s="16"/>
      <c r="F36" s="19"/>
      <c r="G36" s="17"/>
    </row>
    <row r="37" spans="1:17" x14ac:dyDescent="0.25">
      <c r="A37" s="20" t="s">
        <v>140</v>
      </c>
      <c r="B37" s="21"/>
      <c r="C37" s="20" t="s">
        <v>141</v>
      </c>
      <c r="D37" s="21"/>
      <c r="E37" s="20" t="s">
        <v>142</v>
      </c>
      <c r="F37" s="21"/>
      <c r="G37" s="17"/>
    </row>
    <row r="38" spans="1:17" x14ac:dyDescent="0.25">
      <c r="A38" s="20"/>
      <c r="B38" s="21"/>
      <c r="C38" s="20"/>
      <c r="D38" s="21"/>
      <c r="E38" s="20"/>
      <c r="F38" s="21"/>
      <c r="G38" s="17"/>
    </row>
    <row r="39" spans="1:17" x14ac:dyDescent="0.25">
      <c r="A39" s="20"/>
      <c r="B39" s="21"/>
      <c r="C39" s="20"/>
      <c r="D39" s="21"/>
      <c r="E39" s="20"/>
      <c r="F39" s="21"/>
      <c r="G39" s="22" t="s">
        <v>135</v>
      </c>
    </row>
    <row r="40" spans="1:17" x14ac:dyDescent="0.25">
      <c r="A40" s="20"/>
      <c r="B40" s="21"/>
      <c r="C40" s="20"/>
      <c r="D40" s="21"/>
      <c r="E40" s="20"/>
      <c r="F40" s="21"/>
      <c r="G40" s="23" t="s">
        <v>145</v>
      </c>
    </row>
    <row r="41" spans="1:17" x14ac:dyDescent="0.25">
      <c r="A41" s="24"/>
      <c r="B41" s="25"/>
      <c r="C41" s="25"/>
      <c r="D41" s="25"/>
      <c r="E41" s="25"/>
      <c r="F41" s="25"/>
      <c r="G41" s="26"/>
    </row>
    <row r="44" spans="1:17" x14ac:dyDescent="0.25">
      <c r="A44" s="1" t="s">
        <v>157</v>
      </c>
    </row>
    <row r="45" spans="1:17" x14ac:dyDescent="0.25">
      <c r="A45" s="1">
        <v>1</v>
      </c>
      <c r="B45" s="1" t="s">
        <v>146</v>
      </c>
    </row>
    <row r="46" spans="1:17" x14ac:dyDescent="0.25">
      <c r="A46" s="1">
        <v>2</v>
      </c>
      <c r="B46" s="2" t="s">
        <v>147</v>
      </c>
    </row>
    <row r="47" spans="1:17" x14ac:dyDescent="0.25">
      <c r="A47" s="1">
        <v>3</v>
      </c>
      <c r="B47" s="1" t="s">
        <v>148</v>
      </c>
    </row>
    <row r="48" spans="1:17" x14ac:dyDescent="0.25">
      <c r="A48" s="1">
        <v>4</v>
      </c>
      <c r="B48" s="1" t="s">
        <v>150</v>
      </c>
    </row>
    <row r="49" spans="1:2" x14ac:dyDescent="0.25">
      <c r="A49" s="1">
        <v>5</v>
      </c>
      <c r="B49" s="1" t="s">
        <v>151</v>
      </c>
    </row>
    <row r="50" spans="1:2" x14ac:dyDescent="0.25">
      <c r="A50" s="1">
        <v>6</v>
      </c>
      <c r="B50" s="1" t="s">
        <v>160</v>
      </c>
    </row>
    <row r="51" spans="1:2" x14ac:dyDescent="0.25">
      <c r="A51" s="1">
        <v>7</v>
      </c>
      <c r="B51" s="1" t="s">
        <v>155</v>
      </c>
    </row>
    <row r="52" spans="1:2" x14ac:dyDescent="0.25">
      <c r="A52" s="1">
        <v>8</v>
      </c>
      <c r="B52" s="1" t="s">
        <v>152</v>
      </c>
    </row>
    <row r="53" spans="1:2" x14ac:dyDescent="0.25">
      <c r="A53" s="1">
        <v>9</v>
      </c>
      <c r="B53" s="1" t="s">
        <v>153</v>
      </c>
    </row>
    <row r="55" spans="1:2" x14ac:dyDescent="0.25">
      <c r="B55" s="1" t="s">
        <v>154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77"/>
  <sheetViews>
    <sheetView workbookViewId="0">
      <selection activeCell="O34" sqref="O34"/>
    </sheetView>
  </sheetViews>
  <sheetFormatPr defaultRowHeight="15" x14ac:dyDescent="0.25"/>
  <cols>
    <col min="1" max="1" width="5.28515625" style="1" customWidth="1"/>
    <col min="2" max="2" width="13.85546875" style="1" customWidth="1"/>
    <col min="3" max="5" width="9.28515625" style="1" bestFit="1" customWidth="1"/>
    <col min="6" max="6" width="11.5703125" style="1" bestFit="1" customWidth="1"/>
    <col min="7" max="7" width="9.28515625" style="1" bestFit="1" customWidth="1"/>
    <col min="8" max="8" width="12.85546875" style="1" bestFit="1" customWidth="1"/>
    <col min="9" max="9" width="9.28515625" style="1" bestFit="1" customWidth="1"/>
    <col min="10" max="12" width="9.140625" style="1"/>
    <col min="13" max="13" width="9.28515625" style="1" bestFit="1" customWidth="1"/>
    <col min="14" max="16384" width="9.140625" style="1"/>
  </cols>
  <sheetData>
    <row r="2" spans="3:13" x14ac:dyDescent="0.25">
      <c r="F2" s="1">
        <v>50000000</v>
      </c>
      <c r="H2" s="1" t="s">
        <v>0</v>
      </c>
    </row>
    <row r="3" spans="3:13" x14ac:dyDescent="0.25">
      <c r="G3" s="1">
        <v>1</v>
      </c>
      <c r="H3" s="1">
        <v>1</v>
      </c>
      <c r="J3" s="1" t="s">
        <v>1</v>
      </c>
      <c r="M3" s="1">
        <v>100000</v>
      </c>
    </row>
    <row r="4" spans="3:13" x14ac:dyDescent="0.25">
      <c r="G4" s="1">
        <v>1</v>
      </c>
      <c r="H4" s="1">
        <v>1</v>
      </c>
    </row>
    <row r="5" spans="3:13" x14ac:dyDescent="0.25">
      <c r="F5" s="1">
        <v>1000000</v>
      </c>
      <c r="G5" s="1">
        <v>2</v>
      </c>
      <c r="H5" s="1">
        <v>1</v>
      </c>
      <c r="J5" s="1" t="s">
        <v>2</v>
      </c>
    </row>
    <row r="6" spans="3:13" x14ac:dyDescent="0.25">
      <c r="G6" s="1">
        <v>3</v>
      </c>
      <c r="H6" s="1">
        <v>1</v>
      </c>
    </row>
    <row r="7" spans="3:13" x14ac:dyDescent="0.25">
      <c r="F7" s="1">
        <v>99000000</v>
      </c>
      <c r="G7" s="1">
        <v>4</v>
      </c>
      <c r="H7" s="1">
        <v>1</v>
      </c>
    </row>
    <row r="8" spans="3:13" x14ac:dyDescent="0.25">
      <c r="G8" s="1">
        <v>5</v>
      </c>
    </row>
    <row r="9" spans="3:13" x14ac:dyDescent="0.25">
      <c r="F9" s="1">
        <v>1000000</v>
      </c>
    </row>
    <row r="11" spans="3:13" x14ac:dyDescent="0.25">
      <c r="C11" s="1" t="s">
        <v>8</v>
      </c>
      <c r="D11" s="1" t="s">
        <v>9</v>
      </c>
      <c r="G11" s="1" t="s">
        <v>6</v>
      </c>
    </row>
    <row r="12" spans="3:13" x14ac:dyDescent="0.25">
      <c r="C12" s="1" t="s">
        <v>7</v>
      </c>
      <c r="D12" s="1" t="s">
        <v>10</v>
      </c>
      <c r="E12" s="1" t="s">
        <v>11</v>
      </c>
      <c r="G12" s="1" t="s">
        <v>3</v>
      </c>
      <c r="H12" s="1" t="s">
        <v>4</v>
      </c>
      <c r="I12" s="1" t="s">
        <v>5</v>
      </c>
    </row>
    <row r="13" spans="3:13" x14ac:dyDescent="0.25">
      <c r="C13" s="1">
        <v>1</v>
      </c>
      <c r="D13" s="1">
        <v>1</v>
      </c>
      <c r="E13" s="1">
        <v>1</v>
      </c>
      <c r="G13" s="1">
        <v>1</v>
      </c>
      <c r="H13" s="1">
        <v>134612345</v>
      </c>
      <c r="I13" s="1">
        <v>0</v>
      </c>
    </row>
    <row r="14" spans="3:13" x14ac:dyDescent="0.25">
      <c r="C14" s="1">
        <v>1</v>
      </c>
      <c r="D14" s="1">
        <v>1</v>
      </c>
      <c r="E14" s="1">
        <v>2</v>
      </c>
    </row>
    <row r="15" spans="3:13" x14ac:dyDescent="0.25">
      <c r="C15" s="1">
        <v>2</v>
      </c>
      <c r="D15" s="1">
        <v>2</v>
      </c>
      <c r="E15" s="1">
        <v>3</v>
      </c>
    </row>
    <row r="16" spans="3:13" x14ac:dyDescent="0.25">
      <c r="C16" s="1">
        <v>2</v>
      </c>
      <c r="D16" s="1">
        <v>2</v>
      </c>
      <c r="E16" s="1">
        <v>4</v>
      </c>
    </row>
    <row r="17" spans="1:5" x14ac:dyDescent="0.25">
      <c r="C17" s="1">
        <v>3</v>
      </c>
      <c r="D17" s="1">
        <v>3</v>
      </c>
      <c r="E17" s="1">
        <v>5</v>
      </c>
    </row>
    <row r="18" spans="1:5" x14ac:dyDescent="0.25">
      <c r="C18" s="1">
        <v>4</v>
      </c>
      <c r="D18" s="1">
        <v>4</v>
      </c>
      <c r="E18" s="1">
        <v>6</v>
      </c>
    </row>
    <row r="19" spans="1:5" x14ac:dyDescent="0.25">
      <c r="C19" s="1">
        <v>1</v>
      </c>
      <c r="D19" s="1">
        <v>1</v>
      </c>
      <c r="E19" s="1">
        <v>7</v>
      </c>
    </row>
    <row r="24" spans="1:5" s="4" customFormat="1" x14ac:dyDescent="0.25">
      <c r="A24" s="4" t="s">
        <v>12</v>
      </c>
    </row>
    <row r="25" spans="1:5" s="4" customFormat="1" x14ac:dyDescent="0.25">
      <c r="A25" s="4" t="s">
        <v>27</v>
      </c>
      <c r="B25" s="4" t="s">
        <v>16</v>
      </c>
    </row>
    <row r="26" spans="1:5" s="4" customFormat="1" x14ac:dyDescent="0.25">
      <c r="A26" s="4" t="s">
        <v>27</v>
      </c>
      <c r="B26" s="4" t="s">
        <v>13</v>
      </c>
    </row>
    <row r="27" spans="1:5" s="4" customFormat="1" x14ac:dyDescent="0.25">
      <c r="B27" s="4" t="s">
        <v>14</v>
      </c>
    </row>
    <row r="28" spans="1:5" s="4" customFormat="1" x14ac:dyDescent="0.25">
      <c r="B28" s="4" t="s">
        <v>25</v>
      </c>
      <c r="C28" s="4" t="s">
        <v>25</v>
      </c>
    </row>
    <row r="29" spans="1:5" s="4" customFormat="1" x14ac:dyDescent="0.25">
      <c r="B29" s="4" t="s">
        <v>26</v>
      </c>
      <c r="C29" s="4" t="s">
        <v>26</v>
      </c>
    </row>
    <row r="30" spans="1:5" s="4" customFormat="1" x14ac:dyDescent="0.25">
      <c r="B30" s="4" t="s">
        <v>17</v>
      </c>
    </row>
    <row r="31" spans="1:5" s="4" customFormat="1" x14ac:dyDescent="0.25">
      <c r="B31" s="4" t="s">
        <v>18</v>
      </c>
    </row>
    <row r="32" spans="1:5" s="4" customFormat="1" x14ac:dyDescent="0.25">
      <c r="B32" s="4" t="s">
        <v>19</v>
      </c>
    </row>
    <row r="33" spans="1:4" s="4" customFormat="1" x14ac:dyDescent="0.25">
      <c r="B33" s="4" t="s">
        <v>20</v>
      </c>
    </row>
    <row r="35" spans="1:4" x14ac:dyDescent="0.25">
      <c r="A35" s="1" t="s">
        <v>21</v>
      </c>
    </row>
    <row r="36" spans="1:4" x14ac:dyDescent="0.25">
      <c r="B36" s="1" t="s">
        <v>22</v>
      </c>
    </row>
    <row r="37" spans="1:4" x14ac:dyDescent="0.25">
      <c r="B37" s="1" t="s">
        <v>23</v>
      </c>
    </row>
    <row r="38" spans="1:4" x14ac:dyDescent="0.25">
      <c r="B38" s="1" t="s">
        <v>24</v>
      </c>
    </row>
    <row r="39" spans="1:4" x14ac:dyDescent="0.25">
      <c r="B39" s="1" t="s">
        <v>15</v>
      </c>
    </row>
    <row r="40" spans="1:4" x14ac:dyDescent="0.25">
      <c r="B40" s="1" t="s">
        <v>18</v>
      </c>
    </row>
    <row r="41" spans="1:4" x14ac:dyDescent="0.25">
      <c r="B41" s="1" t="s">
        <v>19</v>
      </c>
    </row>
    <row r="42" spans="1:4" x14ac:dyDescent="0.25">
      <c r="B42" s="1" t="s">
        <v>20</v>
      </c>
    </row>
    <row r="45" spans="1:4" x14ac:dyDescent="0.25">
      <c r="A45" s="1" t="s">
        <v>42</v>
      </c>
    </row>
    <row r="46" spans="1:4" x14ac:dyDescent="0.25">
      <c r="B46" s="1" t="s">
        <v>28</v>
      </c>
    </row>
    <row r="47" spans="1:4" x14ac:dyDescent="0.25">
      <c r="B47" s="1" t="s">
        <v>29</v>
      </c>
      <c r="D47" s="2" t="s">
        <v>38</v>
      </c>
    </row>
    <row r="48" spans="1:4" x14ac:dyDescent="0.25">
      <c r="B48" s="1" t="s">
        <v>34</v>
      </c>
      <c r="D48" s="2" t="s">
        <v>40</v>
      </c>
    </row>
    <row r="49" spans="1:4" x14ac:dyDescent="0.25">
      <c r="B49" s="1" t="s">
        <v>30</v>
      </c>
      <c r="D49" s="2" t="s">
        <v>39</v>
      </c>
    </row>
    <row r="50" spans="1:4" x14ac:dyDescent="0.25">
      <c r="B50" s="1" t="s">
        <v>35</v>
      </c>
      <c r="D50" s="1" t="s">
        <v>41</v>
      </c>
    </row>
    <row r="51" spans="1:4" x14ac:dyDescent="0.25">
      <c r="B51" s="1" t="s">
        <v>31</v>
      </c>
      <c r="D51" s="2" t="s">
        <v>48</v>
      </c>
    </row>
    <row r="52" spans="1:4" x14ac:dyDescent="0.25">
      <c r="B52" s="1" t="s">
        <v>32</v>
      </c>
    </row>
    <row r="53" spans="1:4" x14ac:dyDescent="0.25">
      <c r="B53" s="1" t="s">
        <v>36</v>
      </c>
      <c r="D53" s="1" t="s">
        <v>73</v>
      </c>
    </row>
    <row r="54" spans="1:4" x14ac:dyDescent="0.25">
      <c r="B54" s="1" t="s">
        <v>33</v>
      </c>
      <c r="D54" s="1" t="s">
        <v>43</v>
      </c>
    </row>
    <row r="55" spans="1:4" x14ac:dyDescent="0.25">
      <c r="B55" s="1" t="s">
        <v>37</v>
      </c>
    </row>
    <row r="56" spans="1:4" x14ac:dyDescent="0.25">
      <c r="B56" s="1" t="s">
        <v>20</v>
      </c>
      <c r="D56" s="1" t="s">
        <v>44</v>
      </c>
    </row>
    <row r="57" spans="1:4" x14ac:dyDescent="0.25">
      <c r="D57" s="2" t="s">
        <v>47</v>
      </c>
    </row>
    <row r="58" spans="1:4" x14ac:dyDescent="0.25">
      <c r="D58" s="2" t="s">
        <v>45</v>
      </c>
    </row>
    <row r="59" spans="1:4" x14ac:dyDescent="0.25">
      <c r="D59" s="2" t="s">
        <v>46</v>
      </c>
    </row>
    <row r="62" spans="1:4" s="3" customFormat="1" ht="15.75" x14ac:dyDescent="0.3">
      <c r="A62" s="3" t="s">
        <v>53</v>
      </c>
    </row>
    <row r="63" spans="1:4" x14ac:dyDescent="0.25">
      <c r="B63" s="1" t="s">
        <v>28</v>
      </c>
      <c r="C63" s="1" t="s">
        <v>54</v>
      </c>
    </row>
    <row r="64" spans="1:4" x14ac:dyDescent="0.25">
      <c r="B64" s="1" t="s">
        <v>55</v>
      </c>
      <c r="C64" s="1" t="s">
        <v>56</v>
      </c>
    </row>
    <row r="65" spans="2:5" x14ac:dyDescent="0.25">
      <c r="B65" s="1" t="s">
        <v>65</v>
      </c>
      <c r="C65" s="1" t="s">
        <v>54</v>
      </c>
    </row>
    <row r="66" spans="2:5" x14ac:dyDescent="0.25">
      <c r="B66" s="1" t="s">
        <v>66</v>
      </c>
      <c r="C66" s="1" t="s">
        <v>60</v>
      </c>
    </row>
    <row r="67" spans="2:5" x14ac:dyDescent="0.25">
      <c r="B67" s="1" t="s">
        <v>92</v>
      </c>
      <c r="C67" s="1" t="s">
        <v>60</v>
      </c>
    </row>
    <row r="68" spans="2:5" x14ac:dyDescent="0.25">
      <c r="B68" s="1" t="s">
        <v>58</v>
      </c>
      <c r="C68" s="1" t="s">
        <v>62</v>
      </c>
      <c r="E68" s="1" t="s">
        <v>72</v>
      </c>
    </row>
    <row r="69" spans="2:5" x14ac:dyDescent="0.25">
      <c r="B69" s="1" t="s">
        <v>57</v>
      </c>
      <c r="C69" s="1" t="s">
        <v>54</v>
      </c>
    </row>
    <row r="70" spans="2:5" x14ac:dyDescent="0.25">
      <c r="B70" s="1" t="s">
        <v>61</v>
      </c>
      <c r="C70" s="1" t="s">
        <v>54</v>
      </c>
    </row>
    <row r="71" spans="2:5" x14ac:dyDescent="0.25">
      <c r="B71" s="1" t="s">
        <v>71</v>
      </c>
      <c r="C71" s="1" t="s">
        <v>50</v>
      </c>
    </row>
    <row r="72" spans="2:5" x14ac:dyDescent="0.25">
      <c r="B72" s="1" t="s">
        <v>63</v>
      </c>
      <c r="C72" s="1" t="s">
        <v>59</v>
      </c>
    </row>
    <row r="73" spans="2:5" x14ac:dyDescent="0.25">
      <c r="B73" s="1" t="s">
        <v>67</v>
      </c>
      <c r="C73" s="1" t="s">
        <v>68</v>
      </c>
    </row>
    <row r="74" spans="2:5" x14ac:dyDescent="0.25">
      <c r="B74" s="1" t="s">
        <v>64</v>
      </c>
      <c r="C74" s="1" t="s">
        <v>59</v>
      </c>
    </row>
    <row r="75" spans="2:5" x14ac:dyDescent="0.25">
      <c r="B75" s="1" t="s">
        <v>18</v>
      </c>
      <c r="C75" s="1" t="s">
        <v>69</v>
      </c>
    </row>
    <row r="76" spans="2:5" x14ac:dyDescent="0.25">
      <c r="B76" s="1" t="s">
        <v>19</v>
      </c>
      <c r="C76" s="1" t="s">
        <v>68</v>
      </c>
    </row>
    <row r="77" spans="2:5" x14ac:dyDescent="0.25">
      <c r="B77" s="1" t="s">
        <v>20</v>
      </c>
      <c r="C77" s="1" t="s">
        <v>70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N27"/>
  <sheetViews>
    <sheetView topLeftCell="A6" workbookViewId="0">
      <selection activeCell="Q26" sqref="Q26"/>
    </sheetView>
  </sheetViews>
  <sheetFormatPr defaultRowHeight="15" x14ac:dyDescent="0.25"/>
  <sheetData>
    <row r="4" spans="2:2" x14ac:dyDescent="0.25">
      <c r="B4" t="s">
        <v>174</v>
      </c>
    </row>
    <row r="6" spans="2:2" x14ac:dyDescent="0.25">
      <c r="B6" t="s">
        <v>168</v>
      </c>
    </row>
    <row r="8" spans="2:2" x14ac:dyDescent="0.25">
      <c r="B8" t="s">
        <v>169</v>
      </c>
    </row>
    <row r="10" spans="2:2" x14ac:dyDescent="0.25">
      <c r="B10" t="s">
        <v>170</v>
      </c>
    </row>
    <row r="11" spans="2:2" x14ac:dyDescent="0.25">
      <c r="B11" t="s">
        <v>171</v>
      </c>
    </row>
    <row r="14" spans="2:2" x14ac:dyDescent="0.25">
      <c r="B14" t="s">
        <v>172</v>
      </c>
    </row>
    <row r="15" spans="2:2" x14ac:dyDescent="0.25">
      <c r="B15" t="s">
        <v>173</v>
      </c>
    </row>
    <row r="17" spans="2:14" x14ac:dyDescent="0.25">
      <c r="G17" t="s">
        <v>186</v>
      </c>
      <c r="H17" t="s">
        <v>185</v>
      </c>
    </row>
    <row r="18" spans="2:14" x14ac:dyDescent="0.25">
      <c r="B18" t="s">
        <v>175</v>
      </c>
      <c r="G18" t="s">
        <v>182</v>
      </c>
      <c r="H18" t="s">
        <v>183</v>
      </c>
    </row>
    <row r="19" spans="2:14" x14ac:dyDescent="0.25">
      <c r="B19" t="s">
        <v>176</v>
      </c>
    </row>
    <row r="21" spans="2:14" x14ac:dyDescent="0.25">
      <c r="B21" t="s">
        <v>177</v>
      </c>
      <c r="G21" t="s">
        <v>184</v>
      </c>
      <c r="N21" t="s">
        <v>211</v>
      </c>
    </row>
    <row r="22" spans="2:14" x14ac:dyDescent="0.25">
      <c r="N22" t="s">
        <v>212</v>
      </c>
    </row>
    <row r="23" spans="2:14" x14ac:dyDescent="0.25">
      <c r="B23" t="s">
        <v>178</v>
      </c>
    </row>
    <row r="24" spans="2:14" x14ac:dyDescent="0.25">
      <c r="B24" t="s">
        <v>179</v>
      </c>
    </row>
    <row r="26" spans="2:14" x14ac:dyDescent="0.25">
      <c r="B26" t="s">
        <v>180</v>
      </c>
    </row>
    <row r="27" spans="2:14" x14ac:dyDescent="0.25">
      <c r="B27" t="s">
        <v>181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D07B-78A9-474B-BC45-5EEF2A55E36C}">
  <dimension ref="E4:M15"/>
  <sheetViews>
    <sheetView workbookViewId="0">
      <selection activeCell="X6" sqref="X6"/>
    </sheetView>
  </sheetViews>
  <sheetFormatPr defaultRowHeight="15" x14ac:dyDescent="0.25"/>
  <cols>
    <col min="5" max="5" width="24.5703125" bestFit="1" customWidth="1"/>
  </cols>
  <sheetData>
    <row r="4" spans="5:13" x14ac:dyDescent="0.25">
      <c r="H4" t="s">
        <v>206</v>
      </c>
      <c r="I4">
        <v>501000</v>
      </c>
      <c r="K4" t="s">
        <v>209</v>
      </c>
      <c r="L4">
        <v>1.2</v>
      </c>
    </row>
    <row r="5" spans="5:13" x14ac:dyDescent="0.25">
      <c r="H5" t="s">
        <v>207</v>
      </c>
      <c r="I5">
        <v>150300</v>
      </c>
      <c r="K5" t="s">
        <v>208</v>
      </c>
      <c r="L5">
        <v>12</v>
      </c>
      <c r="M5">
        <f>L5*L4</f>
        <v>14.399999999999999</v>
      </c>
    </row>
    <row r="6" spans="5:13" x14ac:dyDescent="0.25">
      <c r="E6" s="27" t="s">
        <v>200</v>
      </c>
      <c r="I6">
        <f>I4-I5</f>
        <v>350700</v>
      </c>
    </row>
    <row r="7" spans="5:13" x14ac:dyDescent="0.25">
      <c r="E7" s="27" t="s">
        <v>210</v>
      </c>
      <c r="I7">
        <f>I6 + (I6 * M5 /100)</f>
        <v>401200.8</v>
      </c>
    </row>
    <row r="8" spans="5:13" x14ac:dyDescent="0.25">
      <c r="E8" s="27" t="s">
        <v>199</v>
      </c>
      <c r="I8">
        <f>I7/L5</f>
        <v>33433.4</v>
      </c>
    </row>
    <row r="9" spans="5:13" x14ac:dyDescent="0.25">
      <c r="E9" t="s">
        <v>201</v>
      </c>
      <c r="I9">
        <f>I8 + 1000</f>
        <v>34433.4</v>
      </c>
    </row>
    <row r="12" spans="5:13" x14ac:dyDescent="0.25">
      <c r="E12" t="s">
        <v>202</v>
      </c>
    </row>
    <row r="13" spans="5:13" x14ac:dyDescent="0.25">
      <c r="E13" t="s">
        <v>203</v>
      </c>
    </row>
    <row r="14" spans="5:13" x14ac:dyDescent="0.25">
      <c r="E14" t="s">
        <v>204</v>
      </c>
    </row>
    <row r="15" spans="5:13" x14ac:dyDescent="0.25">
      <c r="E15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Tables</vt:lpstr>
      <vt:lpstr>API</vt:lpstr>
      <vt:lpstr>Notes</vt:lpstr>
      <vt:lpstr>Scrap Notes</vt:lpstr>
      <vt:lpstr>Sheet1</vt:lpstr>
      <vt:lpstr>BB DP Computation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Sayson Marlon</dc:creator>
  <cp:lastModifiedBy>Michael Cuison</cp:lastModifiedBy>
  <dcterms:created xsi:type="dcterms:W3CDTF">2020-10-28T06:01:14Z</dcterms:created>
  <dcterms:modified xsi:type="dcterms:W3CDTF">2020-12-20T00:52:36Z</dcterms:modified>
</cp:coreProperties>
</file>