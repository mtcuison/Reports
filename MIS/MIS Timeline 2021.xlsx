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Guanzon\Reports\MIS\"/>
    </mc:Choice>
  </mc:AlternateContent>
  <bookViews>
    <workbookView xWindow="-120" yWindow="-120" windowWidth="29040" windowHeight="15990" activeTab="1"/>
  </bookViews>
  <sheets>
    <sheet name="Sheet1" sheetId="6" r:id="rId1"/>
    <sheet name="Sheet2" sheetId="7" r:id="rId2"/>
    <sheet name="Sheet3" sheetId="8" r:id="rId3"/>
    <sheet name="Codes" sheetId="2" r:id="rId4"/>
    <sheet name="Projects" sheetId="1" r:id="rId5"/>
    <sheet name="Final" sheetId="3" r:id="rId6"/>
    <sheet name="Desktop" sheetId="4" r:id="rId7"/>
    <sheet name="Mobile" sheetId="5" r:id="rId8"/>
  </sheets>
  <definedNames>
    <definedName name="_xlnm._FilterDatabase" localSheetId="3" hidden="1">Codes!$A$1:$C$85</definedName>
    <definedName name="_xlnm._FilterDatabase" localSheetId="5" hidden="1">Final!$A$1:$I$66</definedName>
    <definedName name="_xlnm._FilterDatabase" localSheetId="4" hidden="1">Projects!$A$1:$M$87</definedName>
    <definedName name="_xlnm._FilterDatabase" localSheetId="0" hidden="1">Sheet1!$A$2:$J$67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68" i="6" l="1"/>
  <c r="G68" i="6"/>
  <c r="H68" i="6"/>
  <c r="I68" i="6"/>
  <c r="J68" i="6"/>
  <c r="E68" i="6"/>
  <c r="E42" i="4" l="1"/>
  <c r="D42" i="4"/>
  <c r="E27" i="5"/>
  <c r="D27" i="5"/>
  <c r="N85" i="1" l="1"/>
  <c r="M85" i="1"/>
  <c r="N77" i="1"/>
  <c r="M77" i="1"/>
  <c r="N76" i="1"/>
  <c r="M76" i="1"/>
  <c r="N75" i="1"/>
  <c r="M75" i="1"/>
  <c r="N74" i="1"/>
  <c r="M74" i="1"/>
  <c r="N67" i="1"/>
  <c r="M67" i="1"/>
  <c r="N66" i="1"/>
  <c r="M66" i="1"/>
  <c r="N65" i="1"/>
  <c r="M65" i="1"/>
  <c r="N64" i="1"/>
  <c r="M64" i="1"/>
  <c r="N63" i="1"/>
  <c r="M63" i="1"/>
  <c r="N59" i="1"/>
  <c r="M59" i="1"/>
  <c r="N58" i="1"/>
  <c r="M58" i="1"/>
  <c r="N57" i="1"/>
  <c r="M57" i="1"/>
  <c r="N56" i="1"/>
  <c r="M56" i="1"/>
  <c r="N55" i="1"/>
  <c r="M55" i="1"/>
  <c r="N54" i="1"/>
  <c r="M54" i="1"/>
  <c r="N53" i="1"/>
  <c r="M53" i="1"/>
  <c r="N52" i="1"/>
  <c r="M52" i="1"/>
  <c r="N51" i="1"/>
  <c r="M51" i="1"/>
  <c r="N50" i="1"/>
  <c r="M50" i="1"/>
  <c r="N49" i="1"/>
  <c r="M49" i="1"/>
  <c r="N48" i="1"/>
  <c r="M48" i="1"/>
  <c r="N47" i="1"/>
  <c r="M47" i="1"/>
  <c r="N46" i="1"/>
  <c r="M46" i="1"/>
  <c r="N45" i="1"/>
  <c r="M45" i="1"/>
  <c r="N44" i="1"/>
  <c r="M44" i="1"/>
  <c r="N43" i="1"/>
  <c r="M43" i="1"/>
  <c r="N42" i="1"/>
  <c r="M42" i="1"/>
  <c r="N41" i="1"/>
  <c r="M41" i="1"/>
  <c r="N40" i="1"/>
  <c r="M40" i="1"/>
  <c r="N39" i="1"/>
  <c r="M39" i="1"/>
  <c r="N38" i="1"/>
  <c r="M38" i="1"/>
  <c r="N37" i="1"/>
  <c r="M37" i="1"/>
  <c r="N36" i="1"/>
  <c r="M36" i="1"/>
  <c r="N35" i="1"/>
  <c r="M35" i="1"/>
  <c r="N34" i="1"/>
  <c r="M34" i="1"/>
  <c r="N33" i="1"/>
  <c r="M33" i="1"/>
  <c r="N32" i="1"/>
  <c r="M32" i="1"/>
  <c r="N31" i="1"/>
  <c r="M31" i="1"/>
  <c r="N30" i="1"/>
  <c r="M30" i="1"/>
  <c r="N29" i="1"/>
  <c r="M29" i="1"/>
  <c r="N27" i="1"/>
  <c r="M27" i="1"/>
  <c r="N26" i="1"/>
  <c r="M26" i="1"/>
  <c r="N25" i="1"/>
  <c r="M25" i="1"/>
  <c r="N24" i="1"/>
  <c r="M24" i="1"/>
  <c r="N23" i="1"/>
  <c r="M23" i="1"/>
  <c r="N22" i="1"/>
  <c r="M22" i="1"/>
  <c r="N20" i="1"/>
  <c r="M20" i="1"/>
  <c r="N19" i="1"/>
  <c r="M19" i="1"/>
  <c r="N18" i="1"/>
  <c r="M18" i="1"/>
  <c r="N17" i="1"/>
  <c r="M17" i="1"/>
  <c r="N16" i="1"/>
  <c r="M16" i="1"/>
  <c r="N15" i="1"/>
  <c r="M15" i="1"/>
  <c r="N14" i="1"/>
  <c r="M14" i="1"/>
  <c r="N13" i="1"/>
  <c r="M13" i="1"/>
  <c r="N12" i="1"/>
  <c r="M12" i="1"/>
  <c r="N11" i="1"/>
  <c r="M11" i="1"/>
  <c r="N10" i="1"/>
  <c r="M10" i="1"/>
  <c r="N8" i="1"/>
  <c r="M8" i="1"/>
  <c r="N7" i="1"/>
  <c r="M7" i="1"/>
  <c r="N6" i="1"/>
  <c r="M6" i="1"/>
  <c r="N5" i="1"/>
  <c r="M5" i="1"/>
  <c r="N4" i="1"/>
  <c r="M4" i="1"/>
  <c r="N3" i="1"/>
  <c r="M3" i="1"/>
  <c r="N2" i="1"/>
  <c r="M2" i="1"/>
  <c r="J87" i="1"/>
  <c r="K87" i="1"/>
  <c r="L87" i="1"/>
  <c r="I87" i="1"/>
  <c r="B14" i="1"/>
  <c r="M87" i="1" l="1"/>
  <c r="M89" i="1" s="1"/>
  <c r="N87" i="1"/>
  <c r="N89" i="1" s="1"/>
</calcChain>
</file>

<file path=xl/comments1.xml><?xml version="1.0" encoding="utf-8"?>
<comments xmlns="http://schemas.openxmlformats.org/spreadsheetml/2006/main">
  <authors>
    <author>Michael Cuison</author>
  </authors>
  <commentList>
    <comment ref="H14" authorId="0" shapeId="0">
      <text>
        <r>
          <rPr>
            <b/>
            <sz val="9"/>
            <color indexed="81"/>
            <rFont val="Tahoma"/>
            <family val="2"/>
          </rPr>
          <t>Michael Cuison:</t>
        </r>
        <r>
          <rPr>
            <sz val="9"/>
            <color indexed="81"/>
            <rFont val="Tahoma"/>
            <family val="2"/>
          </rPr>
          <t xml:space="preserve">
Include all bills: PLDT/GLOBE/RENTAL.
Automatic notification 10 days before due date.</t>
        </r>
      </text>
    </comment>
  </commentList>
</comments>
</file>

<file path=xl/comments2.xml><?xml version="1.0" encoding="utf-8"?>
<comments xmlns="http://schemas.openxmlformats.org/spreadsheetml/2006/main">
  <authors>
    <author>Michael Cuison</author>
  </authors>
  <commentList>
    <comment ref="C13" authorId="0" shapeId="0">
      <text>
        <r>
          <rPr>
            <b/>
            <sz val="9"/>
            <color indexed="81"/>
            <rFont val="Tahoma"/>
            <family val="2"/>
          </rPr>
          <t>Michael Cuison:</t>
        </r>
        <r>
          <rPr>
            <sz val="9"/>
            <color indexed="81"/>
            <rFont val="Tahoma"/>
            <family val="2"/>
          </rPr>
          <t xml:space="preserve">
Include all bills: PLDT/GLOBE/RENTAL.
Automatic notification 10 days before due date.</t>
        </r>
      </text>
    </comment>
  </commentList>
</comments>
</file>

<file path=xl/comments3.xml><?xml version="1.0" encoding="utf-8"?>
<comments xmlns="http://schemas.openxmlformats.org/spreadsheetml/2006/main">
  <authors>
    <author>Michael Cuison</author>
  </authors>
  <commentList>
    <comment ref="C10" authorId="0" shapeId="0">
      <text>
        <r>
          <rPr>
            <b/>
            <sz val="9"/>
            <color indexed="81"/>
            <rFont val="Tahoma"/>
            <family val="2"/>
          </rPr>
          <t>Michael Cuison:</t>
        </r>
        <r>
          <rPr>
            <sz val="9"/>
            <color indexed="81"/>
            <rFont val="Tahoma"/>
            <family val="2"/>
          </rPr>
          <t xml:space="preserve">
Include all bills: PLDT/GLOBE/RENTAL.
Automatic notification 10 days before due date.</t>
        </r>
      </text>
    </comment>
  </commentList>
</comments>
</file>

<file path=xl/sharedStrings.xml><?xml version="1.0" encoding="utf-8"?>
<sst xmlns="http://schemas.openxmlformats.org/spreadsheetml/2006/main" count="952" uniqueCount="193">
  <si>
    <t>Type</t>
  </si>
  <si>
    <t>Project Code</t>
  </si>
  <si>
    <t>Project Name</t>
  </si>
  <si>
    <t>Priority</t>
  </si>
  <si>
    <t>Est. Days</t>
  </si>
  <si>
    <t>Android</t>
  </si>
  <si>
    <t>Customer</t>
  </si>
  <si>
    <t>Notification/Messaging</t>
  </si>
  <si>
    <t>Service Hotline</t>
  </si>
  <si>
    <t>S'Rex</t>
  </si>
  <si>
    <t>Parts/Unit Ordering - LINK TO WEBSITE</t>
  </si>
  <si>
    <t>Payment thru GCash - LINK TO WEBSITE</t>
  </si>
  <si>
    <t>S'Guan</t>
  </si>
  <si>
    <t>Pre-term Computaion</t>
  </si>
  <si>
    <t>Service Scheduling</t>
  </si>
  <si>
    <t>Online Credit Application - LINK TO WEBSITE</t>
  </si>
  <si>
    <t>Online Employment Application - LINK TO WEBSITE</t>
  </si>
  <si>
    <t>Employee</t>
  </si>
  <si>
    <t>Collection(DCP)</t>
  </si>
  <si>
    <t>General Services App</t>
  </si>
  <si>
    <t>S'Jo</t>
  </si>
  <si>
    <t>Online Credit App - Document scanning</t>
  </si>
  <si>
    <t>Online Credit App - Applicant photo capture</t>
  </si>
  <si>
    <t>Selfie Login</t>
  </si>
  <si>
    <t>Leave, OB, etc entry for managers/supervisors</t>
  </si>
  <si>
    <t>Attendance summary Notification</t>
  </si>
  <si>
    <t>Health Checklist App</t>
  </si>
  <si>
    <t>M'Carol</t>
  </si>
  <si>
    <t>Approvals</t>
  </si>
  <si>
    <t>Cash Count</t>
  </si>
  <si>
    <t>Reimbursement</t>
  </si>
  <si>
    <t>Random Stock Inventory</t>
  </si>
  <si>
    <t>Daily Branch Opening Notification</t>
  </si>
  <si>
    <t>Branch Performance Monitoring</t>
  </si>
  <si>
    <t>Desktop</t>
  </si>
  <si>
    <t>Los Pedritos Integrated Systems</t>
  </si>
  <si>
    <t>Engineering Inventory Management System</t>
  </si>
  <si>
    <t>2H MC Pricelist</t>
  </si>
  <si>
    <t>Payroll Reports</t>
  </si>
  <si>
    <t>Recurring Expenses</t>
  </si>
  <si>
    <t>MP Consignment Payment</t>
  </si>
  <si>
    <t>Advance Payment/COD Monitoring</t>
  </si>
  <si>
    <t>Integrate MC/MP Purchase Order thru General Accounting System</t>
  </si>
  <si>
    <t>201 File Update</t>
  </si>
  <si>
    <t>IOM Issuance</t>
  </si>
  <si>
    <t>Payroll Encryption System</t>
  </si>
  <si>
    <t>Random Sending of Pay Slip</t>
  </si>
  <si>
    <t>Website</t>
  </si>
  <si>
    <t>Online Credit Application</t>
  </si>
  <si>
    <t>Online Employment Application</t>
  </si>
  <si>
    <t>Incorporate DP Discount on MC Sales for installed Guanzon App</t>
  </si>
  <si>
    <t>Require OTP on releasing giveaways on MC Sales</t>
  </si>
  <si>
    <t>Text notification for Pay Slip of Monarch engineering workers</t>
  </si>
  <si>
    <t>Coordinate with mam lorane/sir jojo for 92 GPS not working(check if stator coil can be replaced)</t>
  </si>
  <si>
    <t>Purchase of OS security on company info</t>
  </si>
  <si>
    <t>Create/revise department orgaization structure</t>
  </si>
  <si>
    <t>Branch efficiency to be monitored by selling branch not collecting branch</t>
  </si>
  <si>
    <t>Full implementation of DCP</t>
  </si>
  <si>
    <t>Monitoring of approved applications pending sales</t>
  </si>
  <si>
    <t>Text notification for employee applications(Receipt of application, Rejection)</t>
  </si>
  <si>
    <t xml:space="preserve">Credit Investigation </t>
  </si>
  <si>
    <t>Payment thru Gcash</t>
  </si>
  <si>
    <t>Payslip</t>
  </si>
  <si>
    <t>360 Evaluation</t>
  </si>
  <si>
    <t>Adjust telemarketing approved credit application retreival to 3 days</t>
  </si>
  <si>
    <t>Re-train GMA office regarding MC Inventory aging at warehouses</t>
  </si>
  <si>
    <t>GMA</t>
  </si>
  <si>
    <t>Separate BNOS sales and inventory of 2H shops</t>
  </si>
  <si>
    <t>Full implementation of O-Guard</t>
  </si>
  <si>
    <t>Pre-Order Sales(Parts/Unit Ordering)</t>
  </si>
  <si>
    <t>MP Inventory Count</t>
  </si>
  <si>
    <t>Entry of Message to be auto masked</t>
  </si>
  <si>
    <t>Change Unit, Name, Address Monitoring(Reports)</t>
  </si>
  <si>
    <t>Midtier Utility Between Telecom POS and Telecom</t>
  </si>
  <si>
    <t>Midtier Utility Between IntegSys POS and IntegSys</t>
  </si>
  <si>
    <t>Management Report (Pedritos Integrated Systems)</t>
  </si>
  <si>
    <t>Midtier Utility Between Cervo and Pedritos Systems</t>
  </si>
  <si>
    <t>Integrated Replication For Multiple Database</t>
  </si>
  <si>
    <t>Integration of Telecom and IntegSys</t>
  </si>
  <si>
    <t>Utility</t>
  </si>
  <si>
    <t>Report</t>
  </si>
  <si>
    <t>Reports thru web</t>
  </si>
  <si>
    <t>Event schedules and service reminders</t>
  </si>
  <si>
    <t>Approval Code (S' Jo, S' Guan, S' Arnold)</t>
  </si>
  <si>
    <t>FSC &amp; WRC Report</t>
  </si>
  <si>
    <t>Warranty Claims Report</t>
  </si>
  <si>
    <t>IntegSys</t>
  </si>
  <si>
    <t>Activity Inquiry on Laptop</t>
  </si>
  <si>
    <t>Referral Incentive (G Card Points)</t>
  </si>
  <si>
    <t>System based Trade-in</t>
  </si>
  <si>
    <t>Text Blast Report</t>
  </si>
  <si>
    <t>RIMS</t>
  </si>
  <si>
    <t>Branch Inventory Posting (CR)</t>
  </si>
  <si>
    <t>Telecom</t>
  </si>
  <si>
    <t>MP Trade In</t>
  </si>
  <si>
    <t>TeleMktg</t>
  </si>
  <si>
    <t>Recording (BPO)</t>
  </si>
  <si>
    <t>Code</t>
  </si>
  <si>
    <t>MC Division</t>
  </si>
  <si>
    <t>MP Division</t>
  </si>
  <si>
    <t>Los Pedritos</t>
  </si>
  <si>
    <t>HCM</t>
  </si>
  <si>
    <t>Human Capital Management</t>
  </si>
  <si>
    <t>Credit Support Services</t>
  </si>
  <si>
    <t>Facility &amp; Security Management</t>
  </si>
  <si>
    <t>Supply Chain Management</t>
  </si>
  <si>
    <t>Marketing &amp; Promotions</t>
  </si>
  <si>
    <t>Management Information System</t>
  </si>
  <si>
    <t>After Sales Management</t>
  </si>
  <si>
    <t>Finance Management</t>
  </si>
  <si>
    <t>Record Depository</t>
  </si>
  <si>
    <t>Duty &amp; Requisites Services</t>
  </si>
  <si>
    <t>Pre-Owned Management</t>
  </si>
  <si>
    <t>Engineering Services</t>
  </si>
  <si>
    <t>Procurement Services</t>
  </si>
  <si>
    <t>Compliance Management</t>
  </si>
  <si>
    <t>Telemarketing Management</t>
  </si>
  <si>
    <t>Cellphone Warehouse</t>
  </si>
  <si>
    <t>AutoGroup</t>
  </si>
  <si>
    <t>Project Description</t>
  </si>
  <si>
    <t>Parent Code</t>
  </si>
  <si>
    <t>G-Card System</t>
  </si>
  <si>
    <t>Lender</t>
  </si>
  <si>
    <t>POS System</t>
  </si>
  <si>
    <t>LP IntegSys</t>
  </si>
  <si>
    <t>GMC IntegSys</t>
  </si>
  <si>
    <t>General Services</t>
  </si>
  <si>
    <t>2H MC Pricelist(Individual)</t>
  </si>
  <si>
    <t>Main Office</t>
  </si>
  <si>
    <t>Client</t>
  </si>
  <si>
    <t>LP</t>
  </si>
  <si>
    <t>FM</t>
  </si>
  <si>
    <t>ES</t>
  </si>
  <si>
    <t>2H</t>
  </si>
  <si>
    <t>MC/MP</t>
  </si>
  <si>
    <t>Android App</t>
  </si>
  <si>
    <t>Documment Scanning</t>
  </si>
  <si>
    <t>Applicant Photo Capturing</t>
  </si>
  <si>
    <t>Daily Collection Plan</t>
  </si>
  <si>
    <t>Area Head</t>
  </si>
  <si>
    <t>General Features</t>
  </si>
  <si>
    <t>General Features(Customer)</t>
  </si>
  <si>
    <t>General Features(Employee)</t>
  </si>
  <si>
    <t>2H MC Pricelist(Lot Sale)</t>
  </si>
  <si>
    <t>Request By</t>
  </si>
  <si>
    <t>Advance Payment thru GCash - LINK TO WEBSITE</t>
  </si>
  <si>
    <t>Credit Investigation</t>
  </si>
  <si>
    <t>Advance Payment thru Gcash</t>
  </si>
  <si>
    <t>Strat</t>
  </si>
  <si>
    <t>Strat-Imp</t>
  </si>
  <si>
    <t>CR Inventory for Service Vehicle</t>
  </si>
  <si>
    <t>CR Inventory for Cash Loan</t>
  </si>
  <si>
    <t>Link HCM with Online Application from Website/Android</t>
  </si>
  <si>
    <t>Deferred</t>
  </si>
  <si>
    <t>New</t>
  </si>
  <si>
    <t>Android/Desktop</t>
  </si>
  <si>
    <t>Desktop/API</t>
  </si>
  <si>
    <t>Incorporate rebate coupon for every service(Service rebate coupon)</t>
  </si>
  <si>
    <t>Desktop/Report</t>
  </si>
  <si>
    <t>Utilities</t>
  </si>
  <si>
    <t>Incorporate duration of special promo rebates on encoding MC Sales</t>
  </si>
  <si>
    <t>Desktop F</t>
  </si>
  <si>
    <t>Android F</t>
  </si>
  <si>
    <t>Mobile</t>
  </si>
  <si>
    <t>MIS Est.</t>
  </si>
  <si>
    <t>Mgmt. Est.</t>
  </si>
  <si>
    <t>MIS Timeline</t>
  </si>
  <si>
    <t>Management Timeline</t>
  </si>
  <si>
    <t>Total</t>
  </si>
  <si>
    <t>Collection (DCP)</t>
  </si>
  <si>
    <t>Sales</t>
  </si>
  <si>
    <t>Auto App</t>
  </si>
  <si>
    <t>Inventory</t>
  </si>
  <si>
    <t>Registration</t>
  </si>
  <si>
    <t>Disbursement</t>
  </si>
  <si>
    <t>AR</t>
  </si>
  <si>
    <t>Parts</t>
  </si>
  <si>
    <t>Purchsing Approval(Engrs, S' Jo, S' Guan) - 2020</t>
  </si>
  <si>
    <t>Facebook Like Promo - 2020</t>
  </si>
  <si>
    <t>Notification for Collecting &amp; Selling Branch - 2020</t>
  </si>
  <si>
    <t>Cartrade Credit Application - 2020</t>
  </si>
  <si>
    <t>Collection Effeciency Monitoring thru DCP - 2020</t>
  </si>
  <si>
    <t>Add Branch Inquiry searching in Customer Order - 2020</t>
  </si>
  <si>
    <t>Allocate Inventory for SP Customer Order - 2020</t>
  </si>
  <si>
    <t>POS like Barcode Reading - 2020</t>
  </si>
  <si>
    <t>Collection Monitoring(monitored by branch) - 2020</t>
  </si>
  <si>
    <t>Rebate Escalation - 2020</t>
  </si>
  <si>
    <t>Disbursement(Detailed) - 2020</t>
  </si>
  <si>
    <t>General Journal - 2020</t>
  </si>
  <si>
    <t>MP Purchasing via eMail</t>
  </si>
  <si>
    <t>POS - Food - 2020</t>
  </si>
  <si>
    <t>Petty Cash (Engineering) - 2020</t>
  </si>
  <si>
    <t>MP/MC Credit Application - 2020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</si>
</sst>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sz val="11"/>
      <color theme="1"/>
      <name val="Courier New"/>
      <family val="3"/>
    </font>
    <font>
      <b/>
      <sz val="11"/>
      <color theme="1"/>
      <name val="Courier New"/>
      <family val="3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rgb="FF000000"/>
      <name val="Courier New"/>
      <family val="3"/>
    </font>
    <font>
      <sz val="11"/>
      <color rgb="FFFF0000"/>
      <name val="Courier New"/>
      <family val="3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/>
      <right/>
      <top style="double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/>
    </xf>
    <xf numFmtId="0" fontId="2" fillId="0" borderId="0" xfId="0" applyFont="1" applyFill="1" applyAlignment="1">
      <alignment horizontal="center"/>
    </xf>
    <xf numFmtId="0" fontId="1" fillId="0" borderId="0" xfId="0" applyFont="1" applyFill="1"/>
    <xf numFmtId="0" fontId="5" fillId="0" borderId="0" xfId="0" applyFont="1" applyFill="1"/>
    <xf numFmtId="0" fontId="2" fillId="0" borderId="0" xfId="0" applyFont="1" applyFill="1"/>
    <xf numFmtId="0" fontId="2" fillId="2" borderId="0" xfId="0" quotePrefix="1" applyFont="1" applyFill="1" applyAlignment="1">
      <alignment horizontal="center"/>
    </xf>
    <xf numFmtId="0" fontId="2" fillId="0" borderId="1" xfId="0" applyFont="1" applyBorder="1"/>
    <xf numFmtId="0" fontId="2" fillId="0" borderId="0" xfId="0" applyFont="1"/>
    <xf numFmtId="0" fontId="2" fillId="2" borderId="2" xfId="0" applyFont="1" applyFill="1" applyBorder="1"/>
    <xf numFmtId="0" fontId="6" fillId="0" borderId="0" xfId="0" applyFont="1"/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8"/>
  <sheetViews>
    <sheetView zoomScale="70" zoomScaleNormal="70" workbookViewId="0">
      <pane ySplit="2" topLeftCell="A3" activePane="bottomLeft" state="frozen"/>
      <selection activeCell="C1" sqref="C1"/>
      <selection pane="bottomLeft" activeCell="C5" sqref="C5"/>
    </sheetView>
  </sheetViews>
  <sheetFormatPr defaultRowHeight="15" x14ac:dyDescent="0.25"/>
  <cols>
    <col min="1" max="1" width="11.5703125" style="1" bestFit="1" customWidth="1"/>
    <col min="2" max="2" width="10.28515625" style="1" bestFit="1" customWidth="1"/>
    <col min="3" max="3" width="16.85546875" style="1" bestFit="1" customWidth="1"/>
    <col min="4" max="4" width="104.85546875" style="1" bestFit="1" customWidth="1"/>
    <col min="5" max="5" width="10.28515625" style="1" bestFit="1" customWidth="1"/>
    <col min="6" max="6" width="9" style="1" bestFit="1" customWidth="1"/>
    <col min="7" max="7" width="7.7109375" style="1" bestFit="1" customWidth="1"/>
    <col min="8" max="8" width="10.28515625" style="1" bestFit="1" customWidth="1"/>
    <col min="9" max="9" width="9" style="1" bestFit="1" customWidth="1"/>
    <col min="10" max="10" width="7.7109375" style="1" bestFit="1" customWidth="1"/>
    <col min="11" max="16384" width="9.140625" style="1"/>
  </cols>
  <sheetData>
    <row r="1" spans="1:10" ht="15.75" x14ac:dyDescent="0.3">
      <c r="A1" s="13"/>
      <c r="B1" s="14"/>
      <c r="C1" s="14"/>
      <c r="D1" s="15"/>
      <c r="E1" s="12" t="s">
        <v>166</v>
      </c>
      <c r="F1" s="12"/>
      <c r="G1" s="12"/>
      <c r="H1" s="12" t="s">
        <v>167</v>
      </c>
      <c r="I1" s="12"/>
      <c r="J1" s="12"/>
    </row>
    <row r="2" spans="1:10" ht="15.75" x14ac:dyDescent="0.3">
      <c r="A2" s="10" t="s">
        <v>3</v>
      </c>
      <c r="B2" s="10" t="s">
        <v>0</v>
      </c>
      <c r="C2" s="10" t="s">
        <v>1</v>
      </c>
      <c r="D2" s="10" t="s">
        <v>2</v>
      </c>
      <c r="E2" s="10" t="s">
        <v>34</v>
      </c>
      <c r="F2" s="10" t="s">
        <v>163</v>
      </c>
      <c r="G2" s="10" t="s">
        <v>168</v>
      </c>
      <c r="H2" s="10" t="s">
        <v>34</v>
      </c>
      <c r="I2" s="10" t="s">
        <v>163</v>
      </c>
      <c r="J2" s="10" t="s">
        <v>168</v>
      </c>
    </row>
    <row r="3" spans="1:10" s="9" customFormat="1" ht="15.75" x14ac:dyDescent="0.3">
      <c r="A3" s="9">
        <v>1</v>
      </c>
      <c r="B3" s="9" t="s">
        <v>34</v>
      </c>
      <c r="C3" s="9">
        <v>70240000</v>
      </c>
      <c r="D3" s="9" t="s">
        <v>26</v>
      </c>
      <c r="E3" s="9">
        <v>8</v>
      </c>
      <c r="F3" s="9">
        <v>0</v>
      </c>
      <c r="G3" s="9">
        <v>8</v>
      </c>
      <c r="H3" s="9">
        <v>12</v>
      </c>
      <c r="I3" s="9">
        <v>0</v>
      </c>
      <c r="J3" s="9">
        <v>12</v>
      </c>
    </row>
    <row r="4" spans="1:10" s="9" customFormat="1" ht="15.75" x14ac:dyDescent="0.3">
      <c r="A4" s="9">
        <v>2</v>
      </c>
      <c r="B4" s="9" t="s">
        <v>163</v>
      </c>
      <c r="C4" s="9">
        <v>70010000</v>
      </c>
      <c r="D4" s="9" t="s">
        <v>18</v>
      </c>
      <c r="E4" s="9">
        <v>0</v>
      </c>
      <c r="F4" s="9">
        <v>20</v>
      </c>
      <c r="G4" s="9">
        <v>20</v>
      </c>
      <c r="H4" s="9">
        <v>0</v>
      </c>
      <c r="I4" s="9">
        <v>30</v>
      </c>
      <c r="J4" s="9">
        <v>30</v>
      </c>
    </row>
    <row r="5" spans="1:10" s="9" customFormat="1" ht="15.75" x14ac:dyDescent="0.3">
      <c r="A5" s="9">
        <v>3</v>
      </c>
      <c r="B5" s="9" t="s">
        <v>34</v>
      </c>
      <c r="C5" s="9">
        <v>10010000</v>
      </c>
      <c r="D5" s="9" t="s">
        <v>36</v>
      </c>
      <c r="E5" s="9">
        <v>30</v>
      </c>
      <c r="F5" s="9">
        <v>0</v>
      </c>
      <c r="G5" s="9">
        <v>30</v>
      </c>
      <c r="H5" s="9">
        <v>45</v>
      </c>
      <c r="I5" s="9">
        <v>0</v>
      </c>
      <c r="J5" s="9">
        <v>45</v>
      </c>
    </row>
    <row r="6" spans="1:10" s="9" customFormat="1" ht="15.75" x14ac:dyDescent="0.3">
      <c r="A6" s="9">
        <v>4</v>
      </c>
      <c r="B6" s="9" t="s">
        <v>34</v>
      </c>
      <c r="C6" s="9">
        <v>40010000</v>
      </c>
      <c r="D6" s="9" t="s">
        <v>35</v>
      </c>
      <c r="E6" s="9">
        <v>60</v>
      </c>
      <c r="F6" s="9">
        <v>0</v>
      </c>
      <c r="G6" s="9">
        <v>60</v>
      </c>
      <c r="H6" s="9">
        <v>90</v>
      </c>
      <c r="I6" s="9">
        <v>0</v>
      </c>
      <c r="J6" s="9">
        <v>90</v>
      </c>
    </row>
    <row r="7" spans="1:10" s="9" customFormat="1" ht="15.75" x14ac:dyDescent="0.3">
      <c r="A7" s="9">
        <v>5</v>
      </c>
      <c r="B7" s="9" t="s">
        <v>34</v>
      </c>
      <c r="C7" s="9">
        <v>20010000</v>
      </c>
      <c r="D7" s="9" t="s">
        <v>37</v>
      </c>
      <c r="E7" s="9">
        <v>15</v>
      </c>
      <c r="F7" s="9">
        <v>0</v>
      </c>
      <c r="G7" s="9">
        <v>15</v>
      </c>
      <c r="H7" s="9">
        <v>23</v>
      </c>
      <c r="I7" s="9">
        <v>0</v>
      </c>
      <c r="J7" s="9">
        <v>23</v>
      </c>
    </row>
    <row r="8" spans="1:10" x14ac:dyDescent="0.25">
      <c r="A8" s="1">
        <v>6</v>
      </c>
      <c r="B8" s="1" t="s">
        <v>34</v>
      </c>
      <c r="C8" s="1">
        <v>60010000</v>
      </c>
      <c r="D8" s="1" t="s">
        <v>48</v>
      </c>
      <c r="E8" s="1">
        <v>6</v>
      </c>
      <c r="F8" s="1">
        <v>0</v>
      </c>
      <c r="G8" s="1">
        <v>6</v>
      </c>
      <c r="H8" s="1">
        <v>6</v>
      </c>
      <c r="I8" s="1">
        <v>0</v>
      </c>
      <c r="J8" s="1">
        <v>6</v>
      </c>
    </row>
    <row r="9" spans="1:10" x14ac:dyDescent="0.25">
      <c r="A9" s="1">
        <v>7</v>
      </c>
      <c r="B9" s="1" t="s">
        <v>34</v>
      </c>
      <c r="C9" s="1">
        <v>60020000</v>
      </c>
      <c r="D9" s="1" t="s">
        <v>49</v>
      </c>
      <c r="E9" s="1">
        <v>6</v>
      </c>
      <c r="F9" s="1">
        <v>0</v>
      </c>
      <c r="G9" s="1">
        <v>6</v>
      </c>
      <c r="H9" s="1">
        <v>6</v>
      </c>
      <c r="I9" s="1">
        <v>0</v>
      </c>
      <c r="J9" s="1">
        <v>6</v>
      </c>
    </row>
    <row r="10" spans="1:10" x14ac:dyDescent="0.25">
      <c r="A10" s="1">
        <v>8</v>
      </c>
      <c r="B10" s="1" t="s">
        <v>34</v>
      </c>
      <c r="C10" s="1">
        <v>60030000</v>
      </c>
      <c r="D10" s="1" t="s">
        <v>152</v>
      </c>
      <c r="E10" s="1">
        <v>5</v>
      </c>
      <c r="F10" s="1">
        <v>0</v>
      </c>
      <c r="G10" s="1">
        <v>5</v>
      </c>
      <c r="H10" s="1">
        <v>8</v>
      </c>
      <c r="I10" s="1">
        <v>0</v>
      </c>
      <c r="J10" s="1">
        <v>8</v>
      </c>
    </row>
    <row r="11" spans="1:10" x14ac:dyDescent="0.25">
      <c r="A11" s="1">
        <v>9</v>
      </c>
      <c r="B11" s="1" t="s">
        <v>163</v>
      </c>
      <c r="C11" s="1">
        <v>70020000</v>
      </c>
      <c r="D11" s="1" t="s">
        <v>78</v>
      </c>
      <c r="E11" s="1">
        <v>0</v>
      </c>
      <c r="F11" s="1">
        <v>15</v>
      </c>
      <c r="G11" s="1">
        <v>15</v>
      </c>
      <c r="H11" s="1">
        <v>0</v>
      </c>
      <c r="I11" s="1">
        <v>23</v>
      </c>
      <c r="J11" s="1">
        <v>23</v>
      </c>
    </row>
    <row r="12" spans="1:10" x14ac:dyDescent="0.25">
      <c r="A12" s="1">
        <v>10</v>
      </c>
      <c r="B12" s="1" t="s">
        <v>163</v>
      </c>
      <c r="C12" s="1">
        <v>70030000</v>
      </c>
      <c r="D12" s="1" t="s">
        <v>146</v>
      </c>
      <c r="E12" s="1">
        <v>0</v>
      </c>
      <c r="F12" s="1">
        <v>15</v>
      </c>
      <c r="G12" s="1">
        <v>15</v>
      </c>
      <c r="H12" s="1">
        <v>0</v>
      </c>
      <c r="I12" s="1">
        <v>23</v>
      </c>
      <c r="J12" s="1">
        <v>23</v>
      </c>
    </row>
    <row r="13" spans="1:10" x14ac:dyDescent="0.25">
      <c r="A13" s="11">
        <v>11</v>
      </c>
      <c r="B13" s="11" t="s">
        <v>34</v>
      </c>
      <c r="C13" s="11">
        <v>20020000</v>
      </c>
      <c r="D13" s="11" t="s">
        <v>50</v>
      </c>
      <c r="E13" s="11">
        <v>2</v>
      </c>
      <c r="F13" s="11">
        <v>8</v>
      </c>
      <c r="G13" s="11">
        <v>10</v>
      </c>
      <c r="H13" s="11">
        <v>3</v>
      </c>
      <c r="I13" s="11">
        <v>12</v>
      </c>
      <c r="J13" s="11">
        <v>15</v>
      </c>
    </row>
    <row r="14" spans="1:10" x14ac:dyDescent="0.25">
      <c r="A14" s="1">
        <v>12</v>
      </c>
      <c r="B14" s="1" t="s">
        <v>34</v>
      </c>
      <c r="C14" s="1">
        <v>20030000</v>
      </c>
      <c r="D14" s="1" t="s">
        <v>51</v>
      </c>
      <c r="E14" s="1">
        <v>5</v>
      </c>
      <c r="F14" s="1">
        <v>0</v>
      </c>
      <c r="G14" s="1">
        <v>5</v>
      </c>
      <c r="H14" s="1">
        <v>8</v>
      </c>
      <c r="I14" s="1">
        <v>0</v>
      </c>
      <c r="J14" s="1">
        <v>8</v>
      </c>
    </row>
    <row r="15" spans="1:10" x14ac:dyDescent="0.25">
      <c r="A15" s="1">
        <v>13</v>
      </c>
      <c r="B15" s="1" t="s">
        <v>34</v>
      </c>
      <c r="C15" s="1">
        <v>10020000</v>
      </c>
      <c r="D15" s="1" t="s">
        <v>39</v>
      </c>
      <c r="E15" s="1">
        <v>8</v>
      </c>
      <c r="F15" s="1">
        <v>0</v>
      </c>
      <c r="G15" s="1">
        <v>8</v>
      </c>
      <c r="H15" s="1">
        <v>12</v>
      </c>
      <c r="I15" s="1">
        <v>0</v>
      </c>
      <c r="J15" s="1">
        <v>12</v>
      </c>
    </row>
    <row r="16" spans="1:10" x14ac:dyDescent="0.25">
      <c r="A16" s="1">
        <v>14</v>
      </c>
      <c r="B16" s="1" t="s">
        <v>34</v>
      </c>
      <c r="C16" s="1">
        <v>20040000</v>
      </c>
      <c r="D16" s="1" t="s">
        <v>157</v>
      </c>
      <c r="E16" s="1">
        <v>5</v>
      </c>
      <c r="F16" s="1">
        <v>0</v>
      </c>
      <c r="G16" s="1">
        <v>5</v>
      </c>
      <c r="H16" s="1">
        <v>8</v>
      </c>
      <c r="I16" s="1">
        <v>0</v>
      </c>
      <c r="J16" s="1">
        <v>8</v>
      </c>
    </row>
    <row r="17" spans="1:10" x14ac:dyDescent="0.25">
      <c r="A17" s="1">
        <v>15</v>
      </c>
      <c r="B17" s="1" t="s">
        <v>163</v>
      </c>
      <c r="C17" s="1">
        <v>70040000</v>
      </c>
      <c r="D17" s="1" t="s">
        <v>22</v>
      </c>
      <c r="E17" s="1">
        <v>0</v>
      </c>
      <c r="F17" s="1">
        <v>10</v>
      </c>
      <c r="G17" s="1">
        <v>10</v>
      </c>
      <c r="H17" s="1">
        <v>0</v>
      </c>
      <c r="I17" s="1">
        <v>15</v>
      </c>
      <c r="J17" s="1">
        <v>15</v>
      </c>
    </row>
    <row r="18" spans="1:10" x14ac:dyDescent="0.25">
      <c r="A18" s="1">
        <v>16</v>
      </c>
      <c r="B18" s="1" t="s">
        <v>163</v>
      </c>
      <c r="C18" s="1">
        <v>70050000</v>
      </c>
      <c r="D18" s="1" t="s">
        <v>23</v>
      </c>
      <c r="E18" s="1">
        <v>0</v>
      </c>
      <c r="F18" s="1">
        <v>8</v>
      </c>
      <c r="G18" s="1">
        <v>8</v>
      </c>
      <c r="H18" s="1">
        <v>0</v>
      </c>
      <c r="I18" s="1">
        <v>12</v>
      </c>
      <c r="J18" s="1">
        <v>12</v>
      </c>
    </row>
    <row r="19" spans="1:10" x14ac:dyDescent="0.25">
      <c r="A19" s="1">
        <v>17</v>
      </c>
      <c r="B19" s="1" t="s">
        <v>163</v>
      </c>
      <c r="C19" s="1">
        <v>70060000</v>
      </c>
      <c r="D19" s="1" t="s">
        <v>21</v>
      </c>
      <c r="E19" s="1">
        <v>0</v>
      </c>
      <c r="F19" s="1">
        <v>15</v>
      </c>
      <c r="G19" s="1">
        <v>15</v>
      </c>
      <c r="H19" s="1">
        <v>0</v>
      </c>
      <c r="I19" s="1">
        <v>23</v>
      </c>
      <c r="J19" s="1">
        <v>23</v>
      </c>
    </row>
    <row r="20" spans="1:10" x14ac:dyDescent="0.25">
      <c r="A20" s="1">
        <v>18</v>
      </c>
      <c r="B20" s="1" t="s">
        <v>34</v>
      </c>
      <c r="C20" s="1">
        <v>20050000</v>
      </c>
      <c r="D20" s="1" t="s">
        <v>56</v>
      </c>
      <c r="E20" s="1">
        <v>3</v>
      </c>
      <c r="F20" s="1">
        <v>0</v>
      </c>
      <c r="G20" s="1">
        <v>3</v>
      </c>
      <c r="H20" s="1">
        <v>5</v>
      </c>
      <c r="I20" s="1">
        <v>0</v>
      </c>
      <c r="J20" s="1">
        <v>5</v>
      </c>
    </row>
    <row r="21" spans="1:10" x14ac:dyDescent="0.25">
      <c r="A21" s="1">
        <v>19</v>
      </c>
      <c r="B21" s="1" t="s">
        <v>34</v>
      </c>
      <c r="C21" s="1">
        <v>20060000</v>
      </c>
      <c r="D21" s="4" t="s">
        <v>58</v>
      </c>
      <c r="E21" s="1">
        <v>2</v>
      </c>
      <c r="F21" s="1">
        <v>0</v>
      </c>
      <c r="G21" s="1">
        <v>2</v>
      </c>
      <c r="H21" s="1">
        <v>3</v>
      </c>
      <c r="I21" s="1">
        <v>0</v>
      </c>
      <c r="J21" s="1">
        <v>3</v>
      </c>
    </row>
    <row r="22" spans="1:10" x14ac:dyDescent="0.25">
      <c r="A22" s="1">
        <v>20</v>
      </c>
      <c r="B22" s="1" t="s">
        <v>34</v>
      </c>
      <c r="C22" s="1">
        <v>20070000</v>
      </c>
      <c r="D22" s="1" t="s">
        <v>64</v>
      </c>
      <c r="E22" s="1">
        <v>1</v>
      </c>
      <c r="F22" s="1">
        <v>0</v>
      </c>
      <c r="G22" s="1">
        <v>1</v>
      </c>
      <c r="H22" s="1">
        <v>2</v>
      </c>
      <c r="I22" s="1">
        <v>0</v>
      </c>
      <c r="J22" s="1">
        <v>2</v>
      </c>
    </row>
    <row r="23" spans="1:10" x14ac:dyDescent="0.25">
      <c r="A23" s="1">
        <v>21</v>
      </c>
      <c r="B23" s="1" t="s">
        <v>163</v>
      </c>
      <c r="C23" s="1">
        <v>70070000</v>
      </c>
      <c r="D23" s="1" t="s">
        <v>32</v>
      </c>
      <c r="E23" s="1">
        <v>0</v>
      </c>
      <c r="F23" s="1">
        <v>8</v>
      </c>
      <c r="G23" s="1">
        <v>8</v>
      </c>
      <c r="H23" s="1">
        <v>0</v>
      </c>
      <c r="I23" s="1">
        <v>12</v>
      </c>
      <c r="J23" s="1">
        <v>12</v>
      </c>
    </row>
    <row r="24" spans="1:10" x14ac:dyDescent="0.25">
      <c r="A24" s="1">
        <v>22</v>
      </c>
      <c r="B24" s="1" t="s">
        <v>34</v>
      </c>
      <c r="C24" s="1">
        <v>20080000</v>
      </c>
      <c r="D24" s="1" t="s">
        <v>160</v>
      </c>
      <c r="E24" s="1">
        <v>5</v>
      </c>
      <c r="F24" s="1">
        <v>0</v>
      </c>
      <c r="G24" s="1">
        <v>5</v>
      </c>
      <c r="H24" s="1">
        <v>8</v>
      </c>
      <c r="I24" s="1">
        <v>0</v>
      </c>
      <c r="J24" s="1">
        <v>8</v>
      </c>
    </row>
    <row r="25" spans="1:10" x14ac:dyDescent="0.25">
      <c r="A25" s="1">
        <v>23</v>
      </c>
      <c r="B25" s="1" t="s">
        <v>34</v>
      </c>
      <c r="C25" s="1">
        <v>10030000</v>
      </c>
      <c r="D25" s="1" t="s">
        <v>77</v>
      </c>
      <c r="E25" s="1">
        <v>10</v>
      </c>
      <c r="F25" s="1">
        <v>0</v>
      </c>
      <c r="G25" s="1">
        <v>10</v>
      </c>
      <c r="H25" s="1">
        <v>15</v>
      </c>
      <c r="I25" s="1">
        <v>0</v>
      </c>
      <c r="J25" s="1">
        <v>15</v>
      </c>
    </row>
    <row r="26" spans="1:10" x14ac:dyDescent="0.25">
      <c r="A26" s="1">
        <v>24</v>
      </c>
      <c r="B26" s="1" t="s">
        <v>163</v>
      </c>
      <c r="C26" s="1">
        <v>70080000</v>
      </c>
      <c r="D26" s="1" t="s">
        <v>25</v>
      </c>
      <c r="E26" s="1">
        <v>0</v>
      </c>
      <c r="F26" s="1">
        <v>10</v>
      </c>
      <c r="G26" s="1">
        <v>10</v>
      </c>
      <c r="H26" s="1">
        <v>0</v>
      </c>
      <c r="I26" s="1">
        <v>15</v>
      </c>
      <c r="J26" s="1">
        <v>15</v>
      </c>
    </row>
    <row r="27" spans="1:10" x14ac:dyDescent="0.25">
      <c r="A27" s="1">
        <v>25</v>
      </c>
      <c r="B27" s="1" t="s">
        <v>163</v>
      </c>
      <c r="C27" s="1">
        <v>70090000</v>
      </c>
      <c r="D27" s="1" t="s">
        <v>8</v>
      </c>
      <c r="E27" s="1">
        <v>0</v>
      </c>
      <c r="F27" s="1">
        <v>10</v>
      </c>
      <c r="G27" s="1">
        <v>10</v>
      </c>
      <c r="H27" s="1">
        <v>0</v>
      </c>
      <c r="I27" s="1">
        <v>15</v>
      </c>
      <c r="J27" s="1">
        <v>15</v>
      </c>
    </row>
    <row r="28" spans="1:10" x14ac:dyDescent="0.25">
      <c r="A28" s="1">
        <v>26</v>
      </c>
      <c r="B28" s="1" t="s">
        <v>163</v>
      </c>
      <c r="C28" s="1">
        <v>70100000</v>
      </c>
      <c r="D28" s="1" t="s">
        <v>33</v>
      </c>
      <c r="E28" s="1">
        <v>0</v>
      </c>
      <c r="F28" s="1">
        <v>10</v>
      </c>
      <c r="G28" s="1">
        <v>10</v>
      </c>
      <c r="H28" s="1">
        <v>0</v>
      </c>
      <c r="I28" s="1">
        <v>15</v>
      </c>
      <c r="J28" s="1">
        <v>15</v>
      </c>
    </row>
    <row r="29" spans="1:10" x14ac:dyDescent="0.25">
      <c r="A29" s="1">
        <v>27</v>
      </c>
      <c r="B29" s="1" t="s">
        <v>34</v>
      </c>
      <c r="C29" s="1">
        <v>10040000</v>
      </c>
      <c r="D29" s="1" t="s">
        <v>40</v>
      </c>
      <c r="E29" s="1">
        <v>5</v>
      </c>
      <c r="F29" s="1">
        <v>0</v>
      </c>
      <c r="G29" s="1">
        <v>5</v>
      </c>
      <c r="H29" s="1">
        <v>8</v>
      </c>
      <c r="I29" s="1">
        <v>0</v>
      </c>
      <c r="J29" s="1">
        <v>8</v>
      </c>
    </row>
    <row r="30" spans="1:10" x14ac:dyDescent="0.25">
      <c r="A30" s="1">
        <v>28</v>
      </c>
      <c r="B30" s="1" t="s">
        <v>163</v>
      </c>
      <c r="C30" s="1">
        <v>70110000</v>
      </c>
      <c r="D30" s="1" t="s">
        <v>63</v>
      </c>
      <c r="E30" s="1">
        <v>0</v>
      </c>
      <c r="F30" s="1">
        <v>15</v>
      </c>
      <c r="G30" s="1">
        <v>15</v>
      </c>
      <c r="H30" s="1">
        <v>0</v>
      </c>
      <c r="I30" s="1">
        <v>23</v>
      </c>
      <c r="J30" s="1">
        <v>23</v>
      </c>
    </row>
    <row r="31" spans="1:10" x14ac:dyDescent="0.25">
      <c r="A31" s="1">
        <v>29</v>
      </c>
      <c r="B31" s="1" t="s">
        <v>34</v>
      </c>
      <c r="C31" s="1">
        <v>10050000</v>
      </c>
      <c r="D31" s="1" t="s">
        <v>42</v>
      </c>
      <c r="E31" s="1">
        <v>8</v>
      </c>
      <c r="F31" s="1">
        <v>0</v>
      </c>
      <c r="G31" s="1">
        <v>8</v>
      </c>
      <c r="H31" s="1">
        <v>12</v>
      </c>
      <c r="I31" s="1">
        <v>0</v>
      </c>
      <c r="J31" s="1">
        <v>12</v>
      </c>
    </row>
    <row r="32" spans="1:10" x14ac:dyDescent="0.25">
      <c r="A32" s="1">
        <v>30</v>
      </c>
      <c r="B32" s="1" t="s">
        <v>34</v>
      </c>
      <c r="C32" s="1">
        <v>20090000</v>
      </c>
      <c r="D32" s="1" t="s">
        <v>67</v>
      </c>
      <c r="E32" s="1">
        <v>3</v>
      </c>
      <c r="F32" s="1">
        <v>0</v>
      </c>
      <c r="G32" s="1">
        <v>3</v>
      </c>
      <c r="H32" s="1">
        <v>5</v>
      </c>
      <c r="I32" s="1">
        <v>0</v>
      </c>
      <c r="J32" s="1">
        <v>5</v>
      </c>
    </row>
    <row r="33" spans="1:10" x14ac:dyDescent="0.25">
      <c r="A33" s="1">
        <v>31</v>
      </c>
      <c r="B33" s="1" t="s">
        <v>34</v>
      </c>
      <c r="C33" s="1">
        <v>10060000</v>
      </c>
      <c r="D33" s="1" t="s">
        <v>41</v>
      </c>
      <c r="E33" s="1">
        <v>6</v>
      </c>
      <c r="F33" s="1">
        <v>0</v>
      </c>
      <c r="G33" s="1">
        <v>6</v>
      </c>
      <c r="H33" s="1">
        <v>9</v>
      </c>
      <c r="I33" s="1">
        <v>0</v>
      </c>
      <c r="J33" s="1">
        <v>9</v>
      </c>
    </row>
    <row r="34" spans="1:10" x14ac:dyDescent="0.25">
      <c r="A34" s="1">
        <v>32</v>
      </c>
      <c r="B34" s="1" t="s">
        <v>163</v>
      </c>
      <c r="C34" s="1">
        <v>70120000</v>
      </c>
      <c r="D34" s="1" t="s">
        <v>24</v>
      </c>
      <c r="E34" s="1">
        <v>0</v>
      </c>
      <c r="F34" s="1">
        <v>20</v>
      </c>
      <c r="G34" s="1">
        <v>20</v>
      </c>
      <c r="H34" s="1">
        <v>0</v>
      </c>
      <c r="I34" s="1">
        <v>30</v>
      </c>
      <c r="J34" s="1">
        <v>30</v>
      </c>
    </row>
    <row r="35" spans="1:10" x14ac:dyDescent="0.25">
      <c r="A35" s="1">
        <v>33</v>
      </c>
      <c r="B35" s="1" t="s">
        <v>34</v>
      </c>
      <c r="C35" s="1">
        <v>10070000</v>
      </c>
      <c r="D35" s="1" t="s">
        <v>43</v>
      </c>
      <c r="E35" s="1">
        <v>3</v>
      </c>
      <c r="F35" s="1">
        <v>0</v>
      </c>
      <c r="G35" s="1">
        <v>3</v>
      </c>
      <c r="H35" s="1">
        <v>5</v>
      </c>
      <c r="I35" s="1">
        <v>0</v>
      </c>
      <c r="J35" s="1">
        <v>5</v>
      </c>
    </row>
    <row r="36" spans="1:10" x14ac:dyDescent="0.25">
      <c r="A36" s="1">
        <v>34</v>
      </c>
      <c r="B36" s="1" t="s">
        <v>163</v>
      </c>
      <c r="C36" s="1">
        <v>70130000</v>
      </c>
      <c r="D36" s="1" t="s">
        <v>62</v>
      </c>
      <c r="E36" s="1">
        <v>0</v>
      </c>
      <c r="F36" s="1">
        <v>10</v>
      </c>
      <c r="G36" s="1">
        <v>10</v>
      </c>
      <c r="H36" s="1">
        <v>0</v>
      </c>
      <c r="I36" s="1">
        <v>15</v>
      </c>
      <c r="J36" s="1">
        <v>15</v>
      </c>
    </row>
    <row r="37" spans="1:10" x14ac:dyDescent="0.25">
      <c r="A37" s="1">
        <v>35</v>
      </c>
      <c r="B37" s="1" t="s">
        <v>34</v>
      </c>
      <c r="C37" s="1">
        <v>10080000</v>
      </c>
      <c r="D37" s="1" t="s">
        <v>52</v>
      </c>
      <c r="E37" s="1">
        <v>3</v>
      </c>
      <c r="F37" s="1">
        <v>0</v>
      </c>
      <c r="G37" s="1">
        <v>3</v>
      </c>
      <c r="H37" s="1">
        <v>5</v>
      </c>
      <c r="I37" s="1">
        <v>0</v>
      </c>
      <c r="J37" s="1">
        <v>5</v>
      </c>
    </row>
    <row r="38" spans="1:10" x14ac:dyDescent="0.25">
      <c r="A38" s="1">
        <v>36</v>
      </c>
      <c r="B38" s="1" t="s">
        <v>34</v>
      </c>
      <c r="C38" s="1">
        <v>10090000</v>
      </c>
      <c r="D38" s="1" t="s">
        <v>45</v>
      </c>
      <c r="E38" s="1">
        <v>5</v>
      </c>
      <c r="F38" s="1">
        <v>0</v>
      </c>
      <c r="G38" s="1">
        <v>5</v>
      </c>
      <c r="H38" s="1">
        <v>8</v>
      </c>
      <c r="I38" s="1">
        <v>0</v>
      </c>
      <c r="J38" s="1">
        <v>8</v>
      </c>
    </row>
    <row r="39" spans="1:10" x14ac:dyDescent="0.25">
      <c r="A39" s="1">
        <v>37</v>
      </c>
      <c r="B39" s="1" t="s">
        <v>34</v>
      </c>
      <c r="C39" s="1">
        <v>10100000</v>
      </c>
      <c r="D39" s="1" t="s">
        <v>83</v>
      </c>
      <c r="E39" s="1">
        <v>6</v>
      </c>
      <c r="F39" s="1">
        <v>0</v>
      </c>
      <c r="G39" s="1">
        <v>6</v>
      </c>
      <c r="H39" s="1">
        <v>9</v>
      </c>
      <c r="I39" s="1">
        <v>0</v>
      </c>
      <c r="J39" s="1">
        <v>9</v>
      </c>
    </row>
    <row r="40" spans="1:10" x14ac:dyDescent="0.25">
      <c r="A40" s="1">
        <v>38</v>
      </c>
      <c r="B40" s="1" t="s">
        <v>34</v>
      </c>
      <c r="C40" s="1">
        <v>10110000</v>
      </c>
      <c r="D40" s="1" t="s">
        <v>46</v>
      </c>
      <c r="E40" s="1">
        <v>15</v>
      </c>
      <c r="F40" s="1">
        <v>0</v>
      </c>
      <c r="G40" s="1">
        <v>15</v>
      </c>
      <c r="H40" s="1">
        <v>23</v>
      </c>
      <c r="I40" s="1">
        <v>0</v>
      </c>
      <c r="J40" s="1">
        <v>23</v>
      </c>
    </row>
    <row r="41" spans="1:10" x14ac:dyDescent="0.25">
      <c r="A41" s="1">
        <v>39</v>
      </c>
      <c r="B41" s="1" t="s">
        <v>34</v>
      </c>
      <c r="C41" s="1">
        <v>20100000</v>
      </c>
      <c r="D41" s="1" t="s">
        <v>84</v>
      </c>
      <c r="E41" s="1">
        <v>4</v>
      </c>
      <c r="F41" s="1">
        <v>0</v>
      </c>
      <c r="G41" s="1">
        <v>4</v>
      </c>
      <c r="H41" s="1">
        <v>6</v>
      </c>
      <c r="I41" s="1">
        <v>0</v>
      </c>
      <c r="J41" s="1">
        <v>6</v>
      </c>
    </row>
    <row r="42" spans="1:10" x14ac:dyDescent="0.25">
      <c r="A42" s="1">
        <v>40</v>
      </c>
      <c r="B42" s="1" t="s">
        <v>34</v>
      </c>
      <c r="C42" s="1">
        <v>10120000</v>
      </c>
      <c r="D42" s="1" t="s">
        <v>44</v>
      </c>
      <c r="E42" s="1">
        <v>15</v>
      </c>
      <c r="F42" s="1">
        <v>0</v>
      </c>
      <c r="G42" s="1">
        <v>15</v>
      </c>
      <c r="H42" s="1">
        <v>23</v>
      </c>
      <c r="I42" s="1">
        <v>0</v>
      </c>
      <c r="J42" s="1">
        <v>23</v>
      </c>
    </row>
    <row r="43" spans="1:10" x14ac:dyDescent="0.25">
      <c r="A43" s="1">
        <v>41</v>
      </c>
      <c r="B43" s="1" t="s">
        <v>34</v>
      </c>
      <c r="C43" s="1">
        <v>20110000</v>
      </c>
      <c r="D43" s="1" t="s">
        <v>72</v>
      </c>
      <c r="E43" s="1">
        <v>3</v>
      </c>
      <c r="F43" s="1">
        <v>0</v>
      </c>
      <c r="G43" s="1">
        <v>3</v>
      </c>
      <c r="H43" s="1">
        <v>5</v>
      </c>
      <c r="I43" s="1">
        <v>0</v>
      </c>
      <c r="J43" s="1">
        <v>5</v>
      </c>
    </row>
    <row r="44" spans="1:10" x14ac:dyDescent="0.25">
      <c r="A44" s="1">
        <v>42</v>
      </c>
      <c r="B44" s="1" t="s">
        <v>34</v>
      </c>
      <c r="C44" s="1">
        <v>20120000</v>
      </c>
      <c r="D44" s="1" t="s">
        <v>85</v>
      </c>
      <c r="E44" s="1">
        <v>4</v>
      </c>
      <c r="F44" s="1">
        <v>0</v>
      </c>
      <c r="G44" s="1">
        <v>4</v>
      </c>
      <c r="H44" s="1">
        <v>6</v>
      </c>
      <c r="I44" s="1">
        <v>0</v>
      </c>
      <c r="J44" s="1">
        <v>6</v>
      </c>
    </row>
    <row r="45" spans="1:10" x14ac:dyDescent="0.25">
      <c r="A45" s="1">
        <v>43</v>
      </c>
      <c r="B45" s="1" t="s">
        <v>34</v>
      </c>
      <c r="C45" s="1">
        <v>10130000</v>
      </c>
      <c r="D45" s="1" t="s">
        <v>76</v>
      </c>
      <c r="E45" s="1">
        <v>30</v>
      </c>
      <c r="F45" s="1">
        <v>0</v>
      </c>
      <c r="G45" s="1">
        <v>30</v>
      </c>
      <c r="H45" s="1">
        <v>45</v>
      </c>
      <c r="I45" s="1">
        <v>0</v>
      </c>
      <c r="J45" s="1">
        <v>45</v>
      </c>
    </row>
    <row r="46" spans="1:10" x14ac:dyDescent="0.25">
      <c r="A46" s="1">
        <v>44</v>
      </c>
      <c r="B46" s="1" t="s">
        <v>34</v>
      </c>
      <c r="C46" s="1">
        <v>10140000</v>
      </c>
      <c r="D46" s="1" t="s">
        <v>38</v>
      </c>
      <c r="E46" s="1">
        <v>8</v>
      </c>
      <c r="F46" s="1">
        <v>0</v>
      </c>
      <c r="G46" s="1">
        <v>8</v>
      </c>
      <c r="H46" s="1">
        <v>12</v>
      </c>
      <c r="I46" s="1">
        <v>0</v>
      </c>
      <c r="J46" s="1">
        <v>12</v>
      </c>
    </row>
    <row r="47" spans="1:10" x14ac:dyDescent="0.25">
      <c r="A47" s="1">
        <v>45</v>
      </c>
      <c r="B47" s="1" t="s">
        <v>34</v>
      </c>
      <c r="C47" s="1">
        <v>10150000</v>
      </c>
      <c r="D47" s="1" t="s">
        <v>73</v>
      </c>
      <c r="E47" s="1">
        <v>20</v>
      </c>
      <c r="F47" s="1">
        <v>0</v>
      </c>
      <c r="G47" s="1">
        <v>20</v>
      </c>
      <c r="H47" s="1">
        <v>30</v>
      </c>
      <c r="I47" s="1">
        <v>0</v>
      </c>
      <c r="J47" s="1">
        <v>30</v>
      </c>
    </row>
    <row r="48" spans="1:10" x14ac:dyDescent="0.25">
      <c r="A48" s="1">
        <v>46</v>
      </c>
      <c r="B48" s="1" t="s">
        <v>34</v>
      </c>
      <c r="C48" s="1">
        <v>10160000</v>
      </c>
      <c r="D48" s="1" t="s">
        <v>74</v>
      </c>
      <c r="E48" s="1">
        <v>20</v>
      </c>
      <c r="F48" s="1">
        <v>0</v>
      </c>
      <c r="G48" s="1">
        <v>20</v>
      </c>
      <c r="H48" s="1">
        <v>30</v>
      </c>
      <c r="I48" s="1">
        <v>0</v>
      </c>
      <c r="J48" s="1">
        <v>30</v>
      </c>
    </row>
    <row r="49" spans="1:10" x14ac:dyDescent="0.25">
      <c r="A49" s="1">
        <v>47</v>
      </c>
      <c r="B49" s="1" t="s">
        <v>34</v>
      </c>
      <c r="C49" s="1">
        <v>40020000</v>
      </c>
      <c r="D49" s="1" t="s">
        <v>75</v>
      </c>
      <c r="E49" s="1">
        <v>30</v>
      </c>
      <c r="F49" s="1">
        <v>0</v>
      </c>
      <c r="G49" s="1">
        <v>30</v>
      </c>
      <c r="H49" s="1">
        <v>45</v>
      </c>
      <c r="I49" s="1">
        <v>0</v>
      </c>
      <c r="J49" s="1">
        <v>45</v>
      </c>
    </row>
    <row r="50" spans="1:10" x14ac:dyDescent="0.25">
      <c r="A50" s="1">
        <v>48</v>
      </c>
      <c r="B50" s="1" t="s">
        <v>163</v>
      </c>
      <c r="C50" s="1">
        <v>70140000</v>
      </c>
      <c r="D50" s="1" t="s">
        <v>7</v>
      </c>
      <c r="E50" s="1">
        <v>0</v>
      </c>
      <c r="F50" s="1">
        <v>15</v>
      </c>
      <c r="G50" s="1">
        <v>15</v>
      </c>
      <c r="H50" s="1">
        <v>0</v>
      </c>
      <c r="I50" s="1">
        <v>23</v>
      </c>
      <c r="J50" s="1">
        <v>23</v>
      </c>
    </row>
    <row r="51" spans="1:10" x14ac:dyDescent="0.25">
      <c r="A51" s="1">
        <v>49</v>
      </c>
      <c r="B51" s="1" t="s">
        <v>163</v>
      </c>
      <c r="C51" s="1">
        <v>70150000</v>
      </c>
      <c r="D51" s="1" t="s">
        <v>7</v>
      </c>
      <c r="E51" s="1">
        <v>0</v>
      </c>
      <c r="F51" s="1">
        <v>10</v>
      </c>
      <c r="G51" s="1">
        <v>10</v>
      </c>
      <c r="H51" s="1">
        <v>0</v>
      </c>
      <c r="I51" s="1">
        <v>15</v>
      </c>
      <c r="J51" s="1">
        <v>15</v>
      </c>
    </row>
    <row r="52" spans="1:10" x14ac:dyDescent="0.25">
      <c r="A52" s="1">
        <v>50</v>
      </c>
      <c r="B52" s="1" t="s">
        <v>34</v>
      </c>
      <c r="C52" s="1">
        <v>60040000</v>
      </c>
      <c r="D52" s="1" t="s">
        <v>147</v>
      </c>
      <c r="E52" s="1">
        <v>10</v>
      </c>
      <c r="F52" s="1">
        <v>0</v>
      </c>
      <c r="G52" s="1">
        <v>10</v>
      </c>
      <c r="H52" s="1">
        <v>10</v>
      </c>
      <c r="I52" s="1">
        <v>0</v>
      </c>
      <c r="J52" s="1">
        <v>10</v>
      </c>
    </row>
    <row r="53" spans="1:10" x14ac:dyDescent="0.25">
      <c r="A53" s="1">
        <v>51</v>
      </c>
      <c r="B53" s="1" t="s">
        <v>163</v>
      </c>
      <c r="C53" s="1">
        <v>70160000</v>
      </c>
      <c r="D53" s="1" t="s">
        <v>145</v>
      </c>
      <c r="E53" s="1">
        <v>0</v>
      </c>
      <c r="F53" s="1">
        <v>10</v>
      </c>
      <c r="G53" s="1">
        <v>10</v>
      </c>
      <c r="H53" s="1">
        <v>0</v>
      </c>
      <c r="I53" s="1">
        <v>15</v>
      </c>
      <c r="J53" s="1">
        <v>15</v>
      </c>
    </row>
    <row r="54" spans="1:10" x14ac:dyDescent="0.25">
      <c r="A54" s="1">
        <v>52</v>
      </c>
      <c r="B54" s="1" t="s">
        <v>163</v>
      </c>
      <c r="C54" s="1">
        <v>70170000</v>
      </c>
      <c r="D54" s="1" t="s">
        <v>13</v>
      </c>
      <c r="E54" s="1">
        <v>0</v>
      </c>
      <c r="F54" s="1">
        <v>8</v>
      </c>
      <c r="G54" s="1">
        <v>8</v>
      </c>
      <c r="H54" s="1">
        <v>0</v>
      </c>
      <c r="I54" s="1">
        <v>12</v>
      </c>
      <c r="J54" s="1">
        <v>12</v>
      </c>
    </row>
    <row r="55" spans="1:10" x14ac:dyDescent="0.25">
      <c r="A55" s="1">
        <v>53</v>
      </c>
      <c r="B55" s="1" t="s">
        <v>34</v>
      </c>
      <c r="C55" s="1">
        <v>60050000</v>
      </c>
      <c r="D55" s="1" t="s">
        <v>69</v>
      </c>
      <c r="E55" s="1">
        <v>10</v>
      </c>
      <c r="F55" s="1">
        <v>0</v>
      </c>
      <c r="G55" s="1">
        <v>10</v>
      </c>
      <c r="H55" s="1">
        <v>10</v>
      </c>
      <c r="I55" s="1">
        <v>0</v>
      </c>
      <c r="J55" s="1">
        <v>10</v>
      </c>
    </row>
    <row r="56" spans="1:10" x14ac:dyDescent="0.25">
      <c r="A56" s="1">
        <v>54</v>
      </c>
      <c r="B56" s="1" t="s">
        <v>163</v>
      </c>
      <c r="C56" s="1">
        <v>70180000</v>
      </c>
      <c r="D56" s="1" t="s">
        <v>10</v>
      </c>
      <c r="E56" s="1">
        <v>0</v>
      </c>
      <c r="F56" s="1">
        <v>10</v>
      </c>
      <c r="G56" s="1">
        <v>10</v>
      </c>
      <c r="H56" s="1">
        <v>0</v>
      </c>
      <c r="I56" s="1">
        <v>15</v>
      </c>
      <c r="J56" s="1">
        <v>15</v>
      </c>
    </row>
    <row r="57" spans="1:10" x14ac:dyDescent="0.25">
      <c r="A57" s="1">
        <v>55</v>
      </c>
      <c r="B57" s="1" t="s">
        <v>163</v>
      </c>
      <c r="C57" s="1">
        <v>70190000</v>
      </c>
      <c r="D57" s="1" t="s">
        <v>14</v>
      </c>
      <c r="E57" s="1">
        <v>0</v>
      </c>
      <c r="F57" s="1">
        <v>10</v>
      </c>
      <c r="G57" s="1">
        <v>10</v>
      </c>
      <c r="H57" s="1">
        <v>0</v>
      </c>
      <c r="I57" s="1">
        <v>15</v>
      </c>
      <c r="J57" s="1">
        <v>15</v>
      </c>
    </row>
    <row r="58" spans="1:10" x14ac:dyDescent="0.25">
      <c r="A58" s="1">
        <v>56</v>
      </c>
      <c r="B58" s="1" t="s">
        <v>163</v>
      </c>
      <c r="C58" s="1">
        <v>70200000</v>
      </c>
      <c r="D58" s="1" t="s">
        <v>29</v>
      </c>
      <c r="E58" s="1">
        <v>0</v>
      </c>
      <c r="F58" s="1">
        <v>15</v>
      </c>
      <c r="G58" s="1">
        <v>15</v>
      </c>
      <c r="H58" s="1">
        <v>0</v>
      </c>
      <c r="I58" s="1">
        <v>23</v>
      </c>
      <c r="J58" s="1">
        <v>23</v>
      </c>
    </row>
    <row r="59" spans="1:10" x14ac:dyDescent="0.25">
      <c r="A59" s="1">
        <v>57</v>
      </c>
      <c r="B59" s="1" t="s">
        <v>163</v>
      </c>
      <c r="C59" s="1">
        <v>70210000</v>
      </c>
      <c r="D59" s="1" t="s">
        <v>28</v>
      </c>
      <c r="E59" s="1">
        <v>0</v>
      </c>
      <c r="F59" s="1">
        <v>8</v>
      </c>
      <c r="G59" s="1">
        <v>8</v>
      </c>
      <c r="H59" s="1">
        <v>0</v>
      </c>
      <c r="I59" s="1">
        <v>12</v>
      </c>
      <c r="J59" s="1">
        <v>12</v>
      </c>
    </row>
    <row r="60" spans="1:10" x14ac:dyDescent="0.25">
      <c r="A60" s="1">
        <v>58</v>
      </c>
      <c r="B60" s="1" t="s">
        <v>163</v>
      </c>
      <c r="C60" s="1">
        <v>70220000</v>
      </c>
      <c r="D60" s="1" t="s">
        <v>30</v>
      </c>
      <c r="E60" s="1">
        <v>0</v>
      </c>
      <c r="F60" s="1">
        <v>10</v>
      </c>
      <c r="G60" s="1">
        <v>10</v>
      </c>
      <c r="H60" s="1">
        <v>0</v>
      </c>
      <c r="I60" s="1">
        <v>15</v>
      </c>
      <c r="J60" s="1">
        <v>15</v>
      </c>
    </row>
    <row r="61" spans="1:10" x14ac:dyDescent="0.25">
      <c r="A61" s="1">
        <v>59</v>
      </c>
      <c r="B61" s="1" t="s">
        <v>163</v>
      </c>
      <c r="C61" s="1">
        <v>70230000</v>
      </c>
      <c r="D61" s="1" t="s">
        <v>31</v>
      </c>
      <c r="E61" s="1">
        <v>0</v>
      </c>
      <c r="F61" s="1">
        <v>10</v>
      </c>
      <c r="G61" s="1">
        <v>10</v>
      </c>
      <c r="H61" s="1">
        <v>0</v>
      </c>
      <c r="I61" s="1">
        <v>15</v>
      </c>
      <c r="J61" s="1">
        <v>15</v>
      </c>
    </row>
    <row r="62" spans="1:10" x14ac:dyDescent="0.25">
      <c r="A62" s="1">
        <v>60</v>
      </c>
      <c r="B62" s="1" t="s">
        <v>163</v>
      </c>
      <c r="C62" s="1">
        <v>60060000</v>
      </c>
      <c r="D62" s="1" t="s">
        <v>15</v>
      </c>
      <c r="E62" s="1">
        <v>0</v>
      </c>
      <c r="F62" s="1">
        <v>10</v>
      </c>
      <c r="G62" s="1">
        <v>10</v>
      </c>
      <c r="H62" s="1">
        <v>0</v>
      </c>
      <c r="I62" s="1">
        <v>15</v>
      </c>
      <c r="J62" s="1">
        <v>15</v>
      </c>
    </row>
    <row r="63" spans="1:10" x14ac:dyDescent="0.25">
      <c r="A63" s="1">
        <v>61</v>
      </c>
      <c r="B63" s="1" t="s">
        <v>163</v>
      </c>
      <c r="C63" s="1">
        <v>60070000</v>
      </c>
      <c r="D63" s="1" t="s">
        <v>16</v>
      </c>
      <c r="E63" s="1">
        <v>0</v>
      </c>
      <c r="F63" s="1">
        <v>10</v>
      </c>
      <c r="G63" s="1">
        <v>10</v>
      </c>
      <c r="H63" s="1">
        <v>0</v>
      </c>
      <c r="I63" s="1">
        <v>15</v>
      </c>
      <c r="J63" s="1">
        <v>15</v>
      </c>
    </row>
    <row r="64" spans="1:10" x14ac:dyDescent="0.25">
      <c r="A64" s="1">
        <v>97</v>
      </c>
      <c r="B64" s="1" t="s">
        <v>34</v>
      </c>
      <c r="C64" s="1">
        <v>60080000</v>
      </c>
      <c r="D64" s="1" t="s">
        <v>82</v>
      </c>
      <c r="E64" s="1">
        <v>45</v>
      </c>
      <c r="F64" s="1">
        <v>0</v>
      </c>
      <c r="G64" s="1">
        <v>45</v>
      </c>
      <c r="H64" s="1">
        <v>45</v>
      </c>
      <c r="I64" s="1">
        <v>0</v>
      </c>
      <c r="J64" s="1">
        <v>45</v>
      </c>
    </row>
    <row r="65" spans="1:10" x14ac:dyDescent="0.25">
      <c r="A65" s="1">
        <v>98</v>
      </c>
      <c r="B65" s="1" t="s">
        <v>34</v>
      </c>
      <c r="C65" s="1">
        <v>10170000</v>
      </c>
      <c r="D65" s="1" t="s">
        <v>59</v>
      </c>
      <c r="E65" s="1">
        <v>3</v>
      </c>
      <c r="F65" s="1">
        <v>0</v>
      </c>
      <c r="G65" s="1">
        <v>3</v>
      </c>
      <c r="H65" s="1">
        <v>5</v>
      </c>
      <c r="I65" s="1">
        <v>0</v>
      </c>
      <c r="J65" s="1">
        <v>5</v>
      </c>
    </row>
    <row r="66" spans="1:10" x14ac:dyDescent="0.25">
      <c r="A66" s="1">
        <v>100</v>
      </c>
      <c r="B66" s="1" t="s">
        <v>34</v>
      </c>
      <c r="C66" s="1">
        <v>10180000</v>
      </c>
      <c r="D66" s="1" t="s">
        <v>19</v>
      </c>
      <c r="E66" s="1">
        <v>15</v>
      </c>
      <c r="F66" s="1">
        <v>0</v>
      </c>
      <c r="G66" s="1">
        <v>15</v>
      </c>
      <c r="H66" s="1">
        <v>23</v>
      </c>
      <c r="I66" s="1">
        <v>0</v>
      </c>
      <c r="J66" s="1">
        <v>23</v>
      </c>
    </row>
    <row r="67" spans="1:10" x14ac:dyDescent="0.25">
      <c r="A67" s="1">
        <v>100</v>
      </c>
      <c r="B67" s="1" t="s">
        <v>163</v>
      </c>
      <c r="C67" s="1">
        <v>70250000</v>
      </c>
      <c r="D67" s="1" t="s">
        <v>19</v>
      </c>
      <c r="E67" s="1">
        <v>0</v>
      </c>
      <c r="F67" s="1">
        <v>40</v>
      </c>
      <c r="G67" s="1">
        <v>40</v>
      </c>
      <c r="H67" s="1">
        <v>0</v>
      </c>
      <c r="I67" s="1">
        <v>60</v>
      </c>
      <c r="J67" s="1">
        <v>60</v>
      </c>
    </row>
    <row r="68" spans="1:10" ht="15.75" x14ac:dyDescent="0.3">
      <c r="E68" s="9">
        <f>SUM(E4:E67)</f>
        <v>434</v>
      </c>
      <c r="F68" s="9">
        <f t="shared" ref="F68:J68" si="0">SUM(F4:F67)</f>
        <v>340</v>
      </c>
      <c r="G68" s="9">
        <f t="shared" si="0"/>
        <v>774</v>
      </c>
      <c r="H68" s="9">
        <f t="shared" si="0"/>
        <v>621</v>
      </c>
      <c r="I68" s="9">
        <f t="shared" si="0"/>
        <v>513</v>
      </c>
      <c r="J68" s="9">
        <f t="shared" si="0"/>
        <v>1134</v>
      </c>
    </row>
  </sheetData>
  <sortState ref="A3:J67">
    <sortCondition ref="A3:A67"/>
  </sortState>
  <mergeCells count="3">
    <mergeCell ref="H1:J1"/>
    <mergeCell ref="E1:G1"/>
    <mergeCell ref="A1:D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9"/>
  <sheetViews>
    <sheetView tabSelected="1" topLeftCell="A28" workbookViewId="0">
      <selection activeCell="F43" sqref="F43"/>
    </sheetView>
  </sheetViews>
  <sheetFormatPr defaultRowHeight="15" x14ac:dyDescent="0.25"/>
  <cols>
    <col min="1" max="1" width="16.85546875" style="1" bestFit="1" customWidth="1"/>
    <col min="2" max="2" width="98.140625" style="1" bestFit="1" customWidth="1"/>
    <col min="3" max="3" width="15.5703125" style="1" bestFit="1" customWidth="1"/>
    <col min="4" max="16384" width="9.140625" style="1"/>
  </cols>
  <sheetData>
    <row r="1" spans="1:3" ht="15.75" x14ac:dyDescent="0.3">
      <c r="A1" s="2" t="s">
        <v>1</v>
      </c>
      <c r="B1" s="2" t="s">
        <v>119</v>
      </c>
      <c r="C1" s="2" t="s">
        <v>120</v>
      </c>
    </row>
    <row r="2" spans="1:3" ht="15.75" x14ac:dyDescent="0.3">
      <c r="A2" s="9">
        <v>10000000</v>
      </c>
      <c r="B2" s="9" t="s">
        <v>128</v>
      </c>
      <c r="C2" s="9"/>
    </row>
    <row r="3" spans="1:3" x14ac:dyDescent="0.25">
      <c r="A3" s="1">
        <v>10010000</v>
      </c>
      <c r="B3" s="1" t="s">
        <v>36</v>
      </c>
      <c r="C3" s="1">
        <v>10000000</v>
      </c>
    </row>
    <row r="4" spans="1:3" x14ac:dyDescent="0.25">
      <c r="A4" s="1">
        <v>10020000</v>
      </c>
      <c r="B4" s="1" t="s">
        <v>39</v>
      </c>
      <c r="C4" s="1">
        <v>10000000</v>
      </c>
    </row>
    <row r="5" spans="1:3" x14ac:dyDescent="0.25">
      <c r="A5" s="1">
        <v>10030000</v>
      </c>
      <c r="B5" s="1" t="s">
        <v>77</v>
      </c>
      <c r="C5" s="1">
        <v>10000000</v>
      </c>
    </row>
    <row r="6" spans="1:3" x14ac:dyDescent="0.25">
      <c r="A6" s="1">
        <v>10040000</v>
      </c>
      <c r="B6" s="1" t="s">
        <v>40</v>
      </c>
      <c r="C6" s="1">
        <v>10000000</v>
      </c>
    </row>
    <row r="7" spans="1:3" x14ac:dyDescent="0.25">
      <c r="A7" s="1">
        <v>10050000</v>
      </c>
      <c r="B7" s="1" t="s">
        <v>42</v>
      </c>
      <c r="C7" s="1">
        <v>10000000</v>
      </c>
    </row>
    <row r="8" spans="1:3" x14ac:dyDescent="0.25">
      <c r="A8" s="1">
        <v>10060000</v>
      </c>
      <c r="B8" s="1" t="s">
        <v>41</v>
      </c>
      <c r="C8" s="1">
        <v>10000000</v>
      </c>
    </row>
    <row r="9" spans="1:3" x14ac:dyDescent="0.25">
      <c r="A9" s="1">
        <v>10070000</v>
      </c>
      <c r="B9" s="1" t="s">
        <v>43</v>
      </c>
      <c r="C9" s="1">
        <v>10000000</v>
      </c>
    </row>
    <row r="10" spans="1:3" x14ac:dyDescent="0.25">
      <c r="A10" s="1">
        <v>10080000</v>
      </c>
      <c r="B10" s="1" t="s">
        <v>52</v>
      </c>
      <c r="C10" s="1">
        <v>10000000</v>
      </c>
    </row>
    <row r="11" spans="1:3" x14ac:dyDescent="0.25">
      <c r="A11" s="1">
        <v>10090000</v>
      </c>
      <c r="B11" s="1" t="s">
        <v>45</v>
      </c>
      <c r="C11" s="1">
        <v>10000000</v>
      </c>
    </row>
    <row r="12" spans="1:3" x14ac:dyDescent="0.25">
      <c r="A12" s="1">
        <v>10100000</v>
      </c>
      <c r="B12" s="1" t="s">
        <v>83</v>
      </c>
      <c r="C12" s="1">
        <v>10000000</v>
      </c>
    </row>
    <row r="13" spans="1:3" x14ac:dyDescent="0.25">
      <c r="A13" s="1">
        <v>10110000</v>
      </c>
      <c r="B13" s="1" t="s">
        <v>46</v>
      </c>
      <c r="C13" s="1">
        <v>10000000</v>
      </c>
    </row>
    <row r="14" spans="1:3" x14ac:dyDescent="0.25">
      <c r="A14" s="1">
        <v>10120000</v>
      </c>
      <c r="B14" s="1" t="s">
        <v>44</v>
      </c>
      <c r="C14" s="1">
        <v>10000000</v>
      </c>
    </row>
    <row r="15" spans="1:3" x14ac:dyDescent="0.25">
      <c r="A15" s="1">
        <v>10130000</v>
      </c>
      <c r="B15" s="1" t="s">
        <v>76</v>
      </c>
      <c r="C15" s="1">
        <v>10000000</v>
      </c>
    </row>
    <row r="16" spans="1:3" x14ac:dyDescent="0.25">
      <c r="A16" s="1">
        <v>10140000</v>
      </c>
      <c r="B16" s="1" t="s">
        <v>38</v>
      </c>
      <c r="C16" s="1">
        <v>10000000</v>
      </c>
    </row>
    <row r="17" spans="1:3" x14ac:dyDescent="0.25">
      <c r="A17" s="1">
        <v>10150000</v>
      </c>
      <c r="B17" s="1" t="s">
        <v>73</v>
      </c>
      <c r="C17" s="1">
        <v>10000000</v>
      </c>
    </row>
    <row r="18" spans="1:3" x14ac:dyDescent="0.25">
      <c r="A18" s="1">
        <v>10160000</v>
      </c>
      <c r="B18" s="1" t="s">
        <v>74</v>
      </c>
      <c r="C18" s="1">
        <v>10000000</v>
      </c>
    </row>
    <row r="19" spans="1:3" x14ac:dyDescent="0.25">
      <c r="A19" s="1">
        <v>10170000</v>
      </c>
      <c r="B19" s="1" t="s">
        <v>59</v>
      </c>
      <c r="C19" s="1">
        <v>10000000</v>
      </c>
    </row>
    <row r="20" spans="1:3" x14ac:dyDescent="0.25">
      <c r="A20" s="1">
        <v>10180000</v>
      </c>
      <c r="B20" s="1" t="s">
        <v>19</v>
      </c>
      <c r="C20" s="1">
        <v>10000000</v>
      </c>
    </row>
    <row r="21" spans="1:3" x14ac:dyDescent="0.25">
      <c r="A21" s="11">
        <v>10190000</v>
      </c>
      <c r="B21" s="11" t="s">
        <v>177</v>
      </c>
      <c r="C21" s="11">
        <v>10000000</v>
      </c>
    </row>
    <row r="22" spans="1:3" x14ac:dyDescent="0.25">
      <c r="A22" s="11">
        <v>10200000</v>
      </c>
      <c r="B22" s="11" t="s">
        <v>178</v>
      </c>
      <c r="C22" s="11">
        <v>10000000</v>
      </c>
    </row>
    <row r="23" spans="1:3" x14ac:dyDescent="0.25">
      <c r="A23" s="11">
        <v>10210000</v>
      </c>
      <c r="B23" s="11" t="s">
        <v>187</v>
      </c>
      <c r="C23" s="11">
        <v>10000000</v>
      </c>
    </row>
    <row r="24" spans="1:3" x14ac:dyDescent="0.25">
      <c r="A24" s="11">
        <v>10220000</v>
      </c>
      <c r="B24" s="11" t="s">
        <v>188</v>
      </c>
      <c r="C24" s="11">
        <v>10000000</v>
      </c>
    </row>
    <row r="25" spans="1:3" x14ac:dyDescent="0.25">
      <c r="A25" s="11">
        <v>10230000</v>
      </c>
      <c r="B25" s="11" t="s">
        <v>191</v>
      </c>
      <c r="C25" s="11">
        <v>10000000</v>
      </c>
    </row>
    <row r="26" spans="1:3" x14ac:dyDescent="0.25">
      <c r="A26" s="11">
        <v>10240000</v>
      </c>
      <c r="B26" s="11" t="s">
        <v>192</v>
      </c>
      <c r="C26" s="11">
        <v>10000000</v>
      </c>
    </row>
    <row r="27" spans="1:3" ht="15.75" x14ac:dyDescent="0.3">
      <c r="A27" s="9">
        <v>20000000</v>
      </c>
      <c r="B27" s="9" t="s">
        <v>98</v>
      </c>
      <c r="C27" s="9"/>
    </row>
    <row r="28" spans="1:3" x14ac:dyDescent="0.25">
      <c r="A28" s="1">
        <v>20010000</v>
      </c>
      <c r="B28" s="1" t="s">
        <v>37</v>
      </c>
      <c r="C28" s="1">
        <v>20000000</v>
      </c>
    </row>
    <row r="29" spans="1:3" x14ac:dyDescent="0.25">
      <c r="A29" s="1">
        <v>20020000</v>
      </c>
      <c r="B29" s="1" t="s">
        <v>50</v>
      </c>
      <c r="C29" s="1">
        <v>20000000</v>
      </c>
    </row>
    <row r="30" spans="1:3" x14ac:dyDescent="0.25">
      <c r="A30" s="1">
        <v>20030000</v>
      </c>
      <c r="B30" s="1" t="s">
        <v>51</v>
      </c>
      <c r="C30" s="1">
        <v>20000000</v>
      </c>
    </row>
    <row r="31" spans="1:3" x14ac:dyDescent="0.25">
      <c r="A31" s="1">
        <v>20040000</v>
      </c>
      <c r="B31" s="1" t="s">
        <v>157</v>
      </c>
      <c r="C31" s="1">
        <v>20000000</v>
      </c>
    </row>
    <row r="32" spans="1:3" x14ac:dyDescent="0.25">
      <c r="A32" s="1">
        <v>20050000</v>
      </c>
      <c r="B32" s="1" t="s">
        <v>56</v>
      </c>
      <c r="C32" s="1">
        <v>20000000</v>
      </c>
    </row>
    <row r="33" spans="1:3" x14ac:dyDescent="0.25">
      <c r="A33" s="1">
        <v>20060000</v>
      </c>
      <c r="B33" s="1" t="s">
        <v>58</v>
      </c>
      <c r="C33" s="1">
        <v>20000000</v>
      </c>
    </row>
    <row r="34" spans="1:3" x14ac:dyDescent="0.25">
      <c r="A34" s="1">
        <v>20070000</v>
      </c>
      <c r="B34" s="1" t="s">
        <v>64</v>
      </c>
      <c r="C34" s="1">
        <v>20000000</v>
      </c>
    </row>
    <row r="35" spans="1:3" x14ac:dyDescent="0.25">
      <c r="A35" s="1">
        <v>20080000</v>
      </c>
      <c r="B35" s="1" t="s">
        <v>160</v>
      </c>
      <c r="C35" s="1">
        <v>20000000</v>
      </c>
    </row>
    <row r="36" spans="1:3" x14ac:dyDescent="0.25">
      <c r="A36" s="1">
        <v>20090000</v>
      </c>
      <c r="B36" s="1" t="s">
        <v>67</v>
      </c>
      <c r="C36" s="1">
        <v>20000000</v>
      </c>
    </row>
    <row r="37" spans="1:3" x14ac:dyDescent="0.25">
      <c r="A37" s="1">
        <v>20100000</v>
      </c>
      <c r="B37" s="1" t="s">
        <v>84</v>
      </c>
      <c r="C37" s="1">
        <v>20000000</v>
      </c>
    </row>
    <row r="38" spans="1:3" x14ac:dyDescent="0.25">
      <c r="A38" s="1">
        <v>20110000</v>
      </c>
      <c r="B38" s="1" t="s">
        <v>72</v>
      </c>
      <c r="C38" s="1">
        <v>20000000</v>
      </c>
    </row>
    <row r="39" spans="1:3" x14ac:dyDescent="0.25">
      <c r="A39" s="1">
        <v>20120000</v>
      </c>
      <c r="B39" s="1" t="s">
        <v>85</v>
      </c>
      <c r="C39" s="1">
        <v>20000000</v>
      </c>
    </row>
    <row r="40" spans="1:3" x14ac:dyDescent="0.25">
      <c r="A40" s="11">
        <v>20130000</v>
      </c>
      <c r="B40" s="11" t="s">
        <v>179</v>
      </c>
      <c r="C40" s="11">
        <v>20000000</v>
      </c>
    </row>
    <row r="41" spans="1:3" x14ac:dyDescent="0.25">
      <c r="A41" s="11">
        <v>20140000</v>
      </c>
      <c r="B41" s="11" t="s">
        <v>181</v>
      </c>
      <c r="C41" s="11">
        <v>20000000</v>
      </c>
    </row>
    <row r="42" spans="1:3" x14ac:dyDescent="0.25">
      <c r="A42" s="11">
        <v>20150000</v>
      </c>
      <c r="B42" s="11" t="s">
        <v>182</v>
      </c>
      <c r="C42" s="11">
        <v>20000000</v>
      </c>
    </row>
    <row r="43" spans="1:3" x14ac:dyDescent="0.25">
      <c r="A43" s="11">
        <v>20160000</v>
      </c>
      <c r="B43" s="11" t="s">
        <v>183</v>
      </c>
      <c r="C43" s="11">
        <v>20000000</v>
      </c>
    </row>
    <row r="44" spans="1:3" x14ac:dyDescent="0.25">
      <c r="A44" s="11">
        <v>20170000</v>
      </c>
      <c r="B44" s="11" t="s">
        <v>184</v>
      </c>
      <c r="C44" s="11">
        <v>20000000</v>
      </c>
    </row>
    <row r="45" spans="1:3" x14ac:dyDescent="0.25">
      <c r="A45" s="11">
        <v>20180000</v>
      </c>
      <c r="B45" s="11" t="s">
        <v>185</v>
      </c>
      <c r="C45" s="11">
        <v>20000000</v>
      </c>
    </row>
    <row r="46" spans="1:3" x14ac:dyDescent="0.25">
      <c r="A46" s="11">
        <v>20190000</v>
      </c>
      <c r="B46" s="11" t="s">
        <v>186</v>
      </c>
      <c r="C46" s="11">
        <v>20000000</v>
      </c>
    </row>
    <row r="47" spans="1:3" ht="15.75" x14ac:dyDescent="0.3">
      <c r="A47" s="9">
        <v>30000000</v>
      </c>
      <c r="B47" s="9" t="s">
        <v>99</v>
      </c>
      <c r="C47" s="9"/>
    </row>
    <row r="48" spans="1:3" x14ac:dyDescent="0.25">
      <c r="A48" s="1">
        <v>30010000</v>
      </c>
      <c r="B48" s="1" t="s">
        <v>189</v>
      </c>
      <c r="C48" s="1">
        <v>30000000</v>
      </c>
    </row>
    <row r="49" spans="1:3" ht="15.75" x14ac:dyDescent="0.3">
      <c r="A49" s="9">
        <v>40000000</v>
      </c>
      <c r="B49" s="9" t="s">
        <v>100</v>
      </c>
      <c r="C49" s="9"/>
    </row>
    <row r="50" spans="1:3" x14ac:dyDescent="0.25">
      <c r="A50" s="1">
        <v>40010000</v>
      </c>
      <c r="B50" s="1" t="s">
        <v>35</v>
      </c>
      <c r="C50" s="1">
        <v>40000000</v>
      </c>
    </row>
    <row r="51" spans="1:3" x14ac:dyDescent="0.25">
      <c r="A51" s="1">
        <v>40020000</v>
      </c>
      <c r="B51" s="1" t="s">
        <v>75</v>
      </c>
      <c r="C51" s="1">
        <v>40000000</v>
      </c>
    </row>
    <row r="52" spans="1:3" x14ac:dyDescent="0.25">
      <c r="A52" s="11">
        <v>40030000</v>
      </c>
      <c r="B52" s="11" t="s">
        <v>190</v>
      </c>
      <c r="C52" s="11">
        <v>40000000</v>
      </c>
    </row>
    <row r="53" spans="1:3" ht="15.75" x14ac:dyDescent="0.3">
      <c r="A53" s="9">
        <v>50000000</v>
      </c>
      <c r="B53" s="9" t="s">
        <v>118</v>
      </c>
      <c r="C53" s="9"/>
    </row>
    <row r="54" spans="1:3" x14ac:dyDescent="0.25">
      <c r="A54" s="11">
        <v>50010000</v>
      </c>
      <c r="B54" s="11" t="s">
        <v>180</v>
      </c>
      <c r="C54" s="11">
        <v>50000000</v>
      </c>
    </row>
    <row r="55" spans="1:3" ht="15.75" x14ac:dyDescent="0.3">
      <c r="A55" s="9">
        <v>60000000</v>
      </c>
      <c r="B55" s="9" t="s">
        <v>47</v>
      </c>
      <c r="C55" s="9"/>
    </row>
    <row r="56" spans="1:3" x14ac:dyDescent="0.25">
      <c r="A56" s="1">
        <v>60010000</v>
      </c>
      <c r="B56" s="1" t="s">
        <v>48</v>
      </c>
      <c r="C56" s="1">
        <v>60000000</v>
      </c>
    </row>
    <row r="57" spans="1:3" x14ac:dyDescent="0.25">
      <c r="A57" s="1">
        <v>60020000</v>
      </c>
      <c r="B57" s="1" t="s">
        <v>49</v>
      </c>
      <c r="C57" s="1">
        <v>60000000</v>
      </c>
    </row>
    <row r="58" spans="1:3" x14ac:dyDescent="0.25">
      <c r="A58" s="1">
        <v>60030000</v>
      </c>
      <c r="B58" s="1" t="s">
        <v>152</v>
      </c>
      <c r="C58" s="1">
        <v>60000000</v>
      </c>
    </row>
    <row r="59" spans="1:3" x14ac:dyDescent="0.25">
      <c r="A59" s="1">
        <v>60040000</v>
      </c>
      <c r="B59" s="1" t="s">
        <v>147</v>
      </c>
      <c r="C59" s="1">
        <v>60000000</v>
      </c>
    </row>
    <row r="60" spans="1:3" x14ac:dyDescent="0.25">
      <c r="A60" s="1">
        <v>60050000</v>
      </c>
      <c r="B60" s="1" t="s">
        <v>69</v>
      </c>
      <c r="C60" s="1">
        <v>60000000</v>
      </c>
    </row>
    <row r="61" spans="1:3" x14ac:dyDescent="0.25">
      <c r="A61" s="1">
        <v>60060000</v>
      </c>
      <c r="B61" s="1" t="s">
        <v>15</v>
      </c>
      <c r="C61" s="1">
        <v>60000000</v>
      </c>
    </row>
    <row r="62" spans="1:3" x14ac:dyDescent="0.25">
      <c r="A62" s="1">
        <v>60070000</v>
      </c>
      <c r="B62" s="1" t="s">
        <v>16</v>
      </c>
      <c r="C62" s="1">
        <v>60000000</v>
      </c>
    </row>
    <row r="63" spans="1:3" x14ac:dyDescent="0.25">
      <c r="A63" s="1">
        <v>60080000</v>
      </c>
      <c r="B63" s="1" t="s">
        <v>82</v>
      </c>
      <c r="C63" s="1">
        <v>60000000</v>
      </c>
    </row>
    <row r="64" spans="1:3" ht="15.75" x14ac:dyDescent="0.3">
      <c r="A64" s="9">
        <v>70000000</v>
      </c>
      <c r="B64" s="9" t="s">
        <v>135</v>
      </c>
      <c r="C64" s="9"/>
    </row>
    <row r="65" spans="1:3" x14ac:dyDescent="0.25">
      <c r="A65" s="1">
        <v>70010000</v>
      </c>
      <c r="B65" s="1" t="s">
        <v>169</v>
      </c>
      <c r="C65" s="1">
        <v>70000000</v>
      </c>
    </row>
    <row r="66" spans="1:3" x14ac:dyDescent="0.25">
      <c r="A66" s="1">
        <v>70020000</v>
      </c>
      <c r="B66" s="1" t="s">
        <v>78</v>
      </c>
      <c r="C66" s="1">
        <v>70000000</v>
      </c>
    </row>
    <row r="67" spans="1:3" x14ac:dyDescent="0.25">
      <c r="A67" s="1">
        <v>70030000</v>
      </c>
      <c r="B67" s="1" t="s">
        <v>146</v>
      </c>
      <c r="C67" s="1">
        <v>70000000</v>
      </c>
    </row>
    <row r="68" spans="1:3" x14ac:dyDescent="0.25">
      <c r="A68" s="1">
        <v>70040000</v>
      </c>
      <c r="B68" s="1" t="s">
        <v>22</v>
      </c>
      <c r="C68" s="1">
        <v>70000000</v>
      </c>
    </row>
    <row r="69" spans="1:3" x14ac:dyDescent="0.25">
      <c r="A69" s="1">
        <v>70050000</v>
      </c>
      <c r="B69" s="1" t="s">
        <v>23</v>
      </c>
      <c r="C69" s="1">
        <v>70000000</v>
      </c>
    </row>
    <row r="70" spans="1:3" x14ac:dyDescent="0.25">
      <c r="A70" s="1">
        <v>70060000</v>
      </c>
      <c r="B70" s="1" t="s">
        <v>21</v>
      </c>
      <c r="C70" s="1">
        <v>70000000</v>
      </c>
    </row>
    <row r="71" spans="1:3" x14ac:dyDescent="0.25">
      <c r="A71" s="1">
        <v>70070000</v>
      </c>
      <c r="B71" s="1" t="s">
        <v>32</v>
      </c>
      <c r="C71" s="1">
        <v>70000000</v>
      </c>
    </row>
    <row r="72" spans="1:3" x14ac:dyDescent="0.25">
      <c r="A72" s="1">
        <v>70080000</v>
      </c>
      <c r="B72" s="1" t="s">
        <v>25</v>
      </c>
      <c r="C72" s="1">
        <v>70000000</v>
      </c>
    </row>
    <row r="73" spans="1:3" x14ac:dyDescent="0.25">
      <c r="A73" s="1">
        <v>70090000</v>
      </c>
      <c r="B73" s="1" t="s">
        <v>8</v>
      </c>
      <c r="C73" s="1">
        <v>70000000</v>
      </c>
    </row>
    <row r="74" spans="1:3" x14ac:dyDescent="0.25">
      <c r="A74" s="1">
        <v>70100000</v>
      </c>
      <c r="B74" s="1" t="s">
        <v>33</v>
      </c>
      <c r="C74" s="1">
        <v>70000000</v>
      </c>
    </row>
    <row r="75" spans="1:3" x14ac:dyDescent="0.25">
      <c r="A75" s="1">
        <v>70110000</v>
      </c>
      <c r="B75" s="1" t="s">
        <v>63</v>
      </c>
      <c r="C75" s="1">
        <v>70000000</v>
      </c>
    </row>
    <row r="76" spans="1:3" x14ac:dyDescent="0.25">
      <c r="A76" s="1">
        <v>70120000</v>
      </c>
      <c r="B76" s="1" t="s">
        <v>24</v>
      </c>
      <c r="C76" s="1">
        <v>70000000</v>
      </c>
    </row>
    <row r="77" spans="1:3" x14ac:dyDescent="0.25">
      <c r="A77" s="1">
        <v>70130000</v>
      </c>
      <c r="B77" s="1" t="s">
        <v>62</v>
      </c>
      <c r="C77" s="1">
        <v>70000000</v>
      </c>
    </row>
    <row r="78" spans="1:3" x14ac:dyDescent="0.25">
      <c r="A78" s="1">
        <v>70140000</v>
      </c>
      <c r="B78" s="1" t="s">
        <v>7</v>
      </c>
      <c r="C78" s="1">
        <v>70000000</v>
      </c>
    </row>
    <row r="79" spans="1:3" x14ac:dyDescent="0.25">
      <c r="A79" s="1">
        <v>70150000</v>
      </c>
      <c r="B79" s="1" t="s">
        <v>7</v>
      </c>
      <c r="C79" s="1">
        <v>70000000</v>
      </c>
    </row>
    <row r="80" spans="1:3" x14ac:dyDescent="0.25">
      <c r="A80" s="1">
        <v>70160000</v>
      </c>
      <c r="B80" s="1" t="s">
        <v>145</v>
      </c>
      <c r="C80" s="1">
        <v>70000000</v>
      </c>
    </row>
    <row r="81" spans="1:3" x14ac:dyDescent="0.25">
      <c r="A81" s="1">
        <v>70170000</v>
      </c>
      <c r="B81" s="1" t="s">
        <v>13</v>
      </c>
      <c r="C81" s="1">
        <v>70000000</v>
      </c>
    </row>
    <row r="82" spans="1:3" x14ac:dyDescent="0.25">
      <c r="A82" s="1">
        <v>70180000</v>
      </c>
      <c r="B82" s="1" t="s">
        <v>10</v>
      </c>
      <c r="C82" s="1">
        <v>70000000</v>
      </c>
    </row>
    <row r="83" spans="1:3" x14ac:dyDescent="0.25">
      <c r="A83" s="1">
        <v>70190000</v>
      </c>
      <c r="B83" s="1" t="s">
        <v>14</v>
      </c>
      <c r="C83" s="1">
        <v>70000000</v>
      </c>
    </row>
    <row r="84" spans="1:3" x14ac:dyDescent="0.25">
      <c r="A84" s="1">
        <v>70200000</v>
      </c>
      <c r="B84" s="1" t="s">
        <v>29</v>
      </c>
      <c r="C84" s="1">
        <v>70000000</v>
      </c>
    </row>
    <row r="85" spans="1:3" x14ac:dyDescent="0.25">
      <c r="A85" s="1">
        <v>70210000</v>
      </c>
      <c r="B85" s="1" t="s">
        <v>28</v>
      </c>
      <c r="C85" s="1">
        <v>70000000</v>
      </c>
    </row>
    <row r="86" spans="1:3" x14ac:dyDescent="0.25">
      <c r="A86" s="1">
        <v>70220000</v>
      </c>
      <c r="B86" s="1" t="s">
        <v>30</v>
      </c>
      <c r="C86" s="1">
        <v>70000000</v>
      </c>
    </row>
    <row r="87" spans="1:3" x14ac:dyDescent="0.25">
      <c r="A87" s="1">
        <v>70230000</v>
      </c>
      <c r="B87" s="1" t="s">
        <v>31</v>
      </c>
      <c r="C87" s="1">
        <v>70000000</v>
      </c>
    </row>
    <row r="88" spans="1:3" x14ac:dyDescent="0.25">
      <c r="A88" s="1">
        <v>70240000</v>
      </c>
      <c r="B88" s="1" t="s">
        <v>26</v>
      </c>
      <c r="C88" s="1">
        <v>70000000</v>
      </c>
    </row>
    <row r="89" spans="1:3" x14ac:dyDescent="0.25">
      <c r="A89" s="1">
        <v>70250000</v>
      </c>
      <c r="B89" s="1" t="s">
        <v>19</v>
      </c>
      <c r="C89" s="1">
        <v>70000000</v>
      </c>
    </row>
  </sheetData>
  <sortState ref="A2:C75">
    <sortCondition ref="A2:A75"/>
  </sortState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>
      <selection activeCell="L14" sqref="L14"/>
    </sheetView>
  </sheetViews>
  <sheetFormatPr defaultColWidth="4.5703125" defaultRowHeight="15" x14ac:dyDescent="0.25"/>
  <cols>
    <col min="1" max="16384" width="4.5703125" style="1"/>
  </cols>
  <sheetData>
    <row r="1" spans="1:2" ht="15.75" x14ac:dyDescent="0.3">
      <c r="A1" s="9" t="s">
        <v>171</v>
      </c>
    </row>
    <row r="2" spans="1:2" x14ac:dyDescent="0.25">
      <c r="B2" s="1" t="s">
        <v>172</v>
      </c>
    </row>
    <row r="3" spans="1:2" x14ac:dyDescent="0.25">
      <c r="B3" s="1" t="s">
        <v>170</v>
      </c>
    </row>
    <row r="4" spans="1:2" x14ac:dyDescent="0.25">
      <c r="B4" s="1" t="s">
        <v>173</v>
      </c>
    </row>
    <row r="5" spans="1:2" x14ac:dyDescent="0.25">
      <c r="B5" s="1" t="s">
        <v>174</v>
      </c>
    </row>
    <row r="6" spans="1:2" x14ac:dyDescent="0.25">
      <c r="B6" s="1" t="s">
        <v>175</v>
      </c>
    </row>
    <row r="7" spans="1:2" x14ac:dyDescent="0.25">
      <c r="B7" s="1" t="s">
        <v>176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5"/>
  <sheetViews>
    <sheetView topLeftCell="A4" workbookViewId="0">
      <selection activeCell="E10" sqref="E10"/>
    </sheetView>
  </sheetViews>
  <sheetFormatPr defaultRowHeight="15" x14ac:dyDescent="0.25"/>
  <cols>
    <col min="1" max="1" width="16.85546875" style="1" bestFit="1" customWidth="1"/>
    <col min="2" max="2" width="82.140625" style="1" bestFit="1" customWidth="1"/>
    <col min="3" max="3" width="15.5703125" style="1" bestFit="1" customWidth="1"/>
    <col min="4" max="16384" width="9.140625" style="1"/>
  </cols>
  <sheetData>
    <row r="1" spans="1:3" ht="15.75" x14ac:dyDescent="0.3">
      <c r="A1" s="2" t="s">
        <v>1</v>
      </c>
      <c r="B1" s="2" t="s">
        <v>119</v>
      </c>
      <c r="C1" s="2" t="s">
        <v>120</v>
      </c>
    </row>
    <row r="2" spans="1:3" ht="15.75" x14ac:dyDescent="0.3">
      <c r="A2" s="9">
        <v>10000000</v>
      </c>
      <c r="B2" s="9" t="s">
        <v>128</v>
      </c>
      <c r="C2" s="9"/>
    </row>
    <row r="3" spans="1:3" x14ac:dyDescent="0.25">
      <c r="A3" s="1">
        <v>10100000</v>
      </c>
      <c r="B3" s="1" t="s">
        <v>102</v>
      </c>
      <c r="C3" s="1">
        <v>10000000</v>
      </c>
    </row>
    <row r="4" spans="1:3" x14ac:dyDescent="0.25">
      <c r="A4" s="1">
        <v>10101000</v>
      </c>
      <c r="B4" s="1" t="s">
        <v>43</v>
      </c>
      <c r="C4" s="1">
        <v>10100000</v>
      </c>
    </row>
    <row r="5" spans="1:3" x14ac:dyDescent="0.25">
      <c r="A5" s="1">
        <v>10102000</v>
      </c>
      <c r="B5" s="1" t="s">
        <v>44</v>
      </c>
      <c r="C5" s="1">
        <v>10100000</v>
      </c>
    </row>
    <row r="6" spans="1:3" x14ac:dyDescent="0.25">
      <c r="A6" s="1">
        <v>10103000</v>
      </c>
      <c r="B6" s="1" t="s">
        <v>45</v>
      </c>
      <c r="C6" s="1">
        <v>10100000</v>
      </c>
    </row>
    <row r="7" spans="1:3" x14ac:dyDescent="0.25">
      <c r="A7" s="1">
        <v>10104000</v>
      </c>
      <c r="B7" s="1" t="s">
        <v>46</v>
      </c>
      <c r="C7" s="1">
        <v>10100000</v>
      </c>
    </row>
    <row r="8" spans="1:3" x14ac:dyDescent="0.25">
      <c r="A8" s="1">
        <v>10200000</v>
      </c>
      <c r="B8" s="1" t="s">
        <v>103</v>
      </c>
      <c r="C8" s="1">
        <v>10000000</v>
      </c>
    </row>
    <row r="9" spans="1:3" x14ac:dyDescent="0.25">
      <c r="A9" s="1">
        <v>10300000</v>
      </c>
      <c r="B9" s="1" t="s">
        <v>104</v>
      </c>
      <c r="C9" s="1">
        <v>10000000</v>
      </c>
    </row>
    <row r="10" spans="1:3" x14ac:dyDescent="0.25">
      <c r="A10" s="1">
        <v>10400000</v>
      </c>
      <c r="B10" s="1" t="s">
        <v>105</v>
      </c>
      <c r="C10" s="1">
        <v>10000000</v>
      </c>
    </row>
    <row r="11" spans="1:3" x14ac:dyDescent="0.25">
      <c r="A11" s="1">
        <v>10500000</v>
      </c>
      <c r="B11" s="1" t="s">
        <v>106</v>
      </c>
      <c r="C11" s="1">
        <v>10000000</v>
      </c>
    </row>
    <row r="12" spans="1:3" x14ac:dyDescent="0.25">
      <c r="A12" s="1">
        <v>10600000</v>
      </c>
      <c r="B12" s="1" t="s">
        <v>107</v>
      </c>
      <c r="C12" s="1">
        <v>10000000</v>
      </c>
    </row>
    <row r="13" spans="1:3" x14ac:dyDescent="0.25">
      <c r="A13" s="1">
        <v>10700000</v>
      </c>
      <c r="B13" s="1" t="s">
        <v>108</v>
      </c>
      <c r="C13" s="1">
        <v>10000000</v>
      </c>
    </row>
    <row r="14" spans="1:3" x14ac:dyDescent="0.25">
      <c r="A14" s="1">
        <v>10800000</v>
      </c>
      <c r="B14" s="1" t="s">
        <v>109</v>
      </c>
      <c r="C14" s="1">
        <v>10000000</v>
      </c>
    </row>
    <row r="15" spans="1:3" x14ac:dyDescent="0.25">
      <c r="A15" s="1">
        <v>10801000</v>
      </c>
      <c r="B15" s="1" t="s">
        <v>126</v>
      </c>
      <c r="C15" s="1">
        <v>10800000</v>
      </c>
    </row>
    <row r="16" spans="1:3" x14ac:dyDescent="0.25">
      <c r="A16" s="1">
        <v>10801000</v>
      </c>
      <c r="B16" s="1" t="s">
        <v>39</v>
      </c>
      <c r="C16" s="1">
        <v>10800000</v>
      </c>
    </row>
    <row r="17" spans="1:3" x14ac:dyDescent="0.25">
      <c r="A17" s="1">
        <v>10802000</v>
      </c>
      <c r="B17" s="1" t="s">
        <v>38</v>
      </c>
      <c r="C17" s="1">
        <v>10800000</v>
      </c>
    </row>
    <row r="18" spans="1:3" x14ac:dyDescent="0.25">
      <c r="A18" s="1">
        <v>10803000</v>
      </c>
      <c r="B18" s="1" t="s">
        <v>40</v>
      </c>
      <c r="C18" s="1">
        <v>10800000</v>
      </c>
    </row>
    <row r="19" spans="1:3" x14ac:dyDescent="0.25">
      <c r="A19" s="1">
        <v>10804000</v>
      </c>
      <c r="B19" s="1" t="s">
        <v>41</v>
      </c>
      <c r="C19" s="1">
        <v>10800000</v>
      </c>
    </row>
    <row r="20" spans="1:3" x14ac:dyDescent="0.25">
      <c r="A20" s="1">
        <v>10805000</v>
      </c>
      <c r="B20" s="1" t="s">
        <v>42</v>
      </c>
      <c r="C20" s="1">
        <v>10800000</v>
      </c>
    </row>
    <row r="21" spans="1:3" x14ac:dyDescent="0.25">
      <c r="A21" s="1">
        <v>10900000</v>
      </c>
      <c r="B21" s="1" t="s">
        <v>110</v>
      </c>
      <c r="C21" s="1">
        <v>10000000</v>
      </c>
    </row>
    <row r="22" spans="1:3" x14ac:dyDescent="0.25">
      <c r="A22" s="1">
        <v>11000000</v>
      </c>
      <c r="B22" s="1" t="s">
        <v>111</v>
      </c>
      <c r="C22" s="1">
        <v>10000000</v>
      </c>
    </row>
    <row r="23" spans="1:3" x14ac:dyDescent="0.25">
      <c r="A23" s="1">
        <v>11100000</v>
      </c>
      <c r="B23" s="1" t="s">
        <v>112</v>
      </c>
      <c r="C23" s="1">
        <v>10000000</v>
      </c>
    </row>
    <row r="24" spans="1:3" x14ac:dyDescent="0.25">
      <c r="A24" s="1">
        <v>11102000</v>
      </c>
      <c r="B24" s="1" t="s">
        <v>127</v>
      </c>
      <c r="C24" s="1">
        <v>11100000</v>
      </c>
    </row>
    <row r="25" spans="1:3" x14ac:dyDescent="0.25">
      <c r="A25" s="1">
        <v>11103000</v>
      </c>
      <c r="B25" s="1" t="s">
        <v>143</v>
      </c>
      <c r="C25" s="1">
        <v>11100000</v>
      </c>
    </row>
    <row r="26" spans="1:3" x14ac:dyDescent="0.25">
      <c r="A26" s="1">
        <v>11200000</v>
      </c>
      <c r="B26" s="1" t="s">
        <v>113</v>
      </c>
      <c r="C26" s="1">
        <v>10000000</v>
      </c>
    </row>
    <row r="27" spans="1:3" x14ac:dyDescent="0.25">
      <c r="A27" s="1">
        <v>11201000</v>
      </c>
      <c r="B27" s="1" t="s">
        <v>36</v>
      </c>
      <c r="C27" s="1">
        <v>11200000</v>
      </c>
    </row>
    <row r="28" spans="1:3" x14ac:dyDescent="0.25">
      <c r="A28" s="1">
        <v>11300000</v>
      </c>
      <c r="B28" s="1" t="s">
        <v>114</v>
      </c>
      <c r="C28" s="1">
        <v>10000000</v>
      </c>
    </row>
    <row r="29" spans="1:3" x14ac:dyDescent="0.25">
      <c r="A29" s="1">
        <v>11400000</v>
      </c>
      <c r="B29" s="1" t="s">
        <v>115</v>
      </c>
      <c r="C29" s="1">
        <v>10000000</v>
      </c>
    </row>
    <row r="30" spans="1:3" x14ac:dyDescent="0.25">
      <c r="A30" s="1">
        <v>11500000</v>
      </c>
      <c r="B30" s="1" t="s">
        <v>116</v>
      </c>
      <c r="C30" s="1">
        <v>10000000</v>
      </c>
    </row>
    <row r="31" spans="1:3" x14ac:dyDescent="0.25">
      <c r="A31" s="1">
        <v>11600000</v>
      </c>
      <c r="B31" s="1" t="s">
        <v>117</v>
      </c>
      <c r="C31" s="1">
        <v>10000000</v>
      </c>
    </row>
    <row r="32" spans="1:3" ht="15.75" x14ac:dyDescent="0.3">
      <c r="A32" s="9">
        <v>20000000</v>
      </c>
      <c r="B32" s="9" t="s">
        <v>98</v>
      </c>
      <c r="C32" s="9"/>
    </row>
    <row r="33" spans="1:3" x14ac:dyDescent="0.25">
      <c r="A33" s="1">
        <v>20100000</v>
      </c>
      <c r="B33" s="1" t="s">
        <v>125</v>
      </c>
      <c r="C33" s="1">
        <v>20000000</v>
      </c>
    </row>
    <row r="34" spans="1:3" x14ac:dyDescent="0.25">
      <c r="A34" s="1">
        <v>20200000</v>
      </c>
      <c r="B34" s="1" t="s">
        <v>121</v>
      </c>
      <c r="C34" s="1">
        <v>20000000</v>
      </c>
    </row>
    <row r="35" spans="1:3" x14ac:dyDescent="0.25">
      <c r="A35" s="1">
        <v>20300000</v>
      </c>
      <c r="B35" s="1" t="s">
        <v>122</v>
      </c>
      <c r="C35" s="1">
        <v>20000000</v>
      </c>
    </row>
    <row r="36" spans="1:3" ht="15.75" x14ac:dyDescent="0.3">
      <c r="A36" s="9">
        <v>30000000</v>
      </c>
      <c r="B36" s="9" t="s">
        <v>99</v>
      </c>
      <c r="C36" s="9"/>
    </row>
    <row r="37" spans="1:3" x14ac:dyDescent="0.25">
      <c r="A37" s="1">
        <v>30100000</v>
      </c>
      <c r="B37" s="1" t="s">
        <v>93</v>
      </c>
      <c r="C37" s="1">
        <v>30000000</v>
      </c>
    </row>
    <row r="38" spans="1:3" x14ac:dyDescent="0.25">
      <c r="A38" s="1">
        <v>30200000</v>
      </c>
      <c r="B38" s="1" t="s">
        <v>122</v>
      </c>
      <c r="C38" s="1">
        <v>30000000</v>
      </c>
    </row>
    <row r="39" spans="1:3" ht="15.75" x14ac:dyDescent="0.3">
      <c r="A39" s="9">
        <v>40000000</v>
      </c>
      <c r="B39" s="9" t="s">
        <v>100</v>
      </c>
      <c r="C39" s="9"/>
    </row>
    <row r="40" spans="1:3" x14ac:dyDescent="0.25">
      <c r="A40" s="1">
        <v>40100000</v>
      </c>
      <c r="B40" s="1" t="s">
        <v>123</v>
      </c>
      <c r="C40" s="1">
        <v>40000000</v>
      </c>
    </row>
    <row r="41" spans="1:3" x14ac:dyDescent="0.25">
      <c r="A41" s="1">
        <v>40100000</v>
      </c>
      <c r="B41" s="1" t="s">
        <v>124</v>
      </c>
      <c r="C41" s="1">
        <v>40000000</v>
      </c>
    </row>
    <row r="42" spans="1:3" ht="15.75" x14ac:dyDescent="0.3">
      <c r="A42" s="9">
        <v>50000000</v>
      </c>
      <c r="B42" s="9" t="s">
        <v>118</v>
      </c>
      <c r="C42" s="9"/>
    </row>
    <row r="43" spans="1:3" ht="15.75" x14ac:dyDescent="0.3">
      <c r="A43" s="9">
        <v>60000000</v>
      </c>
      <c r="B43" s="9" t="s">
        <v>47</v>
      </c>
      <c r="C43" s="9"/>
    </row>
    <row r="44" spans="1:3" ht="15.75" x14ac:dyDescent="0.3">
      <c r="A44" s="9">
        <v>60101000</v>
      </c>
      <c r="B44" s="9" t="s">
        <v>140</v>
      </c>
      <c r="C44" s="9"/>
    </row>
    <row r="45" spans="1:3" x14ac:dyDescent="0.25">
      <c r="A45" s="1">
        <v>60101000</v>
      </c>
      <c r="B45" s="1" t="s">
        <v>69</v>
      </c>
      <c r="C45" s="1">
        <v>60000000</v>
      </c>
    </row>
    <row r="46" spans="1:3" x14ac:dyDescent="0.25">
      <c r="A46" s="1">
        <v>60102000</v>
      </c>
      <c r="B46" s="1" t="s">
        <v>48</v>
      </c>
      <c r="C46" s="1">
        <v>60000000</v>
      </c>
    </row>
    <row r="47" spans="1:3" x14ac:dyDescent="0.25">
      <c r="A47" s="1">
        <v>60103000</v>
      </c>
      <c r="B47" s="1" t="s">
        <v>49</v>
      </c>
      <c r="C47" s="1">
        <v>60000000</v>
      </c>
    </row>
    <row r="48" spans="1:3" x14ac:dyDescent="0.25">
      <c r="A48" s="1">
        <v>60104000</v>
      </c>
      <c r="B48" s="1" t="s">
        <v>61</v>
      </c>
      <c r="C48" s="1">
        <v>60000000</v>
      </c>
    </row>
    <row r="49" spans="1:3" ht="15.75" x14ac:dyDescent="0.3">
      <c r="A49" s="9">
        <v>70000000</v>
      </c>
      <c r="B49" s="9" t="s">
        <v>135</v>
      </c>
      <c r="C49" s="9"/>
    </row>
    <row r="50" spans="1:3" x14ac:dyDescent="0.25">
      <c r="A50" s="1">
        <v>70100000</v>
      </c>
      <c r="B50" s="1" t="s">
        <v>103</v>
      </c>
      <c r="C50" s="1">
        <v>70000000</v>
      </c>
    </row>
    <row r="51" spans="1:3" x14ac:dyDescent="0.25">
      <c r="A51" s="1">
        <v>70101000</v>
      </c>
      <c r="B51" s="1" t="s">
        <v>48</v>
      </c>
      <c r="C51" s="1">
        <v>70100000</v>
      </c>
    </row>
    <row r="52" spans="1:3" x14ac:dyDescent="0.25">
      <c r="A52" s="1">
        <v>70101001</v>
      </c>
      <c r="B52" s="1" t="s">
        <v>136</v>
      </c>
      <c r="C52" s="1">
        <v>70101000</v>
      </c>
    </row>
    <row r="53" spans="1:3" x14ac:dyDescent="0.25">
      <c r="A53" s="1">
        <v>70101002</v>
      </c>
      <c r="B53" s="1" t="s">
        <v>137</v>
      </c>
      <c r="C53" s="1">
        <v>70101000</v>
      </c>
    </row>
    <row r="54" spans="1:3" x14ac:dyDescent="0.25">
      <c r="A54" s="1">
        <v>70102000</v>
      </c>
      <c r="B54" s="1" t="s">
        <v>138</v>
      </c>
      <c r="C54" s="1">
        <v>70100000</v>
      </c>
    </row>
    <row r="55" spans="1:3" x14ac:dyDescent="0.25">
      <c r="A55" s="1">
        <v>70103000</v>
      </c>
      <c r="B55" s="1" t="s">
        <v>60</v>
      </c>
      <c r="C55" s="1">
        <v>70100000</v>
      </c>
    </row>
    <row r="56" spans="1:3" x14ac:dyDescent="0.25">
      <c r="A56" s="1">
        <v>70200000</v>
      </c>
      <c r="B56" s="1" t="s">
        <v>102</v>
      </c>
      <c r="C56" s="1">
        <v>70000000</v>
      </c>
    </row>
    <row r="57" spans="1:3" x14ac:dyDescent="0.25">
      <c r="A57" s="1">
        <v>70201000</v>
      </c>
      <c r="B57" s="1" t="s">
        <v>23</v>
      </c>
      <c r="C57" s="1">
        <v>70200000</v>
      </c>
    </row>
    <row r="58" spans="1:3" x14ac:dyDescent="0.25">
      <c r="A58" s="1">
        <v>70202000</v>
      </c>
      <c r="B58" s="1" t="s">
        <v>24</v>
      </c>
      <c r="C58" s="1">
        <v>70200000</v>
      </c>
    </row>
    <row r="59" spans="1:3" x14ac:dyDescent="0.25">
      <c r="A59" s="1">
        <v>70203000</v>
      </c>
      <c r="B59" s="1" t="s">
        <v>25</v>
      </c>
      <c r="C59" s="1">
        <v>70200000</v>
      </c>
    </row>
    <row r="60" spans="1:3" x14ac:dyDescent="0.25">
      <c r="A60" s="1">
        <v>70204000</v>
      </c>
      <c r="B60" s="1" t="s">
        <v>26</v>
      </c>
      <c r="C60" s="1">
        <v>70200000</v>
      </c>
    </row>
    <row r="61" spans="1:3" x14ac:dyDescent="0.25">
      <c r="A61" s="1">
        <v>70205000</v>
      </c>
      <c r="B61" s="1" t="s">
        <v>62</v>
      </c>
      <c r="C61" s="1">
        <v>70200000</v>
      </c>
    </row>
    <row r="62" spans="1:3" x14ac:dyDescent="0.25">
      <c r="A62" s="1">
        <v>70206000</v>
      </c>
      <c r="B62" s="1" t="s">
        <v>63</v>
      </c>
      <c r="C62" s="1">
        <v>70200000</v>
      </c>
    </row>
    <row r="63" spans="1:3" x14ac:dyDescent="0.25">
      <c r="A63" s="1">
        <v>70300000</v>
      </c>
      <c r="B63" s="1" t="s">
        <v>109</v>
      </c>
      <c r="C63" s="1">
        <v>70000000</v>
      </c>
    </row>
    <row r="64" spans="1:3" x14ac:dyDescent="0.25">
      <c r="A64" s="1">
        <v>70301000</v>
      </c>
      <c r="B64" s="1" t="s">
        <v>19</v>
      </c>
      <c r="C64" s="1">
        <v>70300000</v>
      </c>
    </row>
    <row r="65" spans="1:3" x14ac:dyDescent="0.25">
      <c r="A65" s="1">
        <v>70302000</v>
      </c>
      <c r="B65" s="1" t="s">
        <v>30</v>
      </c>
      <c r="C65" s="1">
        <v>70300000</v>
      </c>
    </row>
    <row r="66" spans="1:3" x14ac:dyDescent="0.25">
      <c r="A66" s="1">
        <v>70400000</v>
      </c>
      <c r="B66" s="1" t="s">
        <v>115</v>
      </c>
      <c r="C66" s="1">
        <v>70000000</v>
      </c>
    </row>
    <row r="67" spans="1:3" x14ac:dyDescent="0.25">
      <c r="A67" s="1">
        <v>70401000</v>
      </c>
      <c r="B67" s="1" t="s">
        <v>29</v>
      </c>
      <c r="C67" s="1">
        <v>70400000</v>
      </c>
    </row>
    <row r="68" spans="1:3" x14ac:dyDescent="0.25">
      <c r="A68" s="1">
        <v>70402000</v>
      </c>
      <c r="B68" s="1" t="s">
        <v>31</v>
      </c>
      <c r="C68" s="1">
        <v>70400000</v>
      </c>
    </row>
    <row r="69" spans="1:3" x14ac:dyDescent="0.25">
      <c r="A69" s="1">
        <v>70500000</v>
      </c>
      <c r="B69" s="1" t="s">
        <v>139</v>
      </c>
      <c r="C69" s="1">
        <v>70000000</v>
      </c>
    </row>
    <row r="70" spans="1:3" x14ac:dyDescent="0.25">
      <c r="A70" s="1">
        <v>70501000</v>
      </c>
      <c r="B70" s="1" t="s">
        <v>33</v>
      </c>
      <c r="C70" s="1">
        <v>70500000</v>
      </c>
    </row>
    <row r="71" spans="1:3" x14ac:dyDescent="0.25">
      <c r="A71" s="1">
        <v>70502000</v>
      </c>
      <c r="B71" s="1" t="s">
        <v>32</v>
      </c>
      <c r="C71" s="1">
        <v>70500000</v>
      </c>
    </row>
    <row r="72" spans="1:3" x14ac:dyDescent="0.25">
      <c r="A72" s="1">
        <v>70600000</v>
      </c>
      <c r="B72" s="1" t="s">
        <v>142</v>
      </c>
      <c r="C72" s="1">
        <v>70000000</v>
      </c>
    </row>
    <row r="73" spans="1:3" x14ac:dyDescent="0.25">
      <c r="A73" s="1">
        <v>70601000</v>
      </c>
      <c r="B73" s="1" t="s">
        <v>28</v>
      </c>
      <c r="C73" s="1">
        <v>70600000</v>
      </c>
    </row>
    <row r="74" spans="1:3" x14ac:dyDescent="0.25">
      <c r="A74" s="1">
        <v>70602000</v>
      </c>
      <c r="B74" s="1" t="s">
        <v>7</v>
      </c>
      <c r="C74" s="1">
        <v>70600000</v>
      </c>
    </row>
    <row r="75" spans="1:3" x14ac:dyDescent="0.25">
      <c r="A75" s="1">
        <v>70700000</v>
      </c>
      <c r="B75" s="1" t="s">
        <v>141</v>
      </c>
      <c r="C75" s="1">
        <v>70000000</v>
      </c>
    </row>
    <row r="76" spans="1:3" x14ac:dyDescent="0.25">
      <c r="A76" s="1">
        <v>70701000</v>
      </c>
      <c r="B76" s="1" t="s">
        <v>7</v>
      </c>
      <c r="C76" s="1">
        <v>70700000</v>
      </c>
    </row>
    <row r="77" spans="1:3" x14ac:dyDescent="0.25">
      <c r="A77" s="1">
        <v>70702000</v>
      </c>
      <c r="B77" s="1" t="s">
        <v>8</v>
      </c>
      <c r="C77" s="1">
        <v>70700000</v>
      </c>
    </row>
    <row r="78" spans="1:3" x14ac:dyDescent="0.25">
      <c r="A78" s="1">
        <v>70703000</v>
      </c>
      <c r="B78" s="1" t="s">
        <v>10</v>
      </c>
      <c r="C78" s="1">
        <v>70700000</v>
      </c>
    </row>
    <row r="79" spans="1:3" x14ac:dyDescent="0.25">
      <c r="A79" s="1">
        <v>70704000</v>
      </c>
      <c r="B79" s="1" t="s">
        <v>11</v>
      </c>
      <c r="C79" s="1">
        <v>70700000</v>
      </c>
    </row>
    <row r="80" spans="1:3" x14ac:dyDescent="0.25">
      <c r="A80" s="1">
        <v>70705000</v>
      </c>
      <c r="B80" s="1" t="s">
        <v>15</v>
      </c>
      <c r="C80" s="1">
        <v>70700000</v>
      </c>
    </row>
    <row r="81" spans="1:3" x14ac:dyDescent="0.25">
      <c r="A81" s="1">
        <v>70706000</v>
      </c>
      <c r="B81" s="1" t="s">
        <v>16</v>
      </c>
      <c r="C81" s="1">
        <v>70700000</v>
      </c>
    </row>
    <row r="82" spans="1:3" x14ac:dyDescent="0.25">
      <c r="A82" s="1">
        <v>70800000</v>
      </c>
      <c r="B82" s="1" t="s">
        <v>103</v>
      </c>
      <c r="C82" s="1">
        <v>70000000</v>
      </c>
    </row>
    <row r="83" spans="1:3" x14ac:dyDescent="0.25">
      <c r="A83" s="1">
        <v>70801000</v>
      </c>
      <c r="B83" s="1" t="s">
        <v>13</v>
      </c>
      <c r="C83" s="1">
        <v>70800000</v>
      </c>
    </row>
    <row r="84" spans="1:3" x14ac:dyDescent="0.25">
      <c r="A84" s="1">
        <v>70900000</v>
      </c>
      <c r="B84" s="1" t="s">
        <v>108</v>
      </c>
      <c r="C84" s="1">
        <v>70000000</v>
      </c>
    </row>
    <row r="85" spans="1:3" x14ac:dyDescent="0.25">
      <c r="A85" s="1">
        <v>70901000</v>
      </c>
      <c r="B85" s="1" t="s">
        <v>14</v>
      </c>
      <c r="C85" s="1">
        <v>70900000</v>
      </c>
    </row>
  </sheetData>
  <sortState ref="A2:C85">
    <sortCondition ref="A2:A85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filterMode="1"/>
  <dimension ref="A1:N89"/>
  <sheetViews>
    <sheetView topLeftCell="B1" zoomScaleNormal="100" workbookViewId="0">
      <pane ySplit="1" topLeftCell="A35" activePane="bottomLeft" state="frozen"/>
      <selection pane="bottomLeft" activeCell="B53" sqref="B53"/>
    </sheetView>
  </sheetViews>
  <sheetFormatPr defaultRowHeight="15" x14ac:dyDescent="0.25"/>
  <cols>
    <col min="1" max="1" width="11.5703125" style="4" hidden="1" customWidth="1"/>
    <col min="2" max="2" width="11.5703125" style="4" customWidth="1"/>
    <col min="3" max="3" width="14.28515625" style="4" hidden="1" customWidth="1"/>
    <col min="4" max="4" width="14.28515625" style="4" customWidth="1"/>
    <col min="5" max="5" width="12.85546875" style="4" hidden="1" customWidth="1"/>
    <col min="6" max="6" width="20.85546875" style="4" hidden="1" customWidth="1"/>
    <col min="7" max="7" width="11.5703125" style="4" hidden="1" customWidth="1"/>
    <col min="8" max="8" width="128.7109375" style="4" bestFit="1" customWidth="1"/>
    <col min="9" max="9" width="12.85546875" style="4" bestFit="1" customWidth="1"/>
    <col min="10" max="12" width="10.28515625" style="4" bestFit="1" customWidth="1"/>
    <col min="13" max="13" width="17.42578125" style="4" bestFit="1" customWidth="1"/>
    <col min="14" max="14" width="12.85546875" style="4" bestFit="1" customWidth="1"/>
    <col min="15" max="16384" width="9.140625" style="4"/>
  </cols>
  <sheetData>
    <row r="1" spans="1:14" s="3" customFormat="1" ht="15.75" x14ac:dyDescent="0.3">
      <c r="A1" s="2" t="s">
        <v>3</v>
      </c>
      <c r="B1" s="2" t="s">
        <v>154</v>
      </c>
      <c r="C1" s="2" t="s">
        <v>144</v>
      </c>
      <c r="D1" s="2" t="s">
        <v>0</v>
      </c>
      <c r="E1" s="2" t="s">
        <v>0</v>
      </c>
      <c r="F1" s="2" t="s">
        <v>129</v>
      </c>
      <c r="G1" s="2" t="s">
        <v>97</v>
      </c>
      <c r="H1" s="2" t="s">
        <v>2</v>
      </c>
      <c r="I1" s="2" t="s">
        <v>4</v>
      </c>
      <c r="J1" s="2" t="s">
        <v>34</v>
      </c>
      <c r="K1" s="2" t="s">
        <v>5</v>
      </c>
      <c r="L1" s="2" t="s">
        <v>47</v>
      </c>
      <c r="M1" s="7" t="s">
        <v>161</v>
      </c>
      <c r="N1" s="2" t="s">
        <v>162</v>
      </c>
    </row>
    <row r="2" spans="1:14" ht="15" customHeight="1" x14ac:dyDescent="0.3">
      <c r="A2" s="6"/>
      <c r="B2" s="6">
        <v>1</v>
      </c>
      <c r="C2" s="6" t="s">
        <v>9</v>
      </c>
      <c r="D2" s="6" t="s">
        <v>163</v>
      </c>
      <c r="E2" s="6" t="s">
        <v>5</v>
      </c>
      <c r="F2" s="6" t="s">
        <v>17</v>
      </c>
      <c r="G2" s="6">
        <v>70102000</v>
      </c>
      <c r="H2" s="6" t="s">
        <v>18</v>
      </c>
      <c r="I2" s="6">
        <v>20</v>
      </c>
      <c r="K2" s="6">
        <v>20</v>
      </c>
      <c r="M2" s="4">
        <f>ROUND(J2 + (J2*0.5), 0)</f>
        <v>0</v>
      </c>
      <c r="N2" s="4">
        <f>ROUND(K2 + (K2*0.5), )</f>
        <v>30</v>
      </c>
    </row>
    <row r="3" spans="1:14" ht="15" customHeight="1" x14ac:dyDescent="0.3">
      <c r="A3" s="6"/>
      <c r="B3" s="6">
        <v>2</v>
      </c>
      <c r="C3" s="6" t="s">
        <v>12</v>
      </c>
      <c r="D3" s="6" t="s">
        <v>34</v>
      </c>
      <c r="E3" s="6" t="s">
        <v>34</v>
      </c>
      <c r="F3" s="6" t="s">
        <v>132</v>
      </c>
      <c r="G3" s="6">
        <v>11201000</v>
      </c>
      <c r="H3" s="6" t="s">
        <v>36</v>
      </c>
      <c r="I3" s="6">
        <v>30</v>
      </c>
      <c r="J3" s="6">
        <v>30</v>
      </c>
      <c r="M3" s="4">
        <f t="shared" ref="M3:M8" si="0">ROUND(J3 + (J3*0.5), 0)</f>
        <v>45</v>
      </c>
      <c r="N3" s="4">
        <f t="shared" ref="N3:N8" si="1">ROUND(K3 + (K3*0.5), )</f>
        <v>0</v>
      </c>
    </row>
    <row r="4" spans="1:14" ht="15" customHeight="1" x14ac:dyDescent="0.3">
      <c r="A4" s="6">
        <v>16</v>
      </c>
      <c r="B4" s="6">
        <v>3</v>
      </c>
      <c r="C4" s="6" t="s">
        <v>9</v>
      </c>
      <c r="D4" s="6" t="s">
        <v>34</v>
      </c>
      <c r="E4" s="6" t="s">
        <v>34</v>
      </c>
      <c r="F4" s="6" t="s">
        <v>130</v>
      </c>
      <c r="G4" s="6">
        <v>40100000</v>
      </c>
      <c r="H4" s="6" t="s">
        <v>35</v>
      </c>
      <c r="I4" s="6">
        <v>60</v>
      </c>
      <c r="J4" s="6">
        <v>60</v>
      </c>
      <c r="M4" s="4">
        <f t="shared" si="0"/>
        <v>90</v>
      </c>
      <c r="N4" s="4">
        <f t="shared" si="1"/>
        <v>0</v>
      </c>
    </row>
    <row r="5" spans="1:14" ht="15.75" customHeight="1" x14ac:dyDescent="0.3">
      <c r="A5" s="6">
        <v>4</v>
      </c>
      <c r="B5" s="6">
        <v>4</v>
      </c>
      <c r="C5" s="6" t="s">
        <v>12</v>
      </c>
      <c r="D5" s="6" t="s">
        <v>34</v>
      </c>
      <c r="E5" s="6" t="s">
        <v>34</v>
      </c>
      <c r="F5" s="6" t="s">
        <v>133</v>
      </c>
      <c r="G5" s="6">
        <v>11102000</v>
      </c>
      <c r="H5" s="6" t="s">
        <v>37</v>
      </c>
      <c r="I5" s="6">
        <v>15</v>
      </c>
      <c r="J5" s="4">
        <v>15</v>
      </c>
      <c r="M5" s="4">
        <f t="shared" si="0"/>
        <v>23</v>
      </c>
      <c r="N5" s="4">
        <f t="shared" si="1"/>
        <v>0</v>
      </c>
    </row>
    <row r="6" spans="1:14" x14ac:dyDescent="0.25">
      <c r="A6" s="4">
        <v>1</v>
      </c>
      <c r="B6" s="4">
        <v>5</v>
      </c>
      <c r="D6" s="4" t="s">
        <v>34</v>
      </c>
      <c r="E6" s="4" t="s">
        <v>47</v>
      </c>
      <c r="F6" s="4" t="s">
        <v>134</v>
      </c>
      <c r="G6" s="4">
        <v>60102000</v>
      </c>
      <c r="H6" s="4" t="s">
        <v>48</v>
      </c>
      <c r="I6" s="4">
        <v>6</v>
      </c>
      <c r="L6" s="4">
        <v>6</v>
      </c>
      <c r="M6" s="4">
        <f t="shared" si="0"/>
        <v>0</v>
      </c>
      <c r="N6" s="4">
        <f t="shared" si="1"/>
        <v>0</v>
      </c>
    </row>
    <row r="7" spans="1:14" x14ac:dyDescent="0.25">
      <c r="A7" s="4">
        <v>2</v>
      </c>
      <c r="B7" s="4">
        <v>6</v>
      </c>
      <c r="D7" s="4" t="s">
        <v>34</v>
      </c>
      <c r="E7" s="4" t="s">
        <v>47</v>
      </c>
      <c r="F7" s="4" t="s">
        <v>101</v>
      </c>
      <c r="G7" s="4">
        <v>60103000</v>
      </c>
      <c r="H7" s="4" t="s">
        <v>49</v>
      </c>
      <c r="I7" s="4">
        <v>6</v>
      </c>
      <c r="L7" s="4">
        <v>6</v>
      </c>
      <c r="M7" s="4">
        <f t="shared" si="0"/>
        <v>0</v>
      </c>
      <c r="N7" s="4">
        <f t="shared" si="1"/>
        <v>0</v>
      </c>
    </row>
    <row r="8" spans="1:14" x14ac:dyDescent="0.25">
      <c r="A8" s="4">
        <v>3</v>
      </c>
      <c r="B8" s="4">
        <v>7</v>
      </c>
      <c r="C8" s="4">
        <v>2021</v>
      </c>
      <c r="D8" s="4" t="s">
        <v>34</v>
      </c>
      <c r="E8" s="4" t="s">
        <v>34</v>
      </c>
      <c r="F8" s="4" t="s">
        <v>34</v>
      </c>
      <c r="H8" s="5" t="s">
        <v>152</v>
      </c>
      <c r="I8" s="4">
        <v>5</v>
      </c>
      <c r="J8" s="4">
        <v>5</v>
      </c>
      <c r="M8" s="4">
        <f t="shared" si="0"/>
        <v>8</v>
      </c>
      <c r="N8" s="4">
        <f t="shared" si="1"/>
        <v>0</v>
      </c>
    </row>
    <row r="9" spans="1:14" hidden="1" x14ac:dyDescent="0.25">
      <c r="A9" s="4">
        <v>8</v>
      </c>
      <c r="C9" s="4">
        <v>2021</v>
      </c>
      <c r="E9" s="4" t="s">
        <v>153</v>
      </c>
      <c r="F9" s="4" t="s">
        <v>34</v>
      </c>
      <c r="H9" s="4" t="s">
        <v>150</v>
      </c>
      <c r="I9" s="4">
        <v>10</v>
      </c>
      <c r="J9" s="4">
        <v>10</v>
      </c>
    </row>
    <row r="10" spans="1:14" x14ac:dyDescent="0.25">
      <c r="A10" s="4">
        <v>5</v>
      </c>
      <c r="B10" s="4">
        <v>8</v>
      </c>
      <c r="C10" s="4">
        <v>2021</v>
      </c>
      <c r="D10" s="4" t="s">
        <v>163</v>
      </c>
      <c r="E10" s="4" t="s">
        <v>5</v>
      </c>
      <c r="F10" s="4" t="s">
        <v>5</v>
      </c>
      <c r="H10" s="5" t="s">
        <v>78</v>
      </c>
      <c r="I10" s="4">
        <v>15</v>
      </c>
      <c r="K10" s="4">
        <v>15</v>
      </c>
      <c r="M10" s="4">
        <f t="shared" ref="M10:M20" si="2">ROUND(J10 + (J10*0.5), 0)</f>
        <v>0</v>
      </c>
      <c r="N10" s="4">
        <f t="shared" ref="N10:N20" si="3">ROUND(K10 + (K10*0.5), )</f>
        <v>23</v>
      </c>
    </row>
    <row r="11" spans="1:14" x14ac:dyDescent="0.25">
      <c r="A11" s="4">
        <v>7</v>
      </c>
      <c r="B11" s="4">
        <v>9</v>
      </c>
      <c r="C11" s="4" t="s">
        <v>9</v>
      </c>
      <c r="D11" s="4" t="s">
        <v>163</v>
      </c>
      <c r="E11" s="4" t="s">
        <v>5</v>
      </c>
      <c r="F11" s="4" t="s">
        <v>17</v>
      </c>
      <c r="G11" s="4">
        <v>70103000</v>
      </c>
      <c r="H11" s="4" t="s">
        <v>146</v>
      </c>
      <c r="I11" s="4">
        <v>15</v>
      </c>
      <c r="K11" s="4">
        <v>15</v>
      </c>
      <c r="M11" s="4">
        <f t="shared" si="2"/>
        <v>0</v>
      </c>
      <c r="N11" s="4">
        <f t="shared" si="3"/>
        <v>23</v>
      </c>
    </row>
    <row r="12" spans="1:14" ht="15" customHeight="1" x14ac:dyDescent="0.25">
      <c r="A12" s="4">
        <v>9</v>
      </c>
      <c r="B12" s="4">
        <v>10</v>
      </c>
      <c r="C12" s="4" t="s">
        <v>20</v>
      </c>
      <c r="D12" s="4" t="s">
        <v>34</v>
      </c>
      <c r="E12" s="4" t="s">
        <v>148</v>
      </c>
      <c r="F12" s="4" t="s">
        <v>155</v>
      </c>
      <c r="H12" s="4" t="s">
        <v>50</v>
      </c>
      <c r="I12" s="4">
        <v>10</v>
      </c>
      <c r="J12" s="4">
        <v>2</v>
      </c>
      <c r="K12" s="4">
        <v>8</v>
      </c>
      <c r="M12" s="4">
        <f t="shared" si="2"/>
        <v>3</v>
      </c>
      <c r="N12" s="4">
        <f t="shared" si="3"/>
        <v>12</v>
      </c>
    </row>
    <row r="13" spans="1:14" ht="15" customHeight="1" x14ac:dyDescent="0.25">
      <c r="A13" s="4">
        <v>11</v>
      </c>
      <c r="B13" s="4">
        <v>11</v>
      </c>
      <c r="C13" s="4" t="s">
        <v>20</v>
      </c>
      <c r="D13" s="4" t="s">
        <v>34</v>
      </c>
      <c r="E13" s="4" t="s">
        <v>148</v>
      </c>
      <c r="F13" s="4" t="s">
        <v>156</v>
      </c>
      <c r="H13" s="4" t="s">
        <v>51</v>
      </c>
      <c r="I13" s="4">
        <v>5</v>
      </c>
      <c r="J13" s="4">
        <v>5</v>
      </c>
      <c r="M13" s="4">
        <f t="shared" si="2"/>
        <v>8</v>
      </c>
      <c r="N13" s="4">
        <f t="shared" si="3"/>
        <v>0</v>
      </c>
    </row>
    <row r="14" spans="1:14" ht="15" customHeight="1" x14ac:dyDescent="0.25">
      <c r="A14" s="4">
        <v>6</v>
      </c>
      <c r="B14" s="4">
        <f>B13+1</f>
        <v>12</v>
      </c>
      <c r="D14" s="4" t="s">
        <v>34</v>
      </c>
      <c r="E14" s="4" t="s">
        <v>34</v>
      </c>
      <c r="F14" s="4" t="s">
        <v>131</v>
      </c>
      <c r="G14" s="4">
        <v>10801000</v>
      </c>
      <c r="H14" s="4" t="s">
        <v>39</v>
      </c>
      <c r="I14" s="4">
        <v>8</v>
      </c>
      <c r="J14" s="4">
        <v>8</v>
      </c>
      <c r="M14" s="4">
        <f t="shared" si="2"/>
        <v>12</v>
      </c>
      <c r="N14" s="4">
        <f t="shared" si="3"/>
        <v>0</v>
      </c>
    </row>
    <row r="15" spans="1:14" x14ac:dyDescent="0.25">
      <c r="A15" s="4">
        <v>13</v>
      </c>
      <c r="B15" s="4">
        <v>13</v>
      </c>
      <c r="C15" s="4" t="s">
        <v>20</v>
      </c>
      <c r="D15" s="4" t="s">
        <v>34</v>
      </c>
      <c r="E15" s="4" t="s">
        <v>148</v>
      </c>
      <c r="F15" s="4" t="s">
        <v>34</v>
      </c>
      <c r="H15" s="4" t="s">
        <v>157</v>
      </c>
      <c r="I15" s="4">
        <v>5</v>
      </c>
      <c r="J15" s="4">
        <v>5</v>
      </c>
      <c r="M15" s="4">
        <f t="shared" si="2"/>
        <v>8</v>
      </c>
      <c r="N15" s="4">
        <f t="shared" si="3"/>
        <v>0</v>
      </c>
    </row>
    <row r="16" spans="1:14" ht="15" customHeight="1" x14ac:dyDescent="0.25">
      <c r="A16" s="4">
        <v>9</v>
      </c>
      <c r="B16" s="4">
        <v>14</v>
      </c>
      <c r="D16" s="4" t="s">
        <v>163</v>
      </c>
      <c r="E16" s="4" t="s">
        <v>5</v>
      </c>
      <c r="F16" s="4" t="s">
        <v>17</v>
      </c>
      <c r="G16" s="4">
        <v>70101002</v>
      </c>
      <c r="H16" s="4" t="s">
        <v>22</v>
      </c>
      <c r="I16" s="4">
        <v>10</v>
      </c>
      <c r="K16" s="4">
        <v>10</v>
      </c>
      <c r="M16" s="4">
        <f t="shared" si="2"/>
        <v>0</v>
      </c>
      <c r="N16" s="4">
        <f t="shared" si="3"/>
        <v>15</v>
      </c>
    </row>
    <row r="17" spans="1:14" ht="15.75" customHeight="1" x14ac:dyDescent="0.25">
      <c r="A17" s="4">
        <v>12</v>
      </c>
      <c r="B17" s="4">
        <v>15</v>
      </c>
      <c r="C17" s="4" t="s">
        <v>20</v>
      </c>
      <c r="D17" s="4" t="s">
        <v>163</v>
      </c>
      <c r="E17" s="4" t="s">
        <v>5</v>
      </c>
      <c r="F17" s="4" t="s">
        <v>17</v>
      </c>
      <c r="G17" s="4">
        <v>70201000</v>
      </c>
      <c r="H17" s="4" t="s">
        <v>23</v>
      </c>
      <c r="I17" s="4">
        <v>8</v>
      </c>
      <c r="K17" s="4">
        <v>8</v>
      </c>
      <c r="M17" s="4">
        <f t="shared" si="2"/>
        <v>0</v>
      </c>
      <c r="N17" s="4">
        <f t="shared" si="3"/>
        <v>12</v>
      </c>
    </row>
    <row r="18" spans="1:14" x14ac:dyDescent="0.25">
      <c r="A18" s="4">
        <v>10</v>
      </c>
      <c r="B18" s="4">
        <v>16</v>
      </c>
      <c r="D18" s="4" t="s">
        <v>163</v>
      </c>
      <c r="E18" s="4" t="s">
        <v>5</v>
      </c>
      <c r="F18" s="4" t="s">
        <v>17</v>
      </c>
      <c r="G18" s="4">
        <v>70101001</v>
      </c>
      <c r="H18" s="4" t="s">
        <v>21</v>
      </c>
      <c r="I18" s="4">
        <v>15</v>
      </c>
      <c r="K18" s="4">
        <v>15</v>
      </c>
      <c r="M18" s="4">
        <f t="shared" si="2"/>
        <v>0</v>
      </c>
      <c r="N18" s="4">
        <f t="shared" si="3"/>
        <v>23</v>
      </c>
    </row>
    <row r="19" spans="1:14" x14ac:dyDescent="0.25">
      <c r="A19" s="4">
        <v>15</v>
      </c>
      <c r="B19" s="4">
        <v>17</v>
      </c>
      <c r="C19" s="4" t="s">
        <v>9</v>
      </c>
      <c r="D19" s="4" t="s">
        <v>34</v>
      </c>
      <c r="E19" s="4" t="s">
        <v>148</v>
      </c>
      <c r="F19" s="4" t="s">
        <v>158</v>
      </c>
      <c r="H19" s="4" t="s">
        <v>56</v>
      </c>
      <c r="I19" s="4">
        <v>3</v>
      </c>
      <c r="J19" s="4">
        <v>3</v>
      </c>
      <c r="M19" s="4">
        <f t="shared" si="2"/>
        <v>5</v>
      </c>
      <c r="N19" s="4">
        <f t="shared" si="3"/>
        <v>0</v>
      </c>
    </row>
    <row r="20" spans="1:14" x14ac:dyDescent="0.25">
      <c r="A20" s="4">
        <v>18</v>
      </c>
      <c r="B20" s="4">
        <v>18</v>
      </c>
      <c r="C20" s="4" t="s">
        <v>9</v>
      </c>
      <c r="D20" s="4" t="s">
        <v>34</v>
      </c>
      <c r="E20" s="4" t="s">
        <v>148</v>
      </c>
      <c r="F20" s="4" t="s">
        <v>158</v>
      </c>
      <c r="H20" s="4" t="s">
        <v>58</v>
      </c>
      <c r="I20" s="4">
        <v>2</v>
      </c>
      <c r="J20" s="4">
        <v>2</v>
      </c>
      <c r="M20" s="4">
        <f t="shared" si="2"/>
        <v>3</v>
      </c>
      <c r="N20" s="4">
        <f t="shared" si="3"/>
        <v>0</v>
      </c>
    </row>
    <row r="21" spans="1:14" ht="15" hidden="1" customHeight="1" x14ac:dyDescent="0.25">
      <c r="A21" s="4">
        <v>20</v>
      </c>
      <c r="C21" s="4">
        <v>2021</v>
      </c>
      <c r="E21" s="4" t="s">
        <v>153</v>
      </c>
      <c r="F21" s="4" t="s">
        <v>34</v>
      </c>
      <c r="H21" s="4" t="s">
        <v>151</v>
      </c>
      <c r="I21" s="4">
        <v>8</v>
      </c>
    </row>
    <row r="22" spans="1:14" x14ac:dyDescent="0.25">
      <c r="A22" s="4">
        <v>22</v>
      </c>
      <c r="B22" s="4">
        <v>19</v>
      </c>
      <c r="C22" s="4" t="s">
        <v>20</v>
      </c>
      <c r="D22" s="4" t="s">
        <v>34</v>
      </c>
      <c r="E22" s="4" t="s">
        <v>148</v>
      </c>
      <c r="F22" s="4" t="s">
        <v>79</v>
      </c>
      <c r="H22" s="4" t="s">
        <v>64</v>
      </c>
      <c r="I22" s="4">
        <v>1</v>
      </c>
      <c r="J22" s="4">
        <v>1</v>
      </c>
      <c r="M22" s="4">
        <f t="shared" ref="M22:M27" si="4">ROUND(J22 + (J22*0.5), 0)</f>
        <v>2</v>
      </c>
      <c r="N22" s="4">
        <f t="shared" ref="N22:N27" si="5">ROUND(K22 + (K22*0.5), )</f>
        <v>0</v>
      </c>
    </row>
    <row r="23" spans="1:14" x14ac:dyDescent="0.25">
      <c r="A23" s="4">
        <v>17</v>
      </c>
      <c r="B23" s="4">
        <v>20</v>
      </c>
      <c r="D23" s="4" t="s">
        <v>163</v>
      </c>
      <c r="E23" s="4" t="s">
        <v>5</v>
      </c>
      <c r="F23" s="4" t="s">
        <v>17</v>
      </c>
      <c r="G23" s="4">
        <v>70502000</v>
      </c>
      <c r="H23" s="4" t="s">
        <v>32</v>
      </c>
      <c r="I23" s="4">
        <v>8</v>
      </c>
      <c r="K23" s="4">
        <v>8</v>
      </c>
      <c r="M23" s="4">
        <f t="shared" si="4"/>
        <v>0</v>
      </c>
      <c r="N23" s="4">
        <f t="shared" si="5"/>
        <v>12</v>
      </c>
    </row>
    <row r="24" spans="1:14" x14ac:dyDescent="0.25">
      <c r="A24" s="4">
        <v>24</v>
      </c>
      <c r="B24" s="4">
        <v>21</v>
      </c>
      <c r="D24" s="4" t="s">
        <v>34</v>
      </c>
      <c r="E24" s="4" t="s">
        <v>148</v>
      </c>
      <c r="H24" s="4" t="s">
        <v>160</v>
      </c>
      <c r="I24" s="4">
        <v>5</v>
      </c>
      <c r="J24" s="4">
        <v>5</v>
      </c>
      <c r="M24" s="4">
        <f t="shared" si="4"/>
        <v>8</v>
      </c>
      <c r="N24" s="4">
        <f t="shared" si="5"/>
        <v>0</v>
      </c>
    </row>
    <row r="25" spans="1:14" x14ac:dyDescent="0.25">
      <c r="A25" s="4">
        <v>19</v>
      </c>
      <c r="B25" s="4">
        <v>22</v>
      </c>
      <c r="C25" s="4">
        <v>2021</v>
      </c>
      <c r="D25" s="4" t="s">
        <v>34</v>
      </c>
      <c r="E25" s="4" t="s">
        <v>159</v>
      </c>
      <c r="F25" s="4" t="s">
        <v>79</v>
      </c>
      <c r="H25" s="4" t="s">
        <v>77</v>
      </c>
      <c r="I25" s="4">
        <v>10</v>
      </c>
      <c r="J25" s="4">
        <v>10</v>
      </c>
      <c r="M25" s="4">
        <f t="shared" si="4"/>
        <v>15</v>
      </c>
      <c r="N25" s="4">
        <f t="shared" si="5"/>
        <v>0</v>
      </c>
    </row>
    <row r="26" spans="1:14" x14ac:dyDescent="0.25">
      <c r="A26" s="4">
        <v>21</v>
      </c>
      <c r="B26" s="4">
        <v>23</v>
      </c>
      <c r="D26" s="4" t="s">
        <v>163</v>
      </c>
      <c r="E26" s="4" t="s">
        <v>5</v>
      </c>
      <c r="F26" s="4" t="s">
        <v>17</v>
      </c>
      <c r="G26" s="4">
        <v>70203000</v>
      </c>
      <c r="H26" s="4" t="s">
        <v>25</v>
      </c>
      <c r="I26" s="4">
        <v>10</v>
      </c>
      <c r="K26" s="4">
        <v>10</v>
      </c>
      <c r="M26" s="4">
        <f t="shared" si="4"/>
        <v>0</v>
      </c>
      <c r="N26" s="4">
        <f t="shared" si="5"/>
        <v>15</v>
      </c>
    </row>
    <row r="27" spans="1:14" x14ac:dyDescent="0.25">
      <c r="A27" s="4">
        <v>25</v>
      </c>
      <c r="B27" s="4">
        <v>24</v>
      </c>
      <c r="C27" s="4" t="s">
        <v>9</v>
      </c>
      <c r="D27" s="4" t="s">
        <v>163</v>
      </c>
      <c r="E27" s="4" t="s">
        <v>5</v>
      </c>
      <c r="F27" s="4" t="s">
        <v>6</v>
      </c>
      <c r="G27" s="4">
        <v>70702000</v>
      </c>
      <c r="H27" s="4" t="s">
        <v>8</v>
      </c>
      <c r="I27" s="4">
        <v>10</v>
      </c>
      <c r="K27" s="4">
        <v>10</v>
      </c>
      <c r="M27" s="4">
        <f t="shared" si="4"/>
        <v>0</v>
      </c>
      <c r="N27" s="4">
        <f t="shared" si="5"/>
        <v>15</v>
      </c>
    </row>
    <row r="28" spans="1:14" hidden="1" x14ac:dyDescent="0.25">
      <c r="A28" s="4">
        <v>26</v>
      </c>
      <c r="C28" s="4">
        <v>2020</v>
      </c>
      <c r="E28" s="4" t="s">
        <v>153</v>
      </c>
      <c r="F28" s="4" t="s">
        <v>34</v>
      </c>
      <c r="H28" s="4" t="s">
        <v>70</v>
      </c>
      <c r="I28" s="4">
        <v>12</v>
      </c>
    </row>
    <row r="29" spans="1:14" x14ac:dyDescent="0.25">
      <c r="A29" s="4">
        <v>23</v>
      </c>
      <c r="B29" s="4">
        <v>25</v>
      </c>
      <c r="D29" s="4" t="s">
        <v>163</v>
      </c>
      <c r="E29" s="4" t="s">
        <v>5</v>
      </c>
      <c r="F29" s="4" t="s">
        <v>17</v>
      </c>
      <c r="G29" s="4">
        <v>70501000</v>
      </c>
      <c r="H29" s="4" t="s">
        <v>33</v>
      </c>
      <c r="I29" s="4">
        <v>10</v>
      </c>
      <c r="K29" s="4">
        <v>10</v>
      </c>
      <c r="M29" s="4">
        <f t="shared" ref="M29:M59" si="6">ROUND(J29 + (J29*0.5), 0)</f>
        <v>0</v>
      </c>
      <c r="N29" s="4">
        <f t="shared" ref="N29:N59" si="7">ROUND(K29 + (K29*0.5), )</f>
        <v>15</v>
      </c>
    </row>
    <row r="30" spans="1:14" x14ac:dyDescent="0.25">
      <c r="A30" s="4">
        <v>26</v>
      </c>
      <c r="B30" s="4">
        <v>26</v>
      </c>
      <c r="D30" s="4" t="s">
        <v>34</v>
      </c>
      <c r="E30" s="4" t="s">
        <v>34</v>
      </c>
      <c r="F30" s="4" t="s">
        <v>131</v>
      </c>
      <c r="G30" s="4">
        <v>10803000</v>
      </c>
      <c r="H30" s="4" t="s">
        <v>40</v>
      </c>
      <c r="I30" s="4">
        <v>5</v>
      </c>
      <c r="J30" s="4">
        <v>5</v>
      </c>
      <c r="M30" s="4">
        <f t="shared" si="6"/>
        <v>8</v>
      </c>
      <c r="N30" s="4">
        <f t="shared" si="7"/>
        <v>0</v>
      </c>
    </row>
    <row r="31" spans="1:14" x14ac:dyDescent="0.25">
      <c r="A31" s="4">
        <v>27</v>
      </c>
      <c r="B31" s="4">
        <v>27</v>
      </c>
      <c r="D31" s="4" t="s">
        <v>163</v>
      </c>
      <c r="E31" s="4" t="s">
        <v>5</v>
      </c>
      <c r="F31" s="4" t="s">
        <v>17</v>
      </c>
      <c r="G31" s="4">
        <v>70206000</v>
      </c>
      <c r="H31" s="4" t="s">
        <v>63</v>
      </c>
      <c r="I31" s="4">
        <v>15</v>
      </c>
      <c r="K31" s="4">
        <v>15</v>
      </c>
      <c r="M31" s="4">
        <f t="shared" si="6"/>
        <v>0</v>
      </c>
      <c r="N31" s="4">
        <f t="shared" si="7"/>
        <v>23</v>
      </c>
    </row>
    <row r="32" spans="1:14" x14ac:dyDescent="0.25">
      <c r="A32" s="4">
        <v>28</v>
      </c>
      <c r="B32" s="4">
        <v>28</v>
      </c>
      <c r="D32" s="4" t="s">
        <v>34</v>
      </c>
      <c r="E32" s="4" t="s">
        <v>34</v>
      </c>
      <c r="F32" s="4" t="s">
        <v>131</v>
      </c>
      <c r="G32" s="4">
        <v>10805000</v>
      </c>
      <c r="H32" s="4" t="s">
        <v>42</v>
      </c>
      <c r="I32" s="4">
        <v>8</v>
      </c>
      <c r="J32" s="4">
        <v>8</v>
      </c>
      <c r="M32" s="4">
        <f t="shared" si="6"/>
        <v>12</v>
      </c>
      <c r="N32" s="4">
        <f t="shared" si="7"/>
        <v>0</v>
      </c>
    </row>
    <row r="33" spans="1:14" x14ac:dyDescent="0.25">
      <c r="A33" s="4">
        <v>29</v>
      </c>
      <c r="B33" s="4">
        <v>29</v>
      </c>
      <c r="D33" s="4" t="s">
        <v>34</v>
      </c>
      <c r="E33" s="4" t="s">
        <v>148</v>
      </c>
      <c r="F33" s="4" t="s">
        <v>34</v>
      </c>
      <c r="H33" s="4" t="s">
        <v>67</v>
      </c>
      <c r="I33" s="4">
        <v>3</v>
      </c>
      <c r="J33" s="4">
        <v>3</v>
      </c>
      <c r="M33" s="4">
        <f t="shared" si="6"/>
        <v>5</v>
      </c>
      <c r="N33" s="4">
        <f t="shared" si="7"/>
        <v>0</v>
      </c>
    </row>
    <row r="34" spans="1:14" x14ac:dyDescent="0.25">
      <c r="A34" s="4">
        <v>31</v>
      </c>
      <c r="B34" s="4">
        <v>30</v>
      </c>
      <c r="D34" s="4" t="s">
        <v>34</v>
      </c>
      <c r="E34" s="4" t="s">
        <v>34</v>
      </c>
      <c r="F34" s="4" t="s">
        <v>131</v>
      </c>
      <c r="G34" s="4">
        <v>10804000</v>
      </c>
      <c r="H34" s="4" t="s">
        <v>41</v>
      </c>
      <c r="I34" s="4">
        <v>6</v>
      </c>
      <c r="J34" s="4">
        <v>6</v>
      </c>
      <c r="M34" s="4">
        <f t="shared" si="6"/>
        <v>9</v>
      </c>
      <c r="N34" s="4">
        <f t="shared" si="7"/>
        <v>0</v>
      </c>
    </row>
    <row r="35" spans="1:14" x14ac:dyDescent="0.25">
      <c r="A35" s="4">
        <v>31</v>
      </c>
      <c r="B35" s="4">
        <v>31</v>
      </c>
      <c r="D35" s="4" t="s">
        <v>163</v>
      </c>
      <c r="E35" s="4" t="s">
        <v>5</v>
      </c>
      <c r="F35" s="4" t="s">
        <v>17</v>
      </c>
      <c r="G35" s="4">
        <v>70202000</v>
      </c>
      <c r="H35" s="4" t="s">
        <v>24</v>
      </c>
      <c r="I35" s="4">
        <v>20</v>
      </c>
      <c r="K35" s="4">
        <v>20</v>
      </c>
      <c r="M35" s="4">
        <f t="shared" si="6"/>
        <v>0</v>
      </c>
      <c r="N35" s="4">
        <f t="shared" si="7"/>
        <v>30</v>
      </c>
    </row>
    <row r="36" spans="1:14" x14ac:dyDescent="0.25">
      <c r="A36" s="4">
        <v>32</v>
      </c>
      <c r="B36" s="4">
        <v>32</v>
      </c>
      <c r="D36" s="4" t="s">
        <v>34</v>
      </c>
      <c r="E36" s="4" t="s">
        <v>34</v>
      </c>
      <c r="F36" s="4" t="s">
        <v>101</v>
      </c>
      <c r="G36" s="4">
        <v>10101000</v>
      </c>
      <c r="H36" s="4" t="s">
        <v>43</v>
      </c>
      <c r="I36" s="4">
        <v>3</v>
      </c>
      <c r="J36" s="4">
        <v>3</v>
      </c>
      <c r="M36" s="4">
        <f t="shared" si="6"/>
        <v>5</v>
      </c>
      <c r="N36" s="4">
        <f t="shared" si="7"/>
        <v>0</v>
      </c>
    </row>
    <row r="37" spans="1:14" x14ac:dyDescent="0.25">
      <c r="A37" s="4">
        <v>32</v>
      </c>
      <c r="B37" s="4">
        <v>33</v>
      </c>
      <c r="D37" s="4" t="s">
        <v>163</v>
      </c>
      <c r="E37" s="4" t="s">
        <v>5</v>
      </c>
      <c r="F37" s="4" t="s">
        <v>17</v>
      </c>
      <c r="G37" s="4">
        <v>70205000</v>
      </c>
      <c r="H37" s="4" t="s">
        <v>62</v>
      </c>
      <c r="I37" s="4">
        <v>10</v>
      </c>
      <c r="K37" s="4">
        <v>10</v>
      </c>
      <c r="M37" s="4">
        <f t="shared" si="6"/>
        <v>0</v>
      </c>
      <c r="N37" s="4">
        <f t="shared" si="7"/>
        <v>15</v>
      </c>
    </row>
    <row r="38" spans="1:14" x14ac:dyDescent="0.25">
      <c r="A38" s="4">
        <v>33</v>
      </c>
      <c r="B38" s="4">
        <v>34</v>
      </c>
      <c r="C38" s="4" t="s">
        <v>20</v>
      </c>
      <c r="D38" s="4" t="s">
        <v>34</v>
      </c>
      <c r="E38" s="4" t="s">
        <v>148</v>
      </c>
      <c r="F38" s="4" t="s">
        <v>34</v>
      </c>
      <c r="H38" s="4" t="s">
        <v>52</v>
      </c>
      <c r="I38" s="4">
        <v>3</v>
      </c>
      <c r="J38" s="4">
        <v>3</v>
      </c>
      <c r="M38" s="4">
        <f t="shared" si="6"/>
        <v>5</v>
      </c>
      <c r="N38" s="4">
        <f t="shared" si="7"/>
        <v>0</v>
      </c>
    </row>
    <row r="39" spans="1:14" x14ac:dyDescent="0.25">
      <c r="A39" s="4">
        <v>34</v>
      </c>
      <c r="B39" s="4">
        <v>35</v>
      </c>
      <c r="D39" s="4" t="s">
        <v>34</v>
      </c>
      <c r="E39" s="4" t="s">
        <v>34</v>
      </c>
      <c r="F39" s="4" t="s">
        <v>101</v>
      </c>
      <c r="G39" s="4">
        <v>10103000</v>
      </c>
      <c r="H39" s="4" t="s">
        <v>45</v>
      </c>
      <c r="I39" s="4">
        <v>5</v>
      </c>
      <c r="J39" s="4">
        <v>5</v>
      </c>
      <c r="M39" s="4">
        <f t="shared" si="6"/>
        <v>8</v>
      </c>
      <c r="N39" s="4">
        <f t="shared" si="7"/>
        <v>0</v>
      </c>
    </row>
    <row r="40" spans="1:14" x14ac:dyDescent="0.25">
      <c r="A40" s="4">
        <v>34</v>
      </c>
      <c r="B40" s="4">
        <v>36</v>
      </c>
      <c r="C40" s="4">
        <v>2020</v>
      </c>
      <c r="D40" s="4" t="s">
        <v>34</v>
      </c>
      <c r="E40" s="4" t="s">
        <v>34</v>
      </c>
      <c r="F40" s="4" t="s">
        <v>5</v>
      </c>
      <c r="H40" s="4" t="s">
        <v>83</v>
      </c>
      <c r="I40" s="4">
        <v>6</v>
      </c>
      <c r="J40" s="4">
        <v>6</v>
      </c>
      <c r="M40" s="4">
        <f t="shared" si="6"/>
        <v>9</v>
      </c>
      <c r="N40" s="4">
        <f t="shared" si="7"/>
        <v>0</v>
      </c>
    </row>
    <row r="41" spans="1:14" x14ac:dyDescent="0.25">
      <c r="A41" s="4">
        <v>35</v>
      </c>
      <c r="B41" s="4">
        <v>37</v>
      </c>
      <c r="D41" s="4" t="s">
        <v>34</v>
      </c>
      <c r="E41" s="4" t="s">
        <v>34</v>
      </c>
      <c r="F41" s="4" t="s">
        <v>101</v>
      </c>
      <c r="G41" s="4">
        <v>10104000</v>
      </c>
      <c r="H41" s="4" t="s">
        <v>46</v>
      </c>
      <c r="I41" s="4">
        <v>15</v>
      </c>
      <c r="J41" s="4">
        <v>15</v>
      </c>
      <c r="M41" s="4">
        <f t="shared" si="6"/>
        <v>23</v>
      </c>
      <c r="N41" s="4">
        <f t="shared" si="7"/>
        <v>0</v>
      </c>
    </row>
    <row r="42" spans="1:14" x14ac:dyDescent="0.25">
      <c r="A42" s="4">
        <v>36</v>
      </c>
      <c r="B42" s="4">
        <v>38</v>
      </c>
      <c r="C42" s="4">
        <v>2020</v>
      </c>
      <c r="D42" s="4" t="s">
        <v>34</v>
      </c>
      <c r="E42" s="4" t="s">
        <v>34</v>
      </c>
      <c r="F42" s="4" t="s">
        <v>34</v>
      </c>
      <c r="H42" s="5" t="s">
        <v>84</v>
      </c>
      <c r="I42" s="4">
        <v>4</v>
      </c>
      <c r="J42" s="4">
        <v>4</v>
      </c>
      <c r="M42" s="4">
        <f t="shared" si="6"/>
        <v>6</v>
      </c>
      <c r="N42" s="4">
        <f t="shared" si="7"/>
        <v>0</v>
      </c>
    </row>
    <row r="43" spans="1:14" x14ac:dyDescent="0.25">
      <c r="A43" s="4">
        <v>37</v>
      </c>
      <c r="B43" s="4">
        <v>39</v>
      </c>
      <c r="D43" s="4" t="s">
        <v>34</v>
      </c>
      <c r="E43" s="4" t="s">
        <v>34</v>
      </c>
      <c r="F43" s="4" t="s">
        <v>101</v>
      </c>
      <c r="G43" s="4">
        <v>10102000</v>
      </c>
      <c r="H43" s="4" t="s">
        <v>44</v>
      </c>
      <c r="I43" s="4">
        <v>15</v>
      </c>
      <c r="J43" s="4">
        <v>15</v>
      </c>
      <c r="M43" s="4">
        <f t="shared" si="6"/>
        <v>23</v>
      </c>
      <c r="N43" s="4">
        <f t="shared" si="7"/>
        <v>0</v>
      </c>
    </row>
    <row r="44" spans="1:14" ht="15" customHeight="1" x14ac:dyDescent="0.25">
      <c r="A44" s="4">
        <v>39</v>
      </c>
      <c r="B44" s="4">
        <v>40</v>
      </c>
      <c r="C44" s="4">
        <v>2020</v>
      </c>
      <c r="D44" s="4" t="s">
        <v>34</v>
      </c>
      <c r="E44" s="4" t="s">
        <v>34</v>
      </c>
      <c r="F44" s="4" t="s">
        <v>34</v>
      </c>
      <c r="H44" s="4" t="s">
        <v>72</v>
      </c>
      <c r="I44" s="4">
        <v>3</v>
      </c>
      <c r="J44" s="4">
        <v>3</v>
      </c>
      <c r="M44" s="4">
        <f t="shared" si="6"/>
        <v>5</v>
      </c>
      <c r="N44" s="4">
        <f t="shared" si="7"/>
        <v>0</v>
      </c>
    </row>
    <row r="45" spans="1:14" ht="15" customHeight="1" x14ac:dyDescent="0.25">
      <c r="A45" s="4">
        <v>40</v>
      </c>
      <c r="B45" s="4">
        <v>41</v>
      </c>
      <c r="C45" s="4">
        <v>2020</v>
      </c>
      <c r="D45" s="4" t="s">
        <v>34</v>
      </c>
      <c r="E45" s="4" t="s">
        <v>34</v>
      </c>
      <c r="F45" s="4" t="s">
        <v>34</v>
      </c>
      <c r="H45" s="5" t="s">
        <v>85</v>
      </c>
      <c r="I45" s="4">
        <v>4</v>
      </c>
      <c r="J45" s="4">
        <v>4</v>
      </c>
      <c r="M45" s="4">
        <f t="shared" si="6"/>
        <v>6</v>
      </c>
      <c r="N45" s="4">
        <f t="shared" si="7"/>
        <v>0</v>
      </c>
    </row>
    <row r="46" spans="1:14" ht="15.75" customHeight="1" x14ac:dyDescent="0.25">
      <c r="A46" s="4">
        <v>41</v>
      </c>
      <c r="B46" s="4">
        <v>42</v>
      </c>
      <c r="C46" s="4">
        <v>2021</v>
      </c>
      <c r="D46" s="4" t="s">
        <v>34</v>
      </c>
      <c r="E46" s="4" t="s">
        <v>159</v>
      </c>
      <c r="F46" s="4" t="s">
        <v>79</v>
      </c>
      <c r="H46" s="5" t="s">
        <v>76</v>
      </c>
      <c r="I46" s="4">
        <v>30</v>
      </c>
      <c r="J46" s="4">
        <v>30</v>
      </c>
      <c r="M46" s="4">
        <f t="shared" si="6"/>
        <v>45</v>
      </c>
      <c r="N46" s="4">
        <f t="shared" si="7"/>
        <v>0</v>
      </c>
    </row>
    <row r="47" spans="1:14" ht="15.75" customHeight="1" x14ac:dyDescent="0.25">
      <c r="A47" s="4">
        <v>42</v>
      </c>
      <c r="B47" s="4">
        <v>43</v>
      </c>
      <c r="D47" s="4" t="s">
        <v>34</v>
      </c>
      <c r="E47" s="4" t="s">
        <v>34</v>
      </c>
      <c r="F47" s="4" t="s">
        <v>131</v>
      </c>
      <c r="G47" s="4">
        <v>10802000</v>
      </c>
      <c r="H47" s="4" t="s">
        <v>38</v>
      </c>
      <c r="I47" s="4">
        <v>8</v>
      </c>
      <c r="J47" s="4">
        <v>8</v>
      </c>
      <c r="M47" s="4">
        <f t="shared" si="6"/>
        <v>12</v>
      </c>
      <c r="N47" s="4">
        <f t="shared" si="7"/>
        <v>0</v>
      </c>
    </row>
    <row r="48" spans="1:14" ht="15" customHeight="1" x14ac:dyDescent="0.25">
      <c r="B48" s="4">
        <v>44</v>
      </c>
      <c r="C48" s="4">
        <v>2021</v>
      </c>
      <c r="D48" s="4" t="s">
        <v>34</v>
      </c>
      <c r="E48" s="4" t="s">
        <v>159</v>
      </c>
      <c r="F48" s="4" t="s">
        <v>79</v>
      </c>
      <c r="H48" s="4" t="s">
        <v>73</v>
      </c>
      <c r="I48" s="4">
        <v>20</v>
      </c>
      <c r="J48" s="4">
        <v>20</v>
      </c>
      <c r="M48" s="4">
        <f t="shared" si="6"/>
        <v>30</v>
      </c>
      <c r="N48" s="4">
        <f t="shared" si="7"/>
        <v>0</v>
      </c>
    </row>
    <row r="49" spans="2:14" x14ac:dyDescent="0.25">
      <c r="B49" s="4">
        <v>45</v>
      </c>
      <c r="C49" s="4">
        <v>2021</v>
      </c>
      <c r="D49" s="4" t="s">
        <v>34</v>
      </c>
      <c r="E49" s="4" t="s">
        <v>159</v>
      </c>
      <c r="F49" s="4" t="s">
        <v>79</v>
      </c>
      <c r="H49" s="4" t="s">
        <v>74</v>
      </c>
      <c r="I49" s="4">
        <v>20</v>
      </c>
      <c r="J49" s="4">
        <v>20</v>
      </c>
      <c r="M49" s="4">
        <f t="shared" si="6"/>
        <v>30</v>
      </c>
      <c r="N49" s="4">
        <f t="shared" si="7"/>
        <v>0</v>
      </c>
    </row>
    <row r="50" spans="2:14" x14ac:dyDescent="0.25">
      <c r="B50" s="4">
        <v>46</v>
      </c>
      <c r="C50" s="4">
        <v>2021</v>
      </c>
      <c r="D50" s="4" t="s">
        <v>34</v>
      </c>
      <c r="E50" s="4" t="s">
        <v>34</v>
      </c>
      <c r="F50" s="4" t="s">
        <v>34</v>
      </c>
      <c r="H50" s="4" t="s">
        <v>75</v>
      </c>
      <c r="I50" s="4">
        <v>30</v>
      </c>
      <c r="J50" s="4">
        <v>30</v>
      </c>
      <c r="M50" s="4">
        <f t="shared" si="6"/>
        <v>45</v>
      </c>
      <c r="N50" s="4">
        <f t="shared" si="7"/>
        <v>0</v>
      </c>
    </row>
    <row r="51" spans="2:14" x14ac:dyDescent="0.25">
      <c r="B51" s="4">
        <v>47</v>
      </c>
      <c r="D51" s="4" t="s">
        <v>163</v>
      </c>
      <c r="E51" s="4" t="s">
        <v>5</v>
      </c>
      <c r="F51" s="4" t="s">
        <v>17</v>
      </c>
      <c r="G51" s="4">
        <v>70602000</v>
      </c>
      <c r="H51" s="4" t="s">
        <v>7</v>
      </c>
      <c r="I51" s="4">
        <v>15</v>
      </c>
      <c r="K51" s="4">
        <v>15</v>
      </c>
      <c r="M51" s="4">
        <f t="shared" si="6"/>
        <v>0</v>
      </c>
      <c r="N51" s="4">
        <f t="shared" si="7"/>
        <v>23</v>
      </c>
    </row>
    <row r="52" spans="2:14" x14ac:dyDescent="0.25">
      <c r="B52" s="4">
        <v>48</v>
      </c>
      <c r="D52" s="4" t="s">
        <v>163</v>
      </c>
      <c r="E52" s="4" t="s">
        <v>5</v>
      </c>
      <c r="F52" s="4" t="s">
        <v>6</v>
      </c>
      <c r="G52" s="4">
        <v>70701000</v>
      </c>
      <c r="H52" s="4" t="s">
        <v>7</v>
      </c>
      <c r="I52" s="4">
        <v>10</v>
      </c>
      <c r="K52" s="4">
        <v>10</v>
      </c>
      <c r="M52" s="4">
        <f t="shared" si="6"/>
        <v>0</v>
      </c>
      <c r="N52" s="4">
        <f t="shared" si="7"/>
        <v>15</v>
      </c>
    </row>
    <row r="53" spans="2:14" x14ac:dyDescent="0.25">
      <c r="B53" s="4">
        <v>49</v>
      </c>
      <c r="D53" s="4" t="s">
        <v>34</v>
      </c>
      <c r="E53" s="4" t="s">
        <v>47</v>
      </c>
      <c r="F53" s="4" t="s">
        <v>134</v>
      </c>
      <c r="G53" s="4">
        <v>60104000</v>
      </c>
      <c r="H53" s="4" t="s">
        <v>147</v>
      </c>
      <c r="I53" s="4">
        <v>10</v>
      </c>
      <c r="L53" s="4">
        <v>10</v>
      </c>
      <c r="M53" s="4">
        <f t="shared" si="6"/>
        <v>0</v>
      </c>
      <c r="N53" s="4">
        <f t="shared" si="7"/>
        <v>0</v>
      </c>
    </row>
    <row r="54" spans="2:14" x14ac:dyDescent="0.25">
      <c r="B54" s="4">
        <v>50</v>
      </c>
      <c r="C54" s="4" t="s">
        <v>12</v>
      </c>
      <c r="D54" s="4" t="s">
        <v>163</v>
      </c>
      <c r="E54" s="4" t="s">
        <v>5</v>
      </c>
      <c r="F54" s="4" t="s">
        <v>6</v>
      </c>
      <c r="G54" s="4">
        <v>70704000</v>
      </c>
      <c r="H54" s="4" t="s">
        <v>145</v>
      </c>
      <c r="I54" s="4">
        <v>10</v>
      </c>
      <c r="K54" s="4">
        <v>10</v>
      </c>
      <c r="M54" s="4">
        <f t="shared" si="6"/>
        <v>0</v>
      </c>
      <c r="N54" s="4">
        <f t="shared" si="7"/>
        <v>15</v>
      </c>
    </row>
    <row r="55" spans="2:14" x14ac:dyDescent="0.25">
      <c r="B55" s="4">
        <v>51</v>
      </c>
      <c r="D55" s="4" t="s">
        <v>163</v>
      </c>
      <c r="E55" s="4" t="s">
        <v>5</v>
      </c>
      <c r="F55" s="4" t="s">
        <v>6</v>
      </c>
      <c r="G55" s="4">
        <v>70801000</v>
      </c>
      <c r="H55" s="4" t="s">
        <v>13</v>
      </c>
      <c r="I55" s="4">
        <v>8</v>
      </c>
      <c r="K55" s="4">
        <v>8</v>
      </c>
      <c r="M55" s="4">
        <f t="shared" si="6"/>
        <v>0</v>
      </c>
      <c r="N55" s="4">
        <f t="shared" si="7"/>
        <v>12</v>
      </c>
    </row>
    <row r="56" spans="2:14" x14ac:dyDescent="0.25">
      <c r="B56" s="4">
        <v>52</v>
      </c>
      <c r="C56" s="4" t="s">
        <v>9</v>
      </c>
      <c r="D56" s="4" t="s">
        <v>34</v>
      </c>
      <c r="E56" s="4" t="s">
        <v>47</v>
      </c>
      <c r="F56" s="4" t="s">
        <v>134</v>
      </c>
      <c r="G56" s="4">
        <v>60101000</v>
      </c>
      <c r="H56" s="4" t="s">
        <v>69</v>
      </c>
      <c r="I56" s="4">
        <v>10</v>
      </c>
      <c r="L56" s="4">
        <v>10</v>
      </c>
      <c r="M56" s="4">
        <f t="shared" si="6"/>
        <v>0</v>
      </c>
      <c r="N56" s="4">
        <f t="shared" si="7"/>
        <v>0</v>
      </c>
    </row>
    <row r="57" spans="2:14" x14ac:dyDescent="0.25">
      <c r="B57" s="4">
        <v>53</v>
      </c>
      <c r="D57" s="4" t="s">
        <v>163</v>
      </c>
      <c r="E57" s="4" t="s">
        <v>5</v>
      </c>
      <c r="F57" s="4" t="s">
        <v>6</v>
      </c>
      <c r="G57" s="4">
        <v>70703000</v>
      </c>
      <c r="H57" s="4" t="s">
        <v>10</v>
      </c>
      <c r="I57" s="4">
        <v>10</v>
      </c>
      <c r="K57" s="4">
        <v>10</v>
      </c>
      <c r="M57" s="4">
        <f t="shared" si="6"/>
        <v>0</v>
      </c>
      <c r="N57" s="4">
        <f t="shared" si="7"/>
        <v>15</v>
      </c>
    </row>
    <row r="58" spans="2:14" x14ac:dyDescent="0.25">
      <c r="B58" s="4">
        <v>54</v>
      </c>
      <c r="D58" s="4" t="s">
        <v>163</v>
      </c>
      <c r="E58" s="4" t="s">
        <v>5</v>
      </c>
      <c r="F58" s="4" t="s">
        <v>6</v>
      </c>
      <c r="G58" s="4">
        <v>70901000</v>
      </c>
      <c r="H58" s="4" t="s">
        <v>14</v>
      </c>
      <c r="I58" s="4">
        <v>10</v>
      </c>
      <c r="K58" s="4">
        <v>10</v>
      </c>
      <c r="M58" s="4">
        <f t="shared" si="6"/>
        <v>0</v>
      </c>
      <c r="N58" s="4">
        <f t="shared" si="7"/>
        <v>15</v>
      </c>
    </row>
    <row r="59" spans="2:14" x14ac:dyDescent="0.25">
      <c r="B59" s="4">
        <v>55</v>
      </c>
      <c r="D59" s="4" t="s">
        <v>163</v>
      </c>
      <c r="E59" s="4" t="s">
        <v>5</v>
      </c>
      <c r="F59" s="4" t="s">
        <v>17</v>
      </c>
      <c r="G59" s="4">
        <v>70401000</v>
      </c>
      <c r="H59" s="4" t="s">
        <v>29</v>
      </c>
      <c r="I59" s="4">
        <v>15</v>
      </c>
      <c r="K59" s="4">
        <v>15</v>
      </c>
      <c r="M59" s="4">
        <f t="shared" si="6"/>
        <v>0</v>
      </c>
      <c r="N59" s="4">
        <f t="shared" si="7"/>
        <v>23</v>
      </c>
    </row>
    <row r="60" spans="2:14" hidden="1" x14ac:dyDescent="0.25">
      <c r="C60" s="4" t="s">
        <v>20</v>
      </c>
      <c r="E60" s="4" t="s">
        <v>148</v>
      </c>
      <c r="H60" s="4" t="s">
        <v>53</v>
      </c>
    </row>
    <row r="61" spans="2:14" hidden="1" x14ac:dyDescent="0.25">
      <c r="C61" s="4" t="s">
        <v>20</v>
      </c>
      <c r="E61" s="4" t="s">
        <v>148</v>
      </c>
      <c r="H61" s="4" t="s">
        <v>54</v>
      </c>
    </row>
    <row r="62" spans="2:14" hidden="1" x14ac:dyDescent="0.25">
      <c r="E62" s="4" t="s">
        <v>148</v>
      </c>
      <c r="H62" s="4" t="s">
        <v>55</v>
      </c>
    </row>
    <row r="63" spans="2:14" x14ac:dyDescent="0.25">
      <c r="B63" s="4">
        <v>56</v>
      </c>
      <c r="D63" s="4" t="s">
        <v>163</v>
      </c>
      <c r="E63" s="4" t="s">
        <v>5</v>
      </c>
      <c r="F63" s="4" t="s">
        <v>17</v>
      </c>
      <c r="G63" s="4">
        <v>70601000</v>
      </c>
      <c r="H63" s="4" t="s">
        <v>28</v>
      </c>
      <c r="I63" s="4">
        <v>8</v>
      </c>
      <c r="K63" s="4">
        <v>8</v>
      </c>
      <c r="M63" s="4">
        <f t="shared" ref="M63:M67" si="8">ROUND(J63 + (J63*0.5), 0)</f>
        <v>0</v>
      </c>
      <c r="N63" s="4">
        <f t="shared" ref="N63:N67" si="9">ROUND(K63 + (K63*0.5), )</f>
        <v>12</v>
      </c>
    </row>
    <row r="64" spans="2:14" x14ac:dyDescent="0.25">
      <c r="B64" s="4">
        <v>57</v>
      </c>
      <c r="D64" s="4" t="s">
        <v>163</v>
      </c>
      <c r="E64" s="4" t="s">
        <v>5</v>
      </c>
      <c r="F64" s="4" t="s">
        <v>17</v>
      </c>
      <c r="G64" s="4">
        <v>70201000</v>
      </c>
      <c r="H64" s="4" t="s">
        <v>30</v>
      </c>
      <c r="I64" s="4">
        <v>10</v>
      </c>
      <c r="K64" s="4">
        <v>10</v>
      </c>
      <c r="M64" s="4">
        <f t="shared" si="8"/>
        <v>0</v>
      </c>
      <c r="N64" s="4">
        <f t="shared" si="9"/>
        <v>15</v>
      </c>
    </row>
    <row r="65" spans="2:14" x14ac:dyDescent="0.25">
      <c r="B65" s="4">
        <v>58</v>
      </c>
      <c r="D65" s="4" t="s">
        <v>163</v>
      </c>
      <c r="E65" s="4" t="s">
        <v>5</v>
      </c>
      <c r="F65" s="4" t="s">
        <v>17</v>
      </c>
      <c r="G65" s="4">
        <v>70402000</v>
      </c>
      <c r="H65" s="4" t="s">
        <v>31</v>
      </c>
      <c r="I65" s="4">
        <v>10</v>
      </c>
      <c r="K65" s="4">
        <v>10</v>
      </c>
      <c r="M65" s="4">
        <f t="shared" si="8"/>
        <v>0</v>
      </c>
      <c r="N65" s="4">
        <f t="shared" si="9"/>
        <v>15</v>
      </c>
    </row>
    <row r="66" spans="2:14" x14ac:dyDescent="0.25">
      <c r="B66" s="4">
        <v>59</v>
      </c>
      <c r="D66" s="4" t="s">
        <v>34</v>
      </c>
      <c r="E66" s="4" t="s">
        <v>34</v>
      </c>
      <c r="F66" s="4" t="s">
        <v>6</v>
      </c>
      <c r="G66" s="4">
        <v>70705000</v>
      </c>
      <c r="H66" s="4" t="s">
        <v>15</v>
      </c>
      <c r="I66" s="4">
        <v>10</v>
      </c>
      <c r="J66" s="4">
        <v>10</v>
      </c>
      <c r="M66" s="4">
        <f t="shared" si="8"/>
        <v>15</v>
      </c>
      <c r="N66" s="4">
        <f t="shared" si="9"/>
        <v>0</v>
      </c>
    </row>
    <row r="67" spans="2:14" x14ac:dyDescent="0.25">
      <c r="B67" s="4">
        <v>60</v>
      </c>
      <c r="D67" s="4" t="s">
        <v>34</v>
      </c>
      <c r="E67" s="4" t="s">
        <v>34</v>
      </c>
      <c r="F67" s="4" t="s">
        <v>6</v>
      </c>
      <c r="G67" s="4">
        <v>70706000</v>
      </c>
      <c r="H67" s="4" t="s">
        <v>16</v>
      </c>
      <c r="I67" s="4">
        <v>10</v>
      </c>
      <c r="J67" s="4">
        <v>10</v>
      </c>
      <c r="M67" s="4">
        <f t="shared" si="8"/>
        <v>15</v>
      </c>
      <c r="N67" s="4">
        <f t="shared" si="9"/>
        <v>0</v>
      </c>
    </row>
    <row r="68" spans="2:14" hidden="1" x14ac:dyDescent="0.25">
      <c r="E68" s="4" t="s">
        <v>149</v>
      </c>
      <c r="H68" s="4" t="s">
        <v>57</v>
      </c>
    </row>
    <row r="69" spans="2:14" hidden="1" x14ac:dyDescent="0.25">
      <c r="C69" s="4" t="s">
        <v>66</v>
      </c>
      <c r="E69" s="4" t="s">
        <v>149</v>
      </c>
      <c r="H69" s="4" t="s">
        <v>65</v>
      </c>
    </row>
    <row r="70" spans="2:14" hidden="1" x14ac:dyDescent="0.25">
      <c r="E70" s="4" t="s">
        <v>149</v>
      </c>
      <c r="H70" s="4" t="s">
        <v>68</v>
      </c>
    </row>
    <row r="71" spans="2:14" hidden="1" x14ac:dyDescent="0.25">
      <c r="E71" s="4" t="s">
        <v>149</v>
      </c>
      <c r="H71" s="4" t="s">
        <v>57</v>
      </c>
    </row>
    <row r="72" spans="2:14" hidden="1" x14ac:dyDescent="0.25">
      <c r="C72" s="4">
        <v>2021</v>
      </c>
      <c r="E72" s="4" t="s">
        <v>153</v>
      </c>
      <c r="F72" s="4" t="s">
        <v>34</v>
      </c>
      <c r="H72" s="4" t="s">
        <v>71</v>
      </c>
    </row>
    <row r="73" spans="2:14" hidden="1" x14ac:dyDescent="0.25">
      <c r="C73" s="4">
        <v>2020</v>
      </c>
      <c r="E73" s="4" t="s">
        <v>153</v>
      </c>
      <c r="F73" s="4" t="s">
        <v>5</v>
      </c>
      <c r="H73" s="4" t="s">
        <v>81</v>
      </c>
    </row>
    <row r="74" spans="2:14" x14ac:dyDescent="0.25">
      <c r="B74" s="4">
        <v>97</v>
      </c>
      <c r="C74" s="4">
        <v>2020</v>
      </c>
      <c r="D74" s="4" t="s">
        <v>34</v>
      </c>
      <c r="E74" s="4" t="s">
        <v>47</v>
      </c>
      <c r="F74" s="4" t="s">
        <v>5</v>
      </c>
      <c r="H74" s="4" t="s">
        <v>82</v>
      </c>
      <c r="I74" s="4">
        <v>45</v>
      </c>
      <c r="L74" s="4">
        <v>45</v>
      </c>
      <c r="M74" s="4">
        <f t="shared" ref="M74:M77" si="10">ROUND(J74 + (J74*0.5), 0)</f>
        <v>0</v>
      </c>
      <c r="N74" s="4">
        <f t="shared" ref="N74:N77" si="11">ROUND(K74 + (K74*0.5), )</f>
        <v>0</v>
      </c>
    </row>
    <row r="75" spans="2:14" x14ac:dyDescent="0.25">
      <c r="B75" s="4">
        <v>98</v>
      </c>
      <c r="C75" s="4" t="s">
        <v>20</v>
      </c>
      <c r="D75" s="4" t="s">
        <v>34</v>
      </c>
      <c r="E75" s="4" t="s">
        <v>148</v>
      </c>
      <c r="F75" s="4" t="s">
        <v>156</v>
      </c>
      <c r="H75" s="4" t="s">
        <v>59</v>
      </c>
      <c r="I75" s="4">
        <v>3</v>
      </c>
      <c r="J75" s="4">
        <v>3</v>
      </c>
      <c r="M75" s="4">
        <f t="shared" si="10"/>
        <v>5</v>
      </c>
      <c r="N75" s="4">
        <f t="shared" si="11"/>
        <v>0</v>
      </c>
    </row>
    <row r="76" spans="2:14" x14ac:dyDescent="0.25">
      <c r="B76" s="4">
        <v>99</v>
      </c>
      <c r="C76" s="4" t="s">
        <v>27</v>
      </c>
      <c r="D76" s="4" t="s">
        <v>163</v>
      </c>
      <c r="E76" s="4" t="s">
        <v>5</v>
      </c>
      <c r="F76" s="4" t="s">
        <v>17</v>
      </c>
      <c r="G76" s="4">
        <v>70204000</v>
      </c>
      <c r="H76" s="4" t="s">
        <v>26</v>
      </c>
      <c r="I76" s="4">
        <v>8</v>
      </c>
      <c r="K76" s="4">
        <v>8</v>
      </c>
      <c r="M76" s="4">
        <f t="shared" si="10"/>
        <v>0</v>
      </c>
      <c r="N76" s="4">
        <f t="shared" si="11"/>
        <v>12</v>
      </c>
    </row>
    <row r="77" spans="2:14" x14ac:dyDescent="0.25">
      <c r="B77" s="4">
        <v>100</v>
      </c>
      <c r="C77" s="4" t="s">
        <v>20</v>
      </c>
      <c r="D77" s="4" t="s">
        <v>34</v>
      </c>
      <c r="E77" s="4" t="s">
        <v>34</v>
      </c>
      <c r="F77" s="4" t="s">
        <v>131</v>
      </c>
      <c r="G77" s="4">
        <v>10801000</v>
      </c>
      <c r="H77" s="4" t="s">
        <v>19</v>
      </c>
      <c r="I77" s="4">
        <v>15</v>
      </c>
      <c r="J77" s="4">
        <v>15</v>
      </c>
      <c r="M77" s="4">
        <f t="shared" si="10"/>
        <v>23</v>
      </c>
      <c r="N77" s="4">
        <f t="shared" si="11"/>
        <v>0</v>
      </c>
    </row>
    <row r="78" spans="2:14" hidden="1" x14ac:dyDescent="0.25">
      <c r="C78" s="4">
        <v>2020</v>
      </c>
      <c r="E78" s="4" t="s">
        <v>153</v>
      </c>
      <c r="F78" s="4" t="s">
        <v>86</v>
      </c>
      <c r="H78" s="4" t="s">
        <v>87</v>
      </c>
    </row>
    <row r="79" spans="2:14" hidden="1" x14ac:dyDescent="0.25">
      <c r="C79" s="4">
        <v>2020</v>
      </c>
      <c r="E79" s="4" t="s">
        <v>153</v>
      </c>
      <c r="F79" s="4" t="s">
        <v>86</v>
      </c>
      <c r="H79" s="4" t="s">
        <v>88</v>
      </c>
    </row>
    <row r="80" spans="2:14" hidden="1" x14ac:dyDescent="0.25">
      <c r="C80" s="4">
        <v>2020</v>
      </c>
      <c r="E80" s="4" t="s">
        <v>153</v>
      </c>
      <c r="F80" s="4" t="s">
        <v>86</v>
      </c>
      <c r="H80" s="4" t="s">
        <v>89</v>
      </c>
    </row>
    <row r="81" spans="2:14" hidden="1" x14ac:dyDescent="0.25">
      <c r="C81" s="4">
        <v>2020</v>
      </c>
      <c r="E81" s="4" t="s">
        <v>153</v>
      </c>
      <c r="F81" s="4" t="s">
        <v>80</v>
      </c>
      <c r="H81" s="4" t="s">
        <v>90</v>
      </c>
    </row>
    <row r="82" spans="2:14" hidden="1" x14ac:dyDescent="0.25">
      <c r="C82" s="4">
        <v>2020</v>
      </c>
      <c r="E82" s="4" t="s">
        <v>153</v>
      </c>
      <c r="F82" s="4" t="s">
        <v>91</v>
      </c>
      <c r="H82" s="4" t="s">
        <v>92</v>
      </c>
    </row>
    <row r="83" spans="2:14" hidden="1" x14ac:dyDescent="0.25">
      <c r="C83" s="4">
        <v>2020</v>
      </c>
      <c r="E83" s="4" t="s">
        <v>153</v>
      </c>
      <c r="F83" s="4" t="s">
        <v>93</v>
      </c>
      <c r="H83" s="4" t="s">
        <v>94</v>
      </c>
    </row>
    <row r="84" spans="2:14" hidden="1" x14ac:dyDescent="0.25">
      <c r="C84" s="4">
        <v>2020</v>
      </c>
      <c r="E84" s="4" t="s">
        <v>153</v>
      </c>
      <c r="F84" s="4" t="s">
        <v>95</v>
      </c>
      <c r="H84" s="4" t="s">
        <v>96</v>
      </c>
    </row>
    <row r="85" spans="2:14" x14ac:dyDescent="0.25">
      <c r="B85" s="4">
        <v>100</v>
      </c>
      <c r="C85" s="4" t="s">
        <v>20</v>
      </c>
      <c r="D85" s="4" t="s">
        <v>163</v>
      </c>
      <c r="E85" s="4" t="s">
        <v>5</v>
      </c>
      <c r="F85" s="4" t="s">
        <v>17</v>
      </c>
      <c r="G85" s="4">
        <v>70301000</v>
      </c>
      <c r="H85" s="4" t="s">
        <v>19</v>
      </c>
      <c r="I85" s="4">
        <v>40</v>
      </c>
      <c r="K85" s="4">
        <v>40</v>
      </c>
      <c r="M85" s="4">
        <f>ROUND(J85 + (J85*0.5), 0)</f>
        <v>0</v>
      </c>
      <c r="N85" s="4">
        <f>ROUND(K85 + (K85*0.5), )</f>
        <v>60</v>
      </c>
    </row>
    <row r="86" spans="2:14" ht="15.75" hidden="1" x14ac:dyDescent="0.3">
      <c r="I86" s="6"/>
      <c r="J86" s="6"/>
      <c r="K86" s="6"/>
      <c r="L86" s="6"/>
    </row>
    <row r="87" spans="2:14" hidden="1" x14ac:dyDescent="0.25">
      <c r="I87" s="4">
        <f>SUM(I2:I85)</f>
        <v>812</v>
      </c>
      <c r="J87" s="4">
        <f t="shared" ref="J87:N87" si="12">SUM(J2:J85)</f>
        <v>387</v>
      </c>
      <c r="K87" s="4">
        <f t="shared" si="12"/>
        <v>328</v>
      </c>
      <c r="L87" s="4">
        <f t="shared" si="12"/>
        <v>77</v>
      </c>
      <c r="M87" s="4">
        <f t="shared" si="12"/>
        <v>574</v>
      </c>
      <c r="N87" s="4">
        <f t="shared" si="12"/>
        <v>495</v>
      </c>
    </row>
    <row r="89" spans="2:14" x14ac:dyDescent="0.25">
      <c r="M89" s="4">
        <f>M87-309</f>
        <v>265</v>
      </c>
      <c r="N89" s="4">
        <f>N87-309</f>
        <v>186</v>
      </c>
    </row>
  </sheetData>
  <autoFilter ref="A1:M87">
    <filterColumn colId="1">
      <customFilters>
        <customFilter operator="notEqual" val=" "/>
      </customFilters>
    </filterColumn>
  </autoFilter>
  <sortState ref="A2:L85">
    <sortCondition ref="B2:B86"/>
  </sortState>
  <pageMargins left="0.7" right="0.7" top="0.75" bottom="0.75" header="0.3" footer="0.3"/>
  <pageSetup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I66"/>
  <sheetViews>
    <sheetView workbookViewId="0">
      <selection activeCell="A50" sqref="A50"/>
    </sheetView>
  </sheetViews>
  <sheetFormatPr defaultRowHeight="15" x14ac:dyDescent="0.25"/>
  <cols>
    <col min="1" max="1" width="5.140625" bestFit="1" customWidth="1"/>
    <col min="2" max="2" width="10.28515625" bestFit="1" customWidth="1"/>
    <col min="3" max="3" width="104.85546875" bestFit="1" customWidth="1"/>
    <col min="4" max="4" width="12.85546875" bestFit="1" customWidth="1"/>
    <col min="5" max="7" width="10.28515625" bestFit="1" customWidth="1"/>
    <col min="8" max="9" width="12.85546875" bestFit="1" customWidth="1"/>
  </cols>
  <sheetData>
    <row r="1" spans="1:9" ht="15.75" x14ac:dyDescent="0.3">
      <c r="A1" s="2" t="s">
        <v>154</v>
      </c>
      <c r="B1" s="2" t="s">
        <v>0</v>
      </c>
      <c r="C1" s="2" t="s">
        <v>2</v>
      </c>
      <c r="D1" s="2" t="s">
        <v>4</v>
      </c>
      <c r="E1" s="2" t="s">
        <v>34</v>
      </c>
      <c r="F1" s="2" t="s">
        <v>5</v>
      </c>
      <c r="G1" s="2" t="s">
        <v>47</v>
      </c>
      <c r="H1" s="7" t="s">
        <v>161</v>
      </c>
      <c r="I1" s="2" t="s">
        <v>162</v>
      </c>
    </row>
    <row r="2" spans="1:9" ht="15.75" x14ac:dyDescent="0.3">
      <c r="A2" s="6">
        <v>1</v>
      </c>
      <c r="B2" s="6" t="s">
        <v>163</v>
      </c>
      <c r="C2" s="6" t="s">
        <v>18</v>
      </c>
      <c r="D2" s="6">
        <v>20</v>
      </c>
      <c r="E2" s="4"/>
      <c r="F2" s="6">
        <v>20</v>
      </c>
      <c r="G2" s="4"/>
      <c r="H2" s="4">
        <v>0</v>
      </c>
      <c r="I2" s="4">
        <v>30</v>
      </c>
    </row>
    <row r="3" spans="1:9" ht="15.75" x14ac:dyDescent="0.3">
      <c r="A3" s="6">
        <v>2</v>
      </c>
      <c r="B3" s="6" t="s">
        <v>34</v>
      </c>
      <c r="C3" s="6" t="s">
        <v>36</v>
      </c>
      <c r="D3" s="6">
        <v>30</v>
      </c>
      <c r="E3" s="6">
        <v>30</v>
      </c>
      <c r="F3" s="4"/>
      <c r="G3" s="4"/>
      <c r="H3" s="4">
        <v>45</v>
      </c>
      <c r="I3" s="4">
        <v>0</v>
      </c>
    </row>
    <row r="4" spans="1:9" ht="15.75" x14ac:dyDescent="0.3">
      <c r="A4" s="6">
        <v>3</v>
      </c>
      <c r="B4" s="6" t="s">
        <v>34</v>
      </c>
      <c r="C4" s="6" t="s">
        <v>35</v>
      </c>
      <c r="D4" s="6">
        <v>60</v>
      </c>
      <c r="E4" s="6">
        <v>60</v>
      </c>
      <c r="F4" s="4"/>
      <c r="G4" s="4"/>
      <c r="H4" s="4">
        <v>90</v>
      </c>
      <c r="I4" s="4">
        <v>0</v>
      </c>
    </row>
    <row r="5" spans="1:9" ht="15.75" x14ac:dyDescent="0.3">
      <c r="A5" s="6">
        <v>4</v>
      </c>
      <c r="B5" s="6" t="s">
        <v>34</v>
      </c>
      <c r="C5" s="6" t="s">
        <v>37</v>
      </c>
      <c r="D5" s="6">
        <v>15</v>
      </c>
      <c r="E5" s="4">
        <v>15</v>
      </c>
      <c r="F5" s="4"/>
      <c r="G5" s="4"/>
      <c r="H5" s="4">
        <v>23</v>
      </c>
      <c r="I5" s="4">
        <v>0</v>
      </c>
    </row>
    <row r="6" spans="1:9" x14ac:dyDescent="0.25">
      <c r="A6" s="4">
        <v>5</v>
      </c>
      <c r="B6" s="4" t="s">
        <v>34</v>
      </c>
      <c r="C6" s="4" t="s">
        <v>48</v>
      </c>
      <c r="D6" s="4">
        <v>6</v>
      </c>
      <c r="E6" s="4"/>
      <c r="F6" s="4"/>
      <c r="G6" s="4">
        <v>6</v>
      </c>
      <c r="H6" s="4">
        <v>0</v>
      </c>
      <c r="I6" s="4">
        <v>0</v>
      </c>
    </row>
    <row r="7" spans="1:9" x14ac:dyDescent="0.25">
      <c r="A7" s="4">
        <v>6</v>
      </c>
      <c r="B7" s="4" t="s">
        <v>34</v>
      </c>
      <c r="C7" s="4" t="s">
        <v>49</v>
      </c>
      <c r="D7" s="4">
        <v>6</v>
      </c>
      <c r="E7" s="4"/>
      <c r="F7" s="4"/>
      <c r="G7" s="4">
        <v>6</v>
      </c>
      <c r="H7" s="4">
        <v>0</v>
      </c>
      <c r="I7" s="4">
        <v>0</v>
      </c>
    </row>
    <row r="8" spans="1:9" x14ac:dyDescent="0.25">
      <c r="A8" s="4">
        <v>7</v>
      </c>
      <c r="B8" s="4" t="s">
        <v>34</v>
      </c>
      <c r="C8" s="5" t="s">
        <v>152</v>
      </c>
      <c r="D8" s="4">
        <v>5</v>
      </c>
      <c r="E8" s="4">
        <v>5</v>
      </c>
      <c r="F8" s="4"/>
      <c r="G8" s="4"/>
      <c r="H8" s="4">
        <v>8</v>
      </c>
      <c r="I8" s="4">
        <v>0</v>
      </c>
    </row>
    <row r="9" spans="1:9" x14ac:dyDescent="0.25">
      <c r="A9" s="4">
        <v>8</v>
      </c>
      <c r="B9" s="4" t="s">
        <v>163</v>
      </c>
      <c r="C9" s="5" t="s">
        <v>78</v>
      </c>
      <c r="D9" s="4">
        <v>15</v>
      </c>
      <c r="E9" s="4"/>
      <c r="F9" s="4">
        <v>15</v>
      </c>
      <c r="G9" s="4"/>
      <c r="H9" s="4">
        <v>0</v>
      </c>
      <c r="I9" s="4">
        <v>23</v>
      </c>
    </row>
    <row r="10" spans="1:9" x14ac:dyDescent="0.25">
      <c r="A10" s="4">
        <v>9</v>
      </c>
      <c r="B10" s="4" t="s">
        <v>163</v>
      </c>
      <c r="C10" s="4" t="s">
        <v>146</v>
      </c>
      <c r="D10" s="4">
        <v>15</v>
      </c>
      <c r="E10" s="4"/>
      <c r="F10" s="4">
        <v>15</v>
      </c>
      <c r="G10" s="4"/>
      <c r="H10" s="4">
        <v>0</v>
      </c>
      <c r="I10" s="4">
        <v>23</v>
      </c>
    </row>
    <row r="11" spans="1:9" x14ac:dyDescent="0.25">
      <c r="A11" s="4">
        <v>10</v>
      </c>
      <c r="B11" s="4" t="s">
        <v>34</v>
      </c>
      <c r="C11" s="4" t="s">
        <v>50</v>
      </c>
      <c r="D11" s="4">
        <v>10</v>
      </c>
      <c r="E11" s="4">
        <v>2</v>
      </c>
      <c r="F11" s="4">
        <v>8</v>
      </c>
      <c r="G11" s="4"/>
      <c r="H11" s="4">
        <v>3</v>
      </c>
      <c r="I11" s="4">
        <v>12</v>
      </c>
    </row>
    <row r="12" spans="1:9" x14ac:dyDescent="0.25">
      <c r="A12" s="4">
        <v>11</v>
      </c>
      <c r="B12" s="4" t="s">
        <v>34</v>
      </c>
      <c r="C12" s="4" t="s">
        <v>51</v>
      </c>
      <c r="D12" s="4">
        <v>5</v>
      </c>
      <c r="E12" s="4">
        <v>5</v>
      </c>
      <c r="F12" s="4"/>
      <c r="G12" s="4"/>
      <c r="H12" s="4">
        <v>8</v>
      </c>
      <c r="I12" s="4">
        <v>0</v>
      </c>
    </row>
    <row r="13" spans="1:9" x14ac:dyDescent="0.25">
      <c r="A13" s="4">
        <v>12</v>
      </c>
      <c r="B13" s="4" t="s">
        <v>34</v>
      </c>
      <c r="C13" s="4" t="s">
        <v>39</v>
      </c>
      <c r="D13" s="4">
        <v>8</v>
      </c>
      <c r="E13" s="4">
        <v>8</v>
      </c>
      <c r="F13" s="4"/>
      <c r="G13" s="4"/>
      <c r="H13" s="4">
        <v>12</v>
      </c>
      <c r="I13" s="4">
        <v>0</v>
      </c>
    </row>
    <row r="14" spans="1:9" x14ac:dyDescent="0.25">
      <c r="A14" s="4">
        <v>13</v>
      </c>
      <c r="B14" s="4" t="s">
        <v>34</v>
      </c>
      <c r="C14" s="4" t="s">
        <v>157</v>
      </c>
      <c r="D14" s="4">
        <v>5</v>
      </c>
      <c r="E14" s="4">
        <v>5</v>
      </c>
      <c r="F14" s="4"/>
      <c r="G14" s="4"/>
      <c r="H14" s="4">
        <v>8</v>
      </c>
      <c r="I14" s="4">
        <v>0</v>
      </c>
    </row>
    <row r="15" spans="1:9" x14ac:dyDescent="0.25">
      <c r="A15" s="4">
        <v>14</v>
      </c>
      <c r="B15" s="4" t="s">
        <v>163</v>
      </c>
      <c r="C15" s="4" t="s">
        <v>22</v>
      </c>
      <c r="D15" s="4">
        <v>10</v>
      </c>
      <c r="E15" s="4"/>
      <c r="F15" s="4">
        <v>10</v>
      </c>
      <c r="G15" s="4"/>
      <c r="H15" s="4">
        <v>0</v>
      </c>
      <c r="I15" s="4">
        <v>15</v>
      </c>
    </row>
    <row r="16" spans="1:9" x14ac:dyDescent="0.25">
      <c r="A16" s="4">
        <v>15</v>
      </c>
      <c r="B16" s="4" t="s">
        <v>163</v>
      </c>
      <c r="C16" s="4" t="s">
        <v>23</v>
      </c>
      <c r="D16" s="4">
        <v>8</v>
      </c>
      <c r="E16" s="4"/>
      <c r="F16" s="4">
        <v>8</v>
      </c>
      <c r="G16" s="4"/>
      <c r="H16" s="4">
        <v>0</v>
      </c>
      <c r="I16" s="4">
        <v>12</v>
      </c>
    </row>
    <row r="17" spans="1:9" x14ac:dyDescent="0.25">
      <c r="A17" s="4">
        <v>16</v>
      </c>
      <c r="B17" s="4" t="s">
        <v>163</v>
      </c>
      <c r="C17" s="4" t="s">
        <v>21</v>
      </c>
      <c r="D17" s="4">
        <v>15</v>
      </c>
      <c r="E17" s="4"/>
      <c r="F17" s="4">
        <v>15</v>
      </c>
      <c r="G17" s="4"/>
      <c r="H17" s="4">
        <v>0</v>
      </c>
      <c r="I17" s="4">
        <v>23</v>
      </c>
    </row>
    <row r="18" spans="1:9" x14ac:dyDescent="0.25">
      <c r="A18" s="4">
        <v>17</v>
      </c>
      <c r="B18" s="4" t="s">
        <v>34</v>
      </c>
      <c r="C18" s="4" t="s">
        <v>56</v>
      </c>
      <c r="D18" s="4">
        <v>3</v>
      </c>
      <c r="E18" s="4">
        <v>3</v>
      </c>
      <c r="F18" s="4"/>
      <c r="G18" s="4"/>
      <c r="H18" s="4">
        <v>5</v>
      </c>
      <c r="I18" s="4">
        <v>0</v>
      </c>
    </row>
    <row r="19" spans="1:9" x14ac:dyDescent="0.25">
      <c r="A19" s="4">
        <v>18</v>
      </c>
      <c r="B19" s="4" t="s">
        <v>34</v>
      </c>
      <c r="C19" s="4" t="s">
        <v>58</v>
      </c>
      <c r="D19" s="4">
        <v>2</v>
      </c>
      <c r="E19" s="4">
        <v>2</v>
      </c>
      <c r="F19" s="4"/>
      <c r="G19" s="4"/>
      <c r="H19" s="4">
        <v>3</v>
      </c>
      <c r="I19" s="4">
        <v>0</v>
      </c>
    </row>
    <row r="20" spans="1:9" x14ac:dyDescent="0.25">
      <c r="A20" s="4">
        <v>19</v>
      </c>
      <c r="B20" s="4" t="s">
        <v>34</v>
      </c>
      <c r="C20" s="4" t="s">
        <v>64</v>
      </c>
      <c r="D20" s="4">
        <v>1</v>
      </c>
      <c r="E20" s="4">
        <v>1</v>
      </c>
      <c r="F20" s="4"/>
      <c r="G20" s="4"/>
      <c r="H20" s="4">
        <v>2</v>
      </c>
      <c r="I20" s="4">
        <v>0</v>
      </c>
    </row>
    <row r="21" spans="1:9" x14ac:dyDescent="0.25">
      <c r="A21" s="4">
        <v>20</v>
      </c>
      <c r="B21" s="4" t="s">
        <v>163</v>
      </c>
      <c r="C21" s="4" t="s">
        <v>32</v>
      </c>
      <c r="D21" s="4">
        <v>8</v>
      </c>
      <c r="E21" s="4"/>
      <c r="F21" s="4">
        <v>8</v>
      </c>
      <c r="G21" s="4"/>
      <c r="H21" s="4">
        <v>0</v>
      </c>
      <c r="I21" s="4">
        <v>12</v>
      </c>
    </row>
    <row r="22" spans="1:9" x14ac:dyDescent="0.25">
      <c r="A22" s="4">
        <v>21</v>
      </c>
      <c r="B22" s="4" t="s">
        <v>34</v>
      </c>
      <c r="C22" s="4" t="s">
        <v>160</v>
      </c>
      <c r="D22" s="4">
        <v>5</v>
      </c>
      <c r="E22" s="4">
        <v>5</v>
      </c>
      <c r="F22" s="4"/>
      <c r="G22" s="4"/>
      <c r="H22" s="4">
        <v>8</v>
      </c>
      <c r="I22" s="4">
        <v>0</v>
      </c>
    </row>
    <row r="23" spans="1:9" x14ac:dyDescent="0.25">
      <c r="A23" s="4">
        <v>22</v>
      </c>
      <c r="B23" s="4" t="s">
        <v>34</v>
      </c>
      <c r="C23" s="4" t="s">
        <v>77</v>
      </c>
      <c r="D23" s="4">
        <v>10</v>
      </c>
      <c r="E23" s="4">
        <v>10</v>
      </c>
      <c r="F23" s="4"/>
      <c r="G23" s="4"/>
      <c r="H23" s="4">
        <v>15</v>
      </c>
      <c r="I23" s="4">
        <v>0</v>
      </c>
    </row>
    <row r="24" spans="1:9" x14ac:dyDescent="0.25">
      <c r="A24" s="4">
        <v>23</v>
      </c>
      <c r="B24" s="4" t="s">
        <v>163</v>
      </c>
      <c r="C24" s="4" t="s">
        <v>25</v>
      </c>
      <c r="D24" s="4">
        <v>10</v>
      </c>
      <c r="E24" s="4"/>
      <c r="F24" s="4">
        <v>10</v>
      </c>
      <c r="G24" s="4"/>
      <c r="H24" s="4">
        <v>0</v>
      </c>
      <c r="I24" s="4">
        <v>15</v>
      </c>
    </row>
    <row r="25" spans="1:9" x14ac:dyDescent="0.25">
      <c r="A25" s="4">
        <v>24</v>
      </c>
      <c r="B25" s="4" t="s">
        <v>163</v>
      </c>
      <c r="C25" s="4" t="s">
        <v>8</v>
      </c>
      <c r="D25" s="4">
        <v>10</v>
      </c>
      <c r="E25" s="4"/>
      <c r="F25" s="4">
        <v>10</v>
      </c>
      <c r="G25" s="4"/>
      <c r="H25" s="4">
        <v>0</v>
      </c>
      <c r="I25" s="4">
        <v>15</v>
      </c>
    </row>
    <row r="26" spans="1:9" x14ac:dyDescent="0.25">
      <c r="A26" s="4">
        <v>25</v>
      </c>
      <c r="B26" s="4" t="s">
        <v>163</v>
      </c>
      <c r="C26" s="4" t="s">
        <v>33</v>
      </c>
      <c r="D26" s="4">
        <v>10</v>
      </c>
      <c r="E26" s="4"/>
      <c r="F26" s="4">
        <v>10</v>
      </c>
      <c r="G26" s="4"/>
      <c r="H26" s="4">
        <v>0</v>
      </c>
      <c r="I26" s="4">
        <v>15</v>
      </c>
    </row>
    <row r="27" spans="1:9" x14ac:dyDescent="0.25">
      <c r="A27" s="4">
        <v>26</v>
      </c>
      <c r="B27" s="4" t="s">
        <v>34</v>
      </c>
      <c r="C27" s="4" t="s">
        <v>40</v>
      </c>
      <c r="D27" s="4">
        <v>5</v>
      </c>
      <c r="E27" s="4">
        <v>5</v>
      </c>
      <c r="F27" s="4"/>
      <c r="G27" s="4"/>
      <c r="H27" s="4">
        <v>8</v>
      </c>
      <c r="I27" s="4">
        <v>0</v>
      </c>
    </row>
    <row r="28" spans="1:9" x14ac:dyDescent="0.25">
      <c r="A28" s="4">
        <v>27</v>
      </c>
      <c r="B28" s="4" t="s">
        <v>163</v>
      </c>
      <c r="C28" s="4" t="s">
        <v>63</v>
      </c>
      <c r="D28" s="4">
        <v>15</v>
      </c>
      <c r="E28" s="4"/>
      <c r="F28" s="4">
        <v>15</v>
      </c>
      <c r="G28" s="4"/>
      <c r="H28" s="4">
        <v>0</v>
      </c>
      <c r="I28" s="4">
        <v>23</v>
      </c>
    </row>
    <row r="29" spans="1:9" x14ac:dyDescent="0.25">
      <c r="A29" s="4">
        <v>28</v>
      </c>
      <c r="B29" s="4" t="s">
        <v>34</v>
      </c>
      <c r="C29" s="4" t="s">
        <v>42</v>
      </c>
      <c r="D29" s="4">
        <v>8</v>
      </c>
      <c r="E29" s="4">
        <v>8</v>
      </c>
      <c r="F29" s="4"/>
      <c r="G29" s="4"/>
      <c r="H29" s="4">
        <v>12</v>
      </c>
      <c r="I29" s="4">
        <v>0</v>
      </c>
    </row>
    <row r="30" spans="1:9" x14ac:dyDescent="0.25">
      <c r="A30" s="4">
        <v>29</v>
      </c>
      <c r="B30" s="4" t="s">
        <v>34</v>
      </c>
      <c r="C30" s="4" t="s">
        <v>67</v>
      </c>
      <c r="D30" s="4">
        <v>3</v>
      </c>
      <c r="E30" s="4">
        <v>3</v>
      </c>
      <c r="F30" s="4"/>
      <c r="G30" s="4"/>
      <c r="H30" s="4">
        <v>5</v>
      </c>
      <c r="I30" s="4">
        <v>0</v>
      </c>
    </row>
    <row r="31" spans="1:9" x14ac:dyDescent="0.25">
      <c r="A31" s="4">
        <v>30</v>
      </c>
      <c r="B31" s="4" t="s">
        <v>34</v>
      </c>
      <c r="C31" s="4" t="s">
        <v>41</v>
      </c>
      <c r="D31" s="4">
        <v>6</v>
      </c>
      <c r="E31" s="4">
        <v>6</v>
      </c>
      <c r="F31" s="4"/>
      <c r="G31" s="4"/>
      <c r="H31" s="4">
        <v>9</v>
      </c>
      <c r="I31" s="4">
        <v>0</v>
      </c>
    </row>
    <row r="32" spans="1:9" x14ac:dyDescent="0.25">
      <c r="A32" s="4">
        <v>31</v>
      </c>
      <c r="B32" s="4" t="s">
        <v>163</v>
      </c>
      <c r="C32" s="4" t="s">
        <v>24</v>
      </c>
      <c r="D32" s="4">
        <v>20</v>
      </c>
      <c r="E32" s="4"/>
      <c r="F32" s="4">
        <v>20</v>
      </c>
      <c r="G32" s="4"/>
      <c r="H32" s="4">
        <v>0</v>
      </c>
      <c r="I32" s="4">
        <v>30</v>
      </c>
    </row>
    <row r="33" spans="1:9" x14ac:dyDescent="0.25">
      <c r="A33" s="4">
        <v>32</v>
      </c>
      <c r="B33" s="4" t="s">
        <v>34</v>
      </c>
      <c r="C33" s="4" t="s">
        <v>43</v>
      </c>
      <c r="D33" s="4">
        <v>3</v>
      </c>
      <c r="E33" s="4">
        <v>3</v>
      </c>
      <c r="F33" s="4"/>
      <c r="G33" s="4"/>
      <c r="H33" s="4">
        <v>5</v>
      </c>
      <c r="I33" s="4">
        <v>0</v>
      </c>
    </row>
    <row r="34" spans="1:9" x14ac:dyDescent="0.25">
      <c r="A34" s="4">
        <v>33</v>
      </c>
      <c r="B34" s="4" t="s">
        <v>163</v>
      </c>
      <c r="C34" s="4" t="s">
        <v>62</v>
      </c>
      <c r="D34" s="4">
        <v>10</v>
      </c>
      <c r="E34" s="4"/>
      <c r="F34" s="4">
        <v>10</v>
      </c>
      <c r="G34" s="4"/>
      <c r="H34" s="4">
        <v>0</v>
      </c>
      <c r="I34" s="4">
        <v>15</v>
      </c>
    </row>
    <row r="35" spans="1:9" x14ac:dyDescent="0.25">
      <c r="A35" s="4">
        <v>34</v>
      </c>
      <c r="B35" s="4" t="s">
        <v>34</v>
      </c>
      <c r="C35" s="4" t="s">
        <v>52</v>
      </c>
      <c r="D35" s="4">
        <v>3</v>
      </c>
      <c r="E35" s="4">
        <v>3</v>
      </c>
      <c r="F35" s="4"/>
      <c r="G35" s="4"/>
      <c r="H35" s="4">
        <v>5</v>
      </c>
      <c r="I35" s="4">
        <v>0</v>
      </c>
    </row>
    <row r="36" spans="1:9" x14ac:dyDescent="0.25">
      <c r="A36" s="4">
        <v>35</v>
      </c>
      <c r="B36" s="4" t="s">
        <v>34</v>
      </c>
      <c r="C36" s="4" t="s">
        <v>45</v>
      </c>
      <c r="D36" s="4">
        <v>5</v>
      </c>
      <c r="E36" s="4">
        <v>5</v>
      </c>
      <c r="F36" s="4"/>
      <c r="G36" s="4"/>
      <c r="H36" s="4">
        <v>8</v>
      </c>
      <c r="I36" s="4">
        <v>0</v>
      </c>
    </row>
    <row r="37" spans="1:9" x14ac:dyDescent="0.25">
      <c r="A37" s="4">
        <v>36</v>
      </c>
      <c r="B37" s="4" t="s">
        <v>34</v>
      </c>
      <c r="C37" s="4" t="s">
        <v>83</v>
      </c>
      <c r="D37" s="4">
        <v>6</v>
      </c>
      <c r="E37" s="4">
        <v>6</v>
      </c>
      <c r="F37" s="4"/>
      <c r="G37" s="4"/>
      <c r="H37" s="4">
        <v>9</v>
      </c>
      <c r="I37" s="4">
        <v>0</v>
      </c>
    </row>
    <row r="38" spans="1:9" x14ac:dyDescent="0.25">
      <c r="A38" s="4">
        <v>37</v>
      </c>
      <c r="B38" s="4" t="s">
        <v>34</v>
      </c>
      <c r="C38" s="4" t="s">
        <v>46</v>
      </c>
      <c r="D38" s="4">
        <v>15</v>
      </c>
      <c r="E38" s="4">
        <v>15</v>
      </c>
      <c r="F38" s="4"/>
      <c r="G38" s="4"/>
      <c r="H38" s="4">
        <v>23</v>
      </c>
      <c r="I38" s="4">
        <v>0</v>
      </c>
    </row>
    <row r="39" spans="1:9" x14ac:dyDescent="0.25">
      <c r="A39" s="4">
        <v>38</v>
      </c>
      <c r="B39" s="4" t="s">
        <v>34</v>
      </c>
      <c r="C39" s="5" t="s">
        <v>84</v>
      </c>
      <c r="D39" s="4">
        <v>4</v>
      </c>
      <c r="E39" s="4">
        <v>4</v>
      </c>
      <c r="F39" s="4"/>
      <c r="G39" s="4"/>
      <c r="H39" s="4">
        <v>6</v>
      </c>
      <c r="I39" s="4">
        <v>0</v>
      </c>
    </row>
    <row r="40" spans="1:9" x14ac:dyDescent="0.25">
      <c r="A40" s="4">
        <v>39</v>
      </c>
      <c r="B40" s="4" t="s">
        <v>34</v>
      </c>
      <c r="C40" s="4" t="s">
        <v>44</v>
      </c>
      <c r="D40" s="4">
        <v>15</v>
      </c>
      <c r="E40" s="4">
        <v>15</v>
      </c>
      <c r="F40" s="4"/>
      <c r="G40" s="4"/>
      <c r="H40" s="4">
        <v>23</v>
      </c>
      <c r="I40" s="4">
        <v>0</v>
      </c>
    </row>
    <row r="41" spans="1:9" x14ac:dyDescent="0.25">
      <c r="A41" s="4">
        <v>40</v>
      </c>
      <c r="B41" s="4" t="s">
        <v>34</v>
      </c>
      <c r="C41" s="4" t="s">
        <v>72</v>
      </c>
      <c r="D41" s="4">
        <v>3</v>
      </c>
      <c r="E41" s="4">
        <v>3</v>
      </c>
      <c r="F41" s="4"/>
      <c r="G41" s="4"/>
      <c r="H41" s="4">
        <v>5</v>
      </c>
      <c r="I41" s="4">
        <v>0</v>
      </c>
    </row>
    <row r="42" spans="1:9" x14ac:dyDescent="0.25">
      <c r="A42" s="4">
        <v>41</v>
      </c>
      <c r="B42" s="4" t="s">
        <v>34</v>
      </c>
      <c r="C42" s="5" t="s">
        <v>85</v>
      </c>
      <c r="D42" s="4">
        <v>4</v>
      </c>
      <c r="E42" s="4">
        <v>4</v>
      </c>
      <c r="F42" s="4"/>
      <c r="G42" s="4"/>
      <c r="H42" s="4">
        <v>6</v>
      </c>
      <c r="I42" s="4">
        <v>0</v>
      </c>
    </row>
    <row r="43" spans="1:9" x14ac:dyDescent="0.25">
      <c r="A43" s="4">
        <v>42</v>
      </c>
      <c r="B43" s="4" t="s">
        <v>34</v>
      </c>
      <c r="C43" s="5" t="s">
        <v>76</v>
      </c>
      <c r="D43" s="4">
        <v>30</v>
      </c>
      <c r="E43" s="4">
        <v>30</v>
      </c>
      <c r="F43" s="4"/>
      <c r="G43" s="4"/>
      <c r="H43" s="4">
        <v>45</v>
      </c>
      <c r="I43" s="4">
        <v>0</v>
      </c>
    </row>
    <row r="44" spans="1:9" x14ac:dyDescent="0.25">
      <c r="A44" s="4">
        <v>43</v>
      </c>
      <c r="B44" s="4" t="s">
        <v>34</v>
      </c>
      <c r="C44" s="4" t="s">
        <v>38</v>
      </c>
      <c r="D44" s="4">
        <v>8</v>
      </c>
      <c r="E44" s="4">
        <v>8</v>
      </c>
      <c r="F44" s="4"/>
      <c r="G44" s="4"/>
      <c r="H44" s="4">
        <v>12</v>
      </c>
      <c r="I44" s="4">
        <v>0</v>
      </c>
    </row>
    <row r="45" spans="1:9" x14ac:dyDescent="0.25">
      <c r="A45" s="4">
        <v>44</v>
      </c>
      <c r="B45" s="4" t="s">
        <v>34</v>
      </c>
      <c r="C45" s="4" t="s">
        <v>73</v>
      </c>
      <c r="D45" s="4">
        <v>20</v>
      </c>
      <c r="E45" s="4">
        <v>20</v>
      </c>
      <c r="F45" s="4"/>
      <c r="G45" s="4"/>
      <c r="H45" s="4">
        <v>30</v>
      </c>
      <c r="I45" s="4">
        <v>0</v>
      </c>
    </row>
    <row r="46" spans="1:9" x14ac:dyDescent="0.25">
      <c r="A46" s="4">
        <v>45</v>
      </c>
      <c r="B46" s="4" t="s">
        <v>34</v>
      </c>
      <c r="C46" s="4" t="s">
        <v>74</v>
      </c>
      <c r="D46" s="4">
        <v>20</v>
      </c>
      <c r="E46" s="4">
        <v>20</v>
      </c>
      <c r="F46" s="4"/>
      <c r="G46" s="4"/>
      <c r="H46" s="4">
        <v>30</v>
      </c>
      <c r="I46" s="4">
        <v>0</v>
      </c>
    </row>
    <row r="47" spans="1:9" x14ac:dyDescent="0.25">
      <c r="A47" s="4">
        <v>46</v>
      </c>
      <c r="B47" s="4" t="s">
        <v>34</v>
      </c>
      <c r="C47" s="4" t="s">
        <v>75</v>
      </c>
      <c r="D47" s="4">
        <v>30</v>
      </c>
      <c r="E47" s="4">
        <v>30</v>
      </c>
      <c r="F47" s="4"/>
      <c r="G47" s="4"/>
      <c r="H47" s="4">
        <v>45</v>
      </c>
      <c r="I47" s="4">
        <v>0</v>
      </c>
    </row>
    <row r="48" spans="1:9" x14ac:dyDescent="0.25">
      <c r="A48" s="4">
        <v>47</v>
      </c>
      <c r="B48" s="4" t="s">
        <v>163</v>
      </c>
      <c r="C48" s="4" t="s">
        <v>7</v>
      </c>
      <c r="D48" s="4">
        <v>15</v>
      </c>
      <c r="E48" s="4"/>
      <c r="F48" s="4">
        <v>15</v>
      </c>
      <c r="G48" s="4"/>
      <c r="H48" s="4">
        <v>0</v>
      </c>
      <c r="I48" s="4">
        <v>23</v>
      </c>
    </row>
    <row r="49" spans="1:9" x14ac:dyDescent="0.25">
      <c r="A49" s="4">
        <v>48</v>
      </c>
      <c r="B49" s="4" t="s">
        <v>163</v>
      </c>
      <c r="C49" s="4" t="s">
        <v>7</v>
      </c>
      <c r="D49" s="4">
        <v>10</v>
      </c>
      <c r="E49" s="4"/>
      <c r="F49" s="4">
        <v>10</v>
      </c>
      <c r="G49" s="4"/>
      <c r="H49" s="4">
        <v>0</v>
      </c>
      <c r="I49" s="4">
        <v>15</v>
      </c>
    </row>
    <row r="50" spans="1:9" x14ac:dyDescent="0.25">
      <c r="A50" s="4">
        <v>49</v>
      </c>
      <c r="B50" s="4" t="s">
        <v>34</v>
      </c>
      <c r="C50" s="4" t="s">
        <v>147</v>
      </c>
      <c r="D50" s="4">
        <v>10</v>
      </c>
      <c r="E50" s="4"/>
      <c r="F50" s="4"/>
      <c r="G50" s="4">
        <v>10</v>
      </c>
      <c r="H50" s="4">
        <v>0</v>
      </c>
      <c r="I50" s="4">
        <v>0</v>
      </c>
    </row>
    <row r="51" spans="1:9" x14ac:dyDescent="0.25">
      <c r="A51" s="4">
        <v>50</v>
      </c>
      <c r="B51" s="4" t="s">
        <v>163</v>
      </c>
      <c r="C51" s="4" t="s">
        <v>145</v>
      </c>
      <c r="D51" s="4">
        <v>10</v>
      </c>
      <c r="E51" s="4"/>
      <c r="F51" s="4">
        <v>10</v>
      </c>
      <c r="G51" s="4"/>
      <c r="H51" s="4">
        <v>0</v>
      </c>
      <c r="I51" s="4">
        <v>15</v>
      </c>
    </row>
    <row r="52" spans="1:9" x14ac:dyDescent="0.25">
      <c r="A52" s="4">
        <v>51</v>
      </c>
      <c r="B52" s="4" t="s">
        <v>163</v>
      </c>
      <c r="C52" s="4" t="s">
        <v>13</v>
      </c>
      <c r="D52" s="4">
        <v>8</v>
      </c>
      <c r="E52" s="4"/>
      <c r="F52" s="4">
        <v>8</v>
      </c>
      <c r="G52" s="4"/>
      <c r="H52" s="4">
        <v>0</v>
      </c>
      <c r="I52" s="4">
        <v>12</v>
      </c>
    </row>
    <row r="53" spans="1:9" x14ac:dyDescent="0.25">
      <c r="A53" s="4">
        <v>52</v>
      </c>
      <c r="B53" s="4" t="s">
        <v>34</v>
      </c>
      <c r="C53" s="4" t="s">
        <v>69</v>
      </c>
      <c r="D53" s="4">
        <v>10</v>
      </c>
      <c r="E53" s="4"/>
      <c r="F53" s="4"/>
      <c r="G53" s="4">
        <v>10</v>
      </c>
      <c r="H53" s="4">
        <v>0</v>
      </c>
      <c r="I53" s="4">
        <v>0</v>
      </c>
    </row>
    <row r="54" spans="1:9" x14ac:dyDescent="0.25">
      <c r="A54" s="4">
        <v>53</v>
      </c>
      <c r="B54" s="4" t="s">
        <v>163</v>
      </c>
      <c r="C54" s="4" t="s">
        <v>10</v>
      </c>
      <c r="D54" s="4">
        <v>10</v>
      </c>
      <c r="E54" s="4"/>
      <c r="F54" s="4">
        <v>10</v>
      </c>
      <c r="G54" s="4"/>
      <c r="H54" s="4">
        <v>0</v>
      </c>
      <c r="I54" s="4">
        <v>15</v>
      </c>
    </row>
    <row r="55" spans="1:9" x14ac:dyDescent="0.25">
      <c r="A55" s="4">
        <v>54</v>
      </c>
      <c r="B55" s="4" t="s">
        <v>163</v>
      </c>
      <c r="C55" s="4" t="s">
        <v>14</v>
      </c>
      <c r="D55" s="4">
        <v>10</v>
      </c>
      <c r="E55" s="4"/>
      <c r="F55" s="4">
        <v>10</v>
      </c>
      <c r="G55" s="4"/>
      <c r="H55" s="4">
        <v>0</v>
      </c>
      <c r="I55" s="4">
        <v>15</v>
      </c>
    </row>
    <row r="56" spans="1:9" x14ac:dyDescent="0.25">
      <c r="A56" s="4">
        <v>55</v>
      </c>
      <c r="B56" s="4" t="s">
        <v>163</v>
      </c>
      <c r="C56" s="4" t="s">
        <v>29</v>
      </c>
      <c r="D56" s="4">
        <v>15</v>
      </c>
      <c r="E56" s="4"/>
      <c r="F56" s="4">
        <v>15</v>
      </c>
      <c r="G56" s="4"/>
      <c r="H56" s="4">
        <v>0</v>
      </c>
      <c r="I56" s="4">
        <v>23</v>
      </c>
    </row>
    <row r="57" spans="1:9" x14ac:dyDescent="0.25">
      <c r="A57" s="4">
        <v>56</v>
      </c>
      <c r="B57" s="4" t="s">
        <v>163</v>
      </c>
      <c r="C57" s="4" t="s">
        <v>28</v>
      </c>
      <c r="D57" s="4">
        <v>8</v>
      </c>
      <c r="E57" s="4"/>
      <c r="F57" s="4">
        <v>8</v>
      </c>
      <c r="G57" s="4"/>
      <c r="H57" s="4">
        <v>0</v>
      </c>
      <c r="I57" s="4">
        <v>12</v>
      </c>
    </row>
    <row r="58" spans="1:9" x14ac:dyDescent="0.25">
      <c r="A58" s="4">
        <v>57</v>
      </c>
      <c r="B58" s="4" t="s">
        <v>163</v>
      </c>
      <c r="C58" s="4" t="s">
        <v>30</v>
      </c>
      <c r="D58" s="4">
        <v>10</v>
      </c>
      <c r="E58" s="4"/>
      <c r="F58" s="4">
        <v>10</v>
      </c>
      <c r="G58" s="4"/>
      <c r="H58" s="4">
        <v>0</v>
      </c>
      <c r="I58" s="4">
        <v>15</v>
      </c>
    </row>
    <row r="59" spans="1:9" x14ac:dyDescent="0.25">
      <c r="A59" s="4">
        <v>58</v>
      </c>
      <c r="B59" s="4" t="s">
        <v>163</v>
      </c>
      <c r="C59" s="4" t="s">
        <v>31</v>
      </c>
      <c r="D59" s="4">
        <v>10</v>
      </c>
      <c r="E59" s="4"/>
      <c r="F59" s="4">
        <v>10</v>
      </c>
      <c r="G59" s="4"/>
      <c r="H59" s="4">
        <v>0</v>
      </c>
      <c r="I59" s="4">
        <v>15</v>
      </c>
    </row>
    <row r="60" spans="1:9" x14ac:dyDescent="0.25">
      <c r="A60" s="4">
        <v>59</v>
      </c>
      <c r="B60" s="4" t="s">
        <v>34</v>
      </c>
      <c r="C60" s="4" t="s">
        <v>15</v>
      </c>
      <c r="D60" s="4">
        <v>10</v>
      </c>
      <c r="E60" s="4">
        <v>10</v>
      </c>
      <c r="F60" s="4"/>
      <c r="G60" s="4"/>
      <c r="H60" s="4">
        <v>15</v>
      </c>
      <c r="I60" s="4">
        <v>0</v>
      </c>
    </row>
    <row r="61" spans="1:9" x14ac:dyDescent="0.25">
      <c r="A61" s="4">
        <v>60</v>
      </c>
      <c r="B61" s="4" t="s">
        <v>34</v>
      </c>
      <c r="C61" s="4" t="s">
        <v>16</v>
      </c>
      <c r="D61" s="4">
        <v>10</v>
      </c>
      <c r="E61" s="4">
        <v>10</v>
      </c>
      <c r="F61" s="4"/>
      <c r="G61" s="4"/>
      <c r="H61" s="4">
        <v>15</v>
      </c>
      <c r="I61" s="4">
        <v>0</v>
      </c>
    </row>
    <row r="62" spans="1:9" x14ac:dyDescent="0.25">
      <c r="A62" s="4">
        <v>97</v>
      </c>
      <c r="B62" s="4" t="s">
        <v>34</v>
      </c>
      <c r="C62" s="4" t="s">
        <v>82</v>
      </c>
      <c r="D62" s="4">
        <v>45</v>
      </c>
      <c r="E62" s="4"/>
      <c r="F62" s="4"/>
      <c r="G62" s="4">
        <v>45</v>
      </c>
      <c r="H62" s="4">
        <v>0</v>
      </c>
      <c r="I62" s="4">
        <v>0</v>
      </c>
    </row>
    <row r="63" spans="1:9" x14ac:dyDescent="0.25">
      <c r="A63" s="4">
        <v>98</v>
      </c>
      <c r="B63" s="4" t="s">
        <v>34</v>
      </c>
      <c r="C63" s="4" t="s">
        <v>59</v>
      </c>
      <c r="D63" s="4">
        <v>3</v>
      </c>
      <c r="E63" s="4">
        <v>3</v>
      </c>
      <c r="F63" s="4"/>
      <c r="G63" s="4"/>
      <c r="H63" s="4">
        <v>5</v>
      </c>
      <c r="I63" s="4">
        <v>0</v>
      </c>
    </row>
    <row r="64" spans="1:9" x14ac:dyDescent="0.25">
      <c r="A64" s="4">
        <v>99</v>
      </c>
      <c r="B64" s="4" t="s">
        <v>163</v>
      </c>
      <c r="C64" s="4" t="s">
        <v>26</v>
      </c>
      <c r="D64" s="4">
        <v>8</v>
      </c>
      <c r="E64" s="4"/>
      <c r="F64" s="4">
        <v>8</v>
      </c>
      <c r="G64" s="4"/>
      <c r="H64" s="4">
        <v>0</v>
      </c>
      <c r="I64" s="4">
        <v>12</v>
      </c>
    </row>
    <row r="65" spans="1:9" x14ac:dyDescent="0.25">
      <c r="A65" s="4">
        <v>100</v>
      </c>
      <c r="B65" s="4" t="s">
        <v>34</v>
      </c>
      <c r="C65" s="4" t="s">
        <v>19</v>
      </c>
      <c r="D65" s="4">
        <v>15</v>
      </c>
      <c r="E65" s="4">
        <v>15</v>
      </c>
      <c r="F65" s="4"/>
      <c r="G65" s="4"/>
      <c r="H65" s="4">
        <v>23</v>
      </c>
      <c r="I65" s="4">
        <v>0</v>
      </c>
    </row>
    <row r="66" spans="1:9" x14ac:dyDescent="0.25">
      <c r="A66" s="4">
        <v>100</v>
      </c>
      <c r="B66" s="4" t="s">
        <v>163</v>
      </c>
      <c r="C66" s="4" t="s">
        <v>19</v>
      </c>
      <c r="D66" s="4">
        <v>40</v>
      </c>
      <c r="E66" s="4"/>
      <c r="F66" s="4">
        <v>40</v>
      </c>
      <c r="G66" s="4"/>
      <c r="H66" s="4">
        <v>0</v>
      </c>
      <c r="I66" s="4">
        <v>60</v>
      </c>
    </row>
  </sheetData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E42"/>
  <sheetViews>
    <sheetView workbookViewId="0">
      <selection activeCell="C13" sqref="C13"/>
    </sheetView>
  </sheetViews>
  <sheetFormatPr defaultRowHeight="15" x14ac:dyDescent="0.25"/>
  <cols>
    <col min="1" max="1" width="5.140625" bestFit="1" customWidth="1"/>
    <col min="2" max="2" width="10.28515625" bestFit="1" customWidth="1"/>
    <col min="3" max="3" width="104.85546875" bestFit="1" customWidth="1"/>
    <col min="4" max="5" width="12.85546875" bestFit="1" customWidth="1"/>
  </cols>
  <sheetData>
    <row r="1" spans="1:5" ht="15.75" x14ac:dyDescent="0.3">
      <c r="A1" s="2" t="s">
        <v>154</v>
      </c>
      <c r="B1" s="2" t="s">
        <v>0</v>
      </c>
      <c r="C1" s="2" t="s">
        <v>2</v>
      </c>
      <c r="D1" s="2" t="s">
        <v>164</v>
      </c>
      <c r="E1" s="7" t="s">
        <v>165</v>
      </c>
    </row>
    <row r="2" spans="1:5" ht="15.75" x14ac:dyDescent="0.3">
      <c r="A2" s="6">
        <v>2</v>
      </c>
      <c r="B2" s="6" t="s">
        <v>34</v>
      </c>
      <c r="C2" s="6" t="s">
        <v>36</v>
      </c>
      <c r="D2" s="6">
        <v>30</v>
      </c>
      <c r="E2" s="4">
        <v>45</v>
      </c>
    </row>
    <row r="3" spans="1:5" ht="15.75" x14ac:dyDescent="0.3">
      <c r="A3" s="6">
        <v>3</v>
      </c>
      <c r="B3" s="6" t="s">
        <v>34</v>
      </c>
      <c r="C3" s="6" t="s">
        <v>35</v>
      </c>
      <c r="D3" s="6">
        <v>60</v>
      </c>
      <c r="E3" s="4">
        <v>90</v>
      </c>
    </row>
    <row r="4" spans="1:5" ht="15.75" x14ac:dyDescent="0.3">
      <c r="A4" s="6">
        <v>4</v>
      </c>
      <c r="B4" s="6" t="s">
        <v>34</v>
      </c>
      <c r="C4" s="6" t="s">
        <v>37</v>
      </c>
      <c r="D4" s="6">
        <v>15</v>
      </c>
      <c r="E4" s="4">
        <v>23</v>
      </c>
    </row>
    <row r="5" spans="1:5" x14ac:dyDescent="0.25">
      <c r="A5" s="4">
        <v>5</v>
      </c>
      <c r="B5" s="4" t="s">
        <v>34</v>
      </c>
      <c r="C5" s="4" t="s">
        <v>48</v>
      </c>
      <c r="D5" s="4">
        <v>6</v>
      </c>
      <c r="E5" s="4">
        <v>6</v>
      </c>
    </row>
    <row r="6" spans="1:5" x14ac:dyDescent="0.25">
      <c r="A6" s="4">
        <v>6</v>
      </c>
      <c r="B6" s="4" t="s">
        <v>34</v>
      </c>
      <c r="C6" s="4" t="s">
        <v>49</v>
      </c>
      <c r="D6" s="4">
        <v>6</v>
      </c>
      <c r="E6" s="4">
        <v>6</v>
      </c>
    </row>
    <row r="7" spans="1:5" x14ac:dyDescent="0.25">
      <c r="A7" s="4">
        <v>7</v>
      </c>
      <c r="B7" s="4" t="s">
        <v>34</v>
      </c>
      <c r="C7" s="5" t="s">
        <v>152</v>
      </c>
      <c r="D7" s="4">
        <v>5</v>
      </c>
      <c r="E7" s="4">
        <v>8</v>
      </c>
    </row>
    <row r="8" spans="1:5" x14ac:dyDescent="0.25">
      <c r="A8" s="4">
        <v>10</v>
      </c>
      <c r="B8" s="4" t="s">
        <v>34</v>
      </c>
      <c r="C8" s="4" t="s">
        <v>50</v>
      </c>
      <c r="D8" s="4">
        <v>10</v>
      </c>
      <c r="E8" s="4">
        <v>15</v>
      </c>
    </row>
    <row r="9" spans="1:5" x14ac:dyDescent="0.25">
      <c r="A9" s="4">
        <v>11</v>
      </c>
      <c r="B9" s="4" t="s">
        <v>34</v>
      </c>
      <c r="C9" s="4" t="s">
        <v>51</v>
      </c>
      <c r="D9" s="4">
        <v>5</v>
      </c>
      <c r="E9" s="4">
        <v>8</v>
      </c>
    </row>
    <row r="10" spans="1:5" x14ac:dyDescent="0.25">
      <c r="A10" s="4">
        <v>12</v>
      </c>
      <c r="B10" s="4" t="s">
        <v>34</v>
      </c>
      <c r="C10" s="4" t="s">
        <v>39</v>
      </c>
      <c r="D10" s="4">
        <v>8</v>
      </c>
      <c r="E10" s="4">
        <v>12</v>
      </c>
    </row>
    <row r="11" spans="1:5" x14ac:dyDescent="0.25">
      <c r="A11" s="4">
        <v>13</v>
      </c>
      <c r="B11" s="4" t="s">
        <v>34</v>
      </c>
      <c r="C11" s="4" t="s">
        <v>157</v>
      </c>
      <c r="D11" s="4">
        <v>5</v>
      </c>
      <c r="E11" s="4">
        <v>8</v>
      </c>
    </row>
    <row r="12" spans="1:5" x14ac:dyDescent="0.25">
      <c r="A12" s="4">
        <v>17</v>
      </c>
      <c r="B12" s="4" t="s">
        <v>34</v>
      </c>
      <c r="C12" s="4" t="s">
        <v>56</v>
      </c>
      <c r="D12" s="4">
        <v>3</v>
      </c>
      <c r="E12" s="4">
        <v>5</v>
      </c>
    </row>
    <row r="13" spans="1:5" x14ac:dyDescent="0.25">
      <c r="A13" s="4">
        <v>18</v>
      </c>
      <c r="B13" s="4" t="s">
        <v>34</v>
      </c>
      <c r="C13" s="4" t="s">
        <v>58</v>
      </c>
      <c r="D13" s="4">
        <v>2</v>
      </c>
      <c r="E13" s="4">
        <v>3</v>
      </c>
    </row>
    <row r="14" spans="1:5" x14ac:dyDescent="0.25">
      <c r="A14" s="4">
        <v>19</v>
      </c>
      <c r="B14" s="4" t="s">
        <v>34</v>
      </c>
      <c r="C14" s="4" t="s">
        <v>64</v>
      </c>
      <c r="D14" s="4">
        <v>1</v>
      </c>
      <c r="E14" s="4">
        <v>2</v>
      </c>
    </row>
    <row r="15" spans="1:5" x14ac:dyDescent="0.25">
      <c r="A15" s="4">
        <v>21</v>
      </c>
      <c r="B15" s="4" t="s">
        <v>34</v>
      </c>
      <c r="C15" s="4" t="s">
        <v>160</v>
      </c>
      <c r="D15" s="4">
        <v>5</v>
      </c>
      <c r="E15" s="4">
        <v>8</v>
      </c>
    </row>
    <row r="16" spans="1:5" x14ac:dyDescent="0.25">
      <c r="A16" s="4">
        <v>22</v>
      </c>
      <c r="B16" s="4" t="s">
        <v>34</v>
      </c>
      <c r="C16" s="4" t="s">
        <v>77</v>
      </c>
      <c r="D16" s="4">
        <v>10</v>
      </c>
      <c r="E16" s="4">
        <v>15</v>
      </c>
    </row>
    <row r="17" spans="1:5" x14ac:dyDescent="0.25">
      <c r="A17" s="4">
        <v>26</v>
      </c>
      <c r="B17" s="4" t="s">
        <v>34</v>
      </c>
      <c r="C17" s="4" t="s">
        <v>40</v>
      </c>
      <c r="D17" s="4">
        <v>5</v>
      </c>
      <c r="E17" s="4">
        <v>8</v>
      </c>
    </row>
    <row r="18" spans="1:5" x14ac:dyDescent="0.25">
      <c r="A18" s="4">
        <v>28</v>
      </c>
      <c r="B18" s="4" t="s">
        <v>34</v>
      </c>
      <c r="C18" s="4" t="s">
        <v>42</v>
      </c>
      <c r="D18" s="4">
        <v>8</v>
      </c>
      <c r="E18" s="4">
        <v>12</v>
      </c>
    </row>
    <row r="19" spans="1:5" x14ac:dyDescent="0.25">
      <c r="A19" s="4">
        <v>29</v>
      </c>
      <c r="B19" s="4" t="s">
        <v>34</v>
      </c>
      <c r="C19" s="4" t="s">
        <v>67</v>
      </c>
      <c r="D19" s="4">
        <v>3</v>
      </c>
      <c r="E19" s="4">
        <v>5</v>
      </c>
    </row>
    <row r="20" spans="1:5" x14ac:dyDescent="0.25">
      <c r="A20" s="4">
        <v>30</v>
      </c>
      <c r="B20" s="4" t="s">
        <v>34</v>
      </c>
      <c r="C20" s="4" t="s">
        <v>41</v>
      </c>
      <c r="D20" s="4">
        <v>6</v>
      </c>
      <c r="E20" s="4">
        <v>9</v>
      </c>
    </row>
    <row r="21" spans="1:5" x14ac:dyDescent="0.25">
      <c r="A21" s="4">
        <v>32</v>
      </c>
      <c r="B21" s="4" t="s">
        <v>34</v>
      </c>
      <c r="C21" s="4" t="s">
        <v>43</v>
      </c>
      <c r="D21" s="4">
        <v>3</v>
      </c>
      <c r="E21" s="4">
        <v>5</v>
      </c>
    </row>
    <row r="22" spans="1:5" x14ac:dyDescent="0.25">
      <c r="A22" s="4">
        <v>34</v>
      </c>
      <c r="B22" s="4" t="s">
        <v>34</v>
      </c>
      <c r="C22" s="4" t="s">
        <v>52</v>
      </c>
      <c r="D22" s="4">
        <v>3</v>
      </c>
      <c r="E22" s="4">
        <v>5</v>
      </c>
    </row>
    <row r="23" spans="1:5" x14ac:dyDescent="0.25">
      <c r="A23" s="4">
        <v>35</v>
      </c>
      <c r="B23" s="4" t="s">
        <v>34</v>
      </c>
      <c r="C23" s="4" t="s">
        <v>45</v>
      </c>
      <c r="D23" s="4">
        <v>5</v>
      </c>
      <c r="E23" s="4">
        <v>8</v>
      </c>
    </row>
    <row r="24" spans="1:5" x14ac:dyDescent="0.25">
      <c r="A24" s="4">
        <v>36</v>
      </c>
      <c r="B24" s="4" t="s">
        <v>34</v>
      </c>
      <c r="C24" s="4" t="s">
        <v>83</v>
      </c>
      <c r="D24" s="4">
        <v>6</v>
      </c>
      <c r="E24" s="4">
        <v>9</v>
      </c>
    </row>
    <row r="25" spans="1:5" x14ac:dyDescent="0.25">
      <c r="A25" s="4">
        <v>37</v>
      </c>
      <c r="B25" s="4" t="s">
        <v>34</v>
      </c>
      <c r="C25" s="4" t="s">
        <v>46</v>
      </c>
      <c r="D25" s="4">
        <v>15</v>
      </c>
      <c r="E25" s="4">
        <v>23</v>
      </c>
    </row>
    <row r="26" spans="1:5" x14ac:dyDescent="0.25">
      <c r="A26" s="4">
        <v>38</v>
      </c>
      <c r="B26" s="4" t="s">
        <v>34</v>
      </c>
      <c r="C26" s="5" t="s">
        <v>84</v>
      </c>
      <c r="D26" s="4">
        <v>4</v>
      </c>
      <c r="E26" s="4">
        <v>6</v>
      </c>
    </row>
    <row r="27" spans="1:5" x14ac:dyDescent="0.25">
      <c r="A27" s="4">
        <v>39</v>
      </c>
      <c r="B27" s="4" t="s">
        <v>34</v>
      </c>
      <c r="C27" s="4" t="s">
        <v>44</v>
      </c>
      <c r="D27" s="4">
        <v>15</v>
      </c>
      <c r="E27" s="4">
        <v>23</v>
      </c>
    </row>
    <row r="28" spans="1:5" x14ac:dyDescent="0.25">
      <c r="A28" s="4">
        <v>40</v>
      </c>
      <c r="B28" s="4" t="s">
        <v>34</v>
      </c>
      <c r="C28" s="4" t="s">
        <v>72</v>
      </c>
      <c r="D28" s="4">
        <v>3</v>
      </c>
      <c r="E28" s="4">
        <v>5</v>
      </c>
    </row>
    <row r="29" spans="1:5" x14ac:dyDescent="0.25">
      <c r="A29" s="4">
        <v>41</v>
      </c>
      <c r="B29" s="4" t="s">
        <v>34</v>
      </c>
      <c r="C29" s="5" t="s">
        <v>85</v>
      </c>
      <c r="D29" s="4">
        <v>4</v>
      </c>
      <c r="E29" s="4">
        <v>6</v>
      </c>
    </row>
    <row r="30" spans="1:5" x14ac:dyDescent="0.25">
      <c r="A30" s="4">
        <v>42</v>
      </c>
      <c r="B30" s="4" t="s">
        <v>34</v>
      </c>
      <c r="C30" s="5" t="s">
        <v>76</v>
      </c>
      <c r="D30" s="4">
        <v>30</v>
      </c>
      <c r="E30" s="4">
        <v>45</v>
      </c>
    </row>
    <row r="31" spans="1:5" x14ac:dyDescent="0.25">
      <c r="A31" s="4">
        <v>43</v>
      </c>
      <c r="B31" s="4" t="s">
        <v>34</v>
      </c>
      <c r="C31" s="4" t="s">
        <v>38</v>
      </c>
      <c r="D31" s="4">
        <v>8</v>
      </c>
      <c r="E31" s="4">
        <v>12</v>
      </c>
    </row>
    <row r="32" spans="1:5" x14ac:dyDescent="0.25">
      <c r="A32" s="4">
        <v>44</v>
      </c>
      <c r="B32" s="4" t="s">
        <v>34</v>
      </c>
      <c r="C32" s="4" t="s">
        <v>73</v>
      </c>
      <c r="D32" s="4">
        <v>20</v>
      </c>
      <c r="E32" s="4">
        <v>30</v>
      </c>
    </row>
    <row r="33" spans="1:5" x14ac:dyDescent="0.25">
      <c r="A33" s="4">
        <v>45</v>
      </c>
      <c r="B33" s="4" t="s">
        <v>34</v>
      </c>
      <c r="C33" s="4" t="s">
        <v>74</v>
      </c>
      <c r="D33" s="4">
        <v>20</v>
      </c>
      <c r="E33" s="4">
        <v>30</v>
      </c>
    </row>
    <row r="34" spans="1:5" x14ac:dyDescent="0.25">
      <c r="A34" s="4">
        <v>46</v>
      </c>
      <c r="B34" s="4" t="s">
        <v>34</v>
      </c>
      <c r="C34" s="4" t="s">
        <v>75</v>
      </c>
      <c r="D34" s="4">
        <v>30</v>
      </c>
      <c r="E34" s="4">
        <v>45</v>
      </c>
    </row>
    <row r="35" spans="1:5" x14ac:dyDescent="0.25">
      <c r="A35" s="4">
        <v>49</v>
      </c>
      <c r="B35" s="4" t="s">
        <v>34</v>
      </c>
      <c r="C35" s="4" t="s">
        <v>147</v>
      </c>
      <c r="D35" s="4">
        <v>10</v>
      </c>
      <c r="E35" s="4">
        <v>10</v>
      </c>
    </row>
    <row r="36" spans="1:5" x14ac:dyDescent="0.25">
      <c r="A36" s="4">
        <v>52</v>
      </c>
      <c r="B36" s="4" t="s">
        <v>34</v>
      </c>
      <c r="C36" s="4" t="s">
        <v>69</v>
      </c>
      <c r="D36" s="4">
        <v>10</v>
      </c>
      <c r="E36" s="4">
        <v>10</v>
      </c>
    </row>
    <row r="37" spans="1:5" x14ac:dyDescent="0.25">
      <c r="A37" s="4">
        <v>59</v>
      </c>
      <c r="B37" s="4" t="s">
        <v>34</v>
      </c>
      <c r="C37" s="4" t="s">
        <v>15</v>
      </c>
      <c r="D37" s="4">
        <v>10</v>
      </c>
      <c r="E37" s="4">
        <v>15</v>
      </c>
    </row>
    <row r="38" spans="1:5" x14ac:dyDescent="0.25">
      <c r="A38" s="4">
        <v>60</v>
      </c>
      <c r="B38" s="4" t="s">
        <v>34</v>
      </c>
      <c r="C38" s="4" t="s">
        <v>16</v>
      </c>
      <c r="D38" s="4">
        <v>10</v>
      </c>
      <c r="E38" s="4">
        <v>15</v>
      </c>
    </row>
    <row r="39" spans="1:5" x14ac:dyDescent="0.25">
      <c r="A39" s="4">
        <v>97</v>
      </c>
      <c r="B39" s="4" t="s">
        <v>34</v>
      </c>
      <c r="C39" s="4" t="s">
        <v>82</v>
      </c>
      <c r="D39" s="4">
        <v>45</v>
      </c>
      <c r="E39" s="4">
        <v>45</v>
      </c>
    </row>
    <row r="40" spans="1:5" x14ac:dyDescent="0.25">
      <c r="A40" s="4">
        <v>98</v>
      </c>
      <c r="B40" s="4" t="s">
        <v>34</v>
      </c>
      <c r="C40" s="4" t="s">
        <v>59</v>
      </c>
      <c r="D40" s="4">
        <v>3</v>
      </c>
      <c r="E40" s="4">
        <v>5</v>
      </c>
    </row>
    <row r="41" spans="1:5" ht="15.75" thickBot="1" x14ac:dyDescent="0.3">
      <c r="A41" s="4">
        <v>100</v>
      </c>
      <c r="B41" s="4" t="s">
        <v>34</v>
      </c>
      <c r="C41" s="4" t="s">
        <v>19</v>
      </c>
      <c r="D41" s="4">
        <v>15</v>
      </c>
      <c r="E41" s="4">
        <v>23</v>
      </c>
    </row>
    <row r="42" spans="1:5" ht="16.5" thickTop="1" x14ac:dyDescent="0.3">
      <c r="D42" s="8">
        <f>SUM(D2:D41)</f>
        <v>462</v>
      </c>
      <c r="E42" s="8">
        <f>SUM(E2:E41)</f>
        <v>663</v>
      </c>
    </row>
  </sheetData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"/>
  <sheetViews>
    <sheetView topLeftCell="A5" zoomScale="145" zoomScaleNormal="145" workbookViewId="0">
      <selection activeCell="A26" sqref="A26:XFD26"/>
    </sheetView>
  </sheetViews>
  <sheetFormatPr defaultRowHeight="15" x14ac:dyDescent="0.25"/>
  <cols>
    <col min="1" max="1" width="5.140625" style="1" bestFit="1" customWidth="1"/>
    <col min="2" max="2" width="9" style="1" bestFit="1" customWidth="1"/>
    <col min="3" max="3" width="60.85546875" style="1" bestFit="1" customWidth="1"/>
    <col min="4" max="5" width="12.85546875" style="1" bestFit="1" customWidth="1"/>
    <col min="6" max="16384" width="9.140625" style="1"/>
  </cols>
  <sheetData>
    <row r="1" spans="1:5" ht="15.75" x14ac:dyDescent="0.3">
      <c r="A1" s="2" t="s">
        <v>154</v>
      </c>
      <c r="B1" s="2" t="s">
        <v>0</v>
      </c>
      <c r="C1" s="2" t="s">
        <v>2</v>
      </c>
      <c r="D1" s="2" t="s">
        <v>164</v>
      </c>
      <c r="E1" s="2" t="s">
        <v>165</v>
      </c>
    </row>
    <row r="2" spans="1:5" ht="15.75" x14ac:dyDescent="0.3">
      <c r="A2" s="6">
        <v>1</v>
      </c>
      <c r="B2" s="6" t="s">
        <v>163</v>
      </c>
      <c r="C2" s="6" t="s">
        <v>18</v>
      </c>
      <c r="D2" s="6">
        <v>20</v>
      </c>
      <c r="E2" s="4">
        <v>30</v>
      </c>
    </row>
    <row r="3" spans="1:5" x14ac:dyDescent="0.25">
      <c r="A3" s="4">
        <v>8</v>
      </c>
      <c r="B3" s="4" t="s">
        <v>163</v>
      </c>
      <c r="C3" s="5" t="s">
        <v>78</v>
      </c>
      <c r="D3" s="4">
        <v>15</v>
      </c>
      <c r="E3" s="4">
        <v>23</v>
      </c>
    </row>
    <row r="4" spans="1:5" x14ac:dyDescent="0.25">
      <c r="A4" s="4">
        <v>9</v>
      </c>
      <c r="B4" s="4" t="s">
        <v>163</v>
      </c>
      <c r="C4" s="4" t="s">
        <v>146</v>
      </c>
      <c r="D4" s="4">
        <v>15</v>
      </c>
      <c r="E4" s="4">
        <v>23</v>
      </c>
    </row>
    <row r="5" spans="1:5" x14ac:dyDescent="0.25">
      <c r="A5" s="4">
        <v>14</v>
      </c>
      <c r="B5" s="4" t="s">
        <v>163</v>
      </c>
      <c r="C5" s="4" t="s">
        <v>22</v>
      </c>
      <c r="D5" s="4">
        <v>10</v>
      </c>
      <c r="E5" s="4">
        <v>15</v>
      </c>
    </row>
    <row r="6" spans="1:5" x14ac:dyDescent="0.25">
      <c r="A6" s="4">
        <v>15</v>
      </c>
      <c r="B6" s="4" t="s">
        <v>163</v>
      </c>
      <c r="C6" s="4" t="s">
        <v>23</v>
      </c>
      <c r="D6" s="4">
        <v>8</v>
      </c>
      <c r="E6" s="4">
        <v>12</v>
      </c>
    </row>
    <row r="7" spans="1:5" x14ac:dyDescent="0.25">
      <c r="A7" s="4">
        <v>16</v>
      </c>
      <c r="B7" s="4" t="s">
        <v>163</v>
      </c>
      <c r="C7" s="4" t="s">
        <v>21</v>
      </c>
      <c r="D7" s="4">
        <v>15</v>
      </c>
      <c r="E7" s="4">
        <v>23</v>
      </c>
    </row>
    <row r="8" spans="1:5" x14ac:dyDescent="0.25">
      <c r="A8" s="4">
        <v>20</v>
      </c>
      <c r="B8" s="4" t="s">
        <v>163</v>
      </c>
      <c r="C8" s="4" t="s">
        <v>32</v>
      </c>
      <c r="D8" s="4">
        <v>8</v>
      </c>
      <c r="E8" s="4">
        <v>12</v>
      </c>
    </row>
    <row r="9" spans="1:5" x14ac:dyDescent="0.25">
      <c r="A9" s="4">
        <v>23</v>
      </c>
      <c r="B9" s="4" t="s">
        <v>163</v>
      </c>
      <c r="C9" s="4" t="s">
        <v>25</v>
      </c>
      <c r="D9" s="4">
        <v>10</v>
      </c>
      <c r="E9" s="4">
        <v>15</v>
      </c>
    </row>
    <row r="10" spans="1:5" x14ac:dyDescent="0.25">
      <c r="A10" s="4">
        <v>24</v>
      </c>
      <c r="B10" s="4" t="s">
        <v>163</v>
      </c>
      <c r="C10" s="4" t="s">
        <v>8</v>
      </c>
      <c r="D10" s="4">
        <v>10</v>
      </c>
      <c r="E10" s="4">
        <v>15</v>
      </c>
    </row>
    <row r="11" spans="1:5" x14ac:dyDescent="0.25">
      <c r="A11" s="4">
        <v>25</v>
      </c>
      <c r="B11" s="4" t="s">
        <v>163</v>
      </c>
      <c r="C11" s="4" t="s">
        <v>33</v>
      </c>
      <c r="D11" s="4">
        <v>10</v>
      </c>
      <c r="E11" s="4">
        <v>15</v>
      </c>
    </row>
    <row r="12" spans="1:5" x14ac:dyDescent="0.25">
      <c r="A12" s="4">
        <v>27</v>
      </c>
      <c r="B12" s="4" t="s">
        <v>163</v>
      </c>
      <c r="C12" s="4" t="s">
        <v>63</v>
      </c>
      <c r="D12" s="4">
        <v>15</v>
      </c>
      <c r="E12" s="4">
        <v>23</v>
      </c>
    </row>
    <row r="13" spans="1:5" x14ac:dyDescent="0.25">
      <c r="A13" s="4">
        <v>31</v>
      </c>
      <c r="B13" s="4" t="s">
        <v>163</v>
      </c>
      <c r="C13" s="4" t="s">
        <v>24</v>
      </c>
      <c r="D13" s="4">
        <v>20</v>
      </c>
      <c r="E13" s="4">
        <v>30</v>
      </c>
    </row>
    <row r="14" spans="1:5" x14ac:dyDescent="0.25">
      <c r="A14" s="4">
        <v>33</v>
      </c>
      <c r="B14" s="4" t="s">
        <v>163</v>
      </c>
      <c r="C14" s="4" t="s">
        <v>62</v>
      </c>
      <c r="D14" s="4">
        <v>10</v>
      </c>
      <c r="E14" s="4">
        <v>15</v>
      </c>
    </row>
    <row r="15" spans="1:5" x14ac:dyDescent="0.25">
      <c r="A15" s="4">
        <v>47</v>
      </c>
      <c r="B15" s="4" t="s">
        <v>163</v>
      </c>
      <c r="C15" s="4" t="s">
        <v>7</v>
      </c>
      <c r="D15" s="4">
        <v>15</v>
      </c>
      <c r="E15" s="4">
        <v>23</v>
      </c>
    </row>
    <row r="16" spans="1:5" x14ac:dyDescent="0.25">
      <c r="A16" s="4">
        <v>48</v>
      </c>
      <c r="B16" s="4" t="s">
        <v>163</v>
      </c>
      <c r="C16" s="4" t="s">
        <v>7</v>
      </c>
      <c r="D16" s="4">
        <v>10</v>
      </c>
      <c r="E16" s="4">
        <v>15</v>
      </c>
    </row>
    <row r="17" spans="1:5" x14ac:dyDescent="0.25">
      <c r="A17" s="4">
        <v>50</v>
      </c>
      <c r="B17" s="4" t="s">
        <v>163</v>
      </c>
      <c r="C17" s="4" t="s">
        <v>145</v>
      </c>
      <c r="D17" s="4">
        <v>10</v>
      </c>
      <c r="E17" s="4">
        <v>15</v>
      </c>
    </row>
    <row r="18" spans="1:5" x14ac:dyDescent="0.25">
      <c r="A18" s="4">
        <v>51</v>
      </c>
      <c r="B18" s="4" t="s">
        <v>163</v>
      </c>
      <c r="C18" s="4" t="s">
        <v>13</v>
      </c>
      <c r="D18" s="4">
        <v>8</v>
      </c>
      <c r="E18" s="4">
        <v>12</v>
      </c>
    </row>
    <row r="19" spans="1:5" x14ac:dyDescent="0.25">
      <c r="A19" s="4">
        <v>53</v>
      </c>
      <c r="B19" s="4" t="s">
        <v>163</v>
      </c>
      <c r="C19" s="4" t="s">
        <v>10</v>
      </c>
      <c r="D19" s="4">
        <v>10</v>
      </c>
      <c r="E19" s="4">
        <v>15</v>
      </c>
    </row>
    <row r="20" spans="1:5" x14ac:dyDescent="0.25">
      <c r="A20" s="4">
        <v>54</v>
      </c>
      <c r="B20" s="4" t="s">
        <v>163</v>
      </c>
      <c r="C20" s="4" t="s">
        <v>14</v>
      </c>
      <c r="D20" s="4">
        <v>10</v>
      </c>
      <c r="E20" s="4">
        <v>15</v>
      </c>
    </row>
    <row r="21" spans="1:5" x14ac:dyDescent="0.25">
      <c r="A21" s="4">
        <v>55</v>
      </c>
      <c r="B21" s="4" t="s">
        <v>163</v>
      </c>
      <c r="C21" s="4" t="s">
        <v>29</v>
      </c>
      <c r="D21" s="4">
        <v>15</v>
      </c>
      <c r="E21" s="4">
        <v>23</v>
      </c>
    </row>
    <row r="22" spans="1:5" x14ac:dyDescent="0.25">
      <c r="A22" s="4">
        <v>56</v>
      </c>
      <c r="B22" s="4" t="s">
        <v>163</v>
      </c>
      <c r="C22" s="4" t="s">
        <v>28</v>
      </c>
      <c r="D22" s="4">
        <v>8</v>
      </c>
      <c r="E22" s="4">
        <v>12</v>
      </c>
    </row>
    <row r="23" spans="1:5" x14ac:dyDescent="0.25">
      <c r="A23" s="4">
        <v>57</v>
      </c>
      <c r="B23" s="4" t="s">
        <v>163</v>
      </c>
      <c r="C23" s="4" t="s">
        <v>30</v>
      </c>
      <c r="D23" s="4">
        <v>10</v>
      </c>
      <c r="E23" s="4">
        <v>15</v>
      </c>
    </row>
    <row r="24" spans="1:5" x14ac:dyDescent="0.25">
      <c r="A24" s="4">
        <v>58</v>
      </c>
      <c r="B24" s="4" t="s">
        <v>163</v>
      </c>
      <c r="C24" s="4" t="s">
        <v>31</v>
      </c>
      <c r="D24" s="4">
        <v>10</v>
      </c>
      <c r="E24" s="4">
        <v>15</v>
      </c>
    </row>
    <row r="25" spans="1:5" x14ac:dyDescent="0.25">
      <c r="A25" s="4">
        <v>99</v>
      </c>
      <c r="B25" s="4" t="s">
        <v>163</v>
      </c>
      <c r="C25" s="4" t="s">
        <v>26</v>
      </c>
      <c r="D25" s="4">
        <v>8</v>
      </c>
      <c r="E25" s="4">
        <v>12</v>
      </c>
    </row>
    <row r="26" spans="1:5" ht="15.75" thickBot="1" x14ac:dyDescent="0.3">
      <c r="A26" s="4">
        <v>100</v>
      </c>
      <c r="B26" s="4" t="s">
        <v>163</v>
      </c>
      <c r="C26" s="4" t="s">
        <v>19</v>
      </c>
      <c r="D26" s="4">
        <v>40</v>
      </c>
      <c r="E26" s="4">
        <v>60</v>
      </c>
    </row>
    <row r="27" spans="1:5" ht="16.5" thickTop="1" x14ac:dyDescent="0.3">
      <c r="D27" s="8">
        <f>SUM(D2:D26)</f>
        <v>320</v>
      </c>
      <c r="E27" s="8">
        <f>SUM(E2:E26)</f>
        <v>483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Sheet1</vt:lpstr>
      <vt:lpstr>Sheet2</vt:lpstr>
      <vt:lpstr>Sheet3</vt:lpstr>
      <vt:lpstr>Codes</vt:lpstr>
      <vt:lpstr>Projects</vt:lpstr>
      <vt:lpstr>Final</vt:lpstr>
      <vt:lpstr>Desktop</vt:lpstr>
      <vt:lpstr>Mobile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Cuison</dc:creator>
  <cp:lastModifiedBy>Michael Cuison</cp:lastModifiedBy>
  <dcterms:created xsi:type="dcterms:W3CDTF">2020-12-19T00:18:12Z</dcterms:created>
  <dcterms:modified xsi:type="dcterms:W3CDTF">2021-01-14T03:29:40Z</dcterms:modified>
</cp:coreProperties>
</file>