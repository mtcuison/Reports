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uanzon\Reports\MIS\"/>
    </mc:Choice>
  </mc:AlternateContent>
  <xr:revisionPtr revIDLastSave="0" documentId="13_ncr:1_{A5B877FF-2C1D-4991-8930-EBE1A022515C}" xr6:coauthVersionLast="45" xr6:coauthVersionMax="45" xr10:uidLastSave="{00000000-0000-0000-0000-000000000000}"/>
  <bookViews>
    <workbookView xWindow="-120" yWindow="-120" windowWidth="29040" windowHeight="15990" activeTab="1" xr2:uid="{AEA7241D-8F57-4D95-A795-1390952A7765}"/>
  </bookViews>
  <sheets>
    <sheet name="MIS" sheetId="1" r:id="rId1"/>
    <sheet name="Timeline" sheetId="2" r:id="rId2"/>
    <sheet name="Sheet1" sheetId="3" r:id="rId3"/>
  </sheets>
  <definedNames>
    <definedName name="_xlnm._FilterDatabase" localSheetId="1" hidden="1">Timeline!$A$1:$F$48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1" l="1"/>
  <c r="J4" i="1"/>
  <c r="J5" i="1"/>
  <c r="J6" i="1"/>
  <c r="J3" i="1"/>
  <c r="I6" i="1"/>
  <c r="H6" i="1"/>
  <c r="B23" i="1" l="1"/>
  <c r="B18" i="1"/>
  <c r="B12" i="1"/>
  <c r="D4" i="1"/>
  <c r="D5" i="1"/>
  <c r="D6" i="1"/>
  <c r="D3" i="1"/>
  <c r="D7" i="1" l="1"/>
</calcChain>
</file>

<file path=xl/sharedStrings.xml><?xml version="1.0" encoding="utf-8"?>
<sst xmlns="http://schemas.openxmlformats.org/spreadsheetml/2006/main" count="208" uniqueCount="135">
  <si>
    <t>Programmer</t>
  </si>
  <si>
    <t>Implementer</t>
  </si>
  <si>
    <t>Dagupan</t>
  </si>
  <si>
    <t>Manila</t>
  </si>
  <si>
    <t>Hardware Support</t>
  </si>
  <si>
    <t>System Support</t>
  </si>
  <si>
    <t>MIS Manpower</t>
  </si>
  <si>
    <t>Total</t>
  </si>
  <si>
    <t>For Hiring</t>
  </si>
  <si>
    <t>Electrician/Technician</t>
  </si>
  <si>
    <t>Hardware GMO</t>
  </si>
  <si>
    <t>Sim Card Inventory</t>
  </si>
  <si>
    <t>Smart Postpaid</t>
  </si>
  <si>
    <t>Globe Postpaid</t>
  </si>
  <si>
    <t>Sun Receivier</t>
  </si>
  <si>
    <t>Service Phone</t>
  </si>
  <si>
    <t>OFFLINE</t>
  </si>
  <si>
    <t>ONLINE</t>
  </si>
  <si>
    <t>Grand Total</t>
  </si>
  <si>
    <t>Area 1 (MP)</t>
  </si>
  <si>
    <t>Area 2 (MP)</t>
  </si>
  <si>
    <t>Area 3 (MP)</t>
  </si>
  <si>
    <t>Area 4 (MP)</t>
  </si>
  <si>
    <t>AREA 5 (MP)</t>
  </si>
  <si>
    <t>Main 1 (MP)</t>
  </si>
  <si>
    <t>Main Office</t>
  </si>
  <si>
    <t>NCR</t>
  </si>
  <si>
    <t>R1 - A</t>
  </si>
  <si>
    <t>R1 - B</t>
  </si>
  <si>
    <t>R1 - C</t>
  </si>
  <si>
    <t>R1 - D</t>
  </si>
  <si>
    <t>R1 - E</t>
  </si>
  <si>
    <t>R2</t>
  </si>
  <si>
    <t>R3 - A</t>
  </si>
  <si>
    <t>R3 - B</t>
  </si>
  <si>
    <t>R3 - C</t>
  </si>
  <si>
    <t>R4 - A</t>
  </si>
  <si>
    <t>R4 - B</t>
  </si>
  <si>
    <t>R5</t>
  </si>
  <si>
    <t>R6</t>
  </si>
  <si>
    <t>R7</t>
  </si>
  <si>
    <t>Warehouse (MC)</t>
  </si>
  <si>
    <t>FI</t>
  </si>
  <si>
    <t>AREA</t>
  </si>
  <si>
    <t>CCTV Monitoring Summary</t>
  </si>
  <si>
    <t>NOT WORKING</t>
  </si>
  <si>
    <t>WORKING</t>
  </si>
  <si>
    <t>Status</t>
  </si>
  <si>
    <t>Devices</t>
  </si>
  <si>
    <t>GPS</t>
  </si>
  <si>
    <t>Smartcard</t>
  </si>
  <si>
    <t>QR Code</t>
  </si>
  <si>
    <t>Non-chip</t>
  </si>
  <si>
    <t>Activated</t>
  </si>
  <si>
    <t>Open</t>
  </si>
  <si>
    <t>GCard Status</t>
  </si>
  <si>
    <t>Customer Android App Accounts</t>
  </si>
  <si>
    <t>Not Activated</t>
  </si>
  <si>
    <t>Count of Numbers in DB</t>
  </si>
  <si>
    <t>ATM_Master</t>
  </si>
  <si>
    <t>Direct Query</t>
  </si>
  <si>
    <t>~</t>
  </si>
  <si>
    <t>Count of SMS Sent</t>
  </si>
  <si>
    <t>Masking</t>
  </si>
  <si>
    <t>Hotline_OutGoing</t>
  </si>
  <si>
    <t>Code</t>
  </si>
  <si>
    <t>Project Name</t>
  </si>
  <si>
    <t>Days</t>
  </si>
  <si>
    <t>mcWIMS</t>
  </si>
  <si>
    <t>2h MC Pricelist - based on the new classification</t>
  </si>
  <si>
    <t>Pedritos</t>
  </si>
  <si>
    <t>Management Report (Pedritos Integrated Systems)</t>
  </si>
  <si>
    <t>Android - CI Speed Credit Scoring(Add picture)</t>
  </si>
  <si>
    <t>Android - CI Speed Credit Scoring(Document Scanning)</t>
  </si>
  <si>
    <t>Android - Attendance Summary Notification</t>
  </si>
  <si>
    <t>Android - Branch Opening Monitoring</t>
  </si>
  <si>
    <t>Android - Selfie Login(*)</t>
  </si>
  <si>
    <t>Android - Cash Count (revision)</t>
  </si>
  <si>
    <t>Android - Random Stock Inventory</t>
  </si>
  <si>
    <t>Android - Reimbursement</t>
  </si>
  <si>
    <t>Android - Discount Approval</t>
  </si>
  <si>
    <t>Android - Rebate Approval</t>
  </si>
  <si>
    <t>Android - Online Employment Application(*)</t>
  </si>
  <si>
    <t>Android - Online Credit Application(*)</t>
  </si>
  <si>
    <t>Android - Service Scheduling</t>
  </si>
  <si>
    <t>Android - Parts/Units Ordering</t>
  </si>
  <si>
    <t>Android - Notification/Messaging</t>
  </si>
  <si>
    <t>Android - Preterm Computation</t>
  </si>
  <si>
    <t>Android - AH Branch Performance Monitoring</t>
  </si>
  <si>
    <t>MP Consignment Payment</t>
  </si>
  <si>
    <t>IntegSys</t>
  </si>
  <si>
    <t>Recurring Expenses</t>
  </si>
  <si>
    <t>Integrate Purchase Order MC / MP thru Gen Acctg</t>
  </si>
  <si>
    <t>Payroll Reports</t>
  </si>
  <si>
    <t>Advance Payment Monitoring/COD</t>
  </si>
  <si>
    <t>201 File Update</t>
  </si>
  <si>
    <t>Payroll Encryption System</t>
  </si>
  <si>
    <t>Random Sending of Payslip (To be checked Selected Employee)</t>
  </si>
  <si>
    <t>IOM Issuance</t>
  </si>
  <si>
    <t>PetMgr</t>
  </si>
  <si>
    <t>Website</t>
  </si>
  <si>
    <t>Online Employment Application</t>
  </si>
  <si>
    <t>Online Credit Application</t>
  </si>
  <si>
    <t>Pedritos Systems Upgrade</t>
  </si>
  <si>
    <t>Android - DCP</t>
  </si>
  <si>
    <t>Android - Credit Investigation</t>
  </si>
  <si>
    <t>Android - Service Hotline</t>
  </si>
  <si>
    <t>Android - OB, Leave, etc Entry</t>
  </si>
  <si>
    <t>Pre-Order Sales</t>
  </si>
  <si>
    <t>GenAcct</t>
  </si>
  <si>
    <t>Added</t>
  </si>
  <si>
    <t>Priority</t>
  </si>
  <si>
    <t>*</t>
  </si>
  <si>
    <t>Text Notification for Company Rules</t>
  </si>
  <si>
    <t>Text Notification for Payslip (Engineering)</t>
  </si>
  <si>
    <t>iP</t>
  </si>
  <si>
    <t>Android - Get additional rebate coupon on service check up</t>
  </si>
  <si>
    <t>Android/SMS OTP for releasing giveaways on MC Sales</t>
  </si>
  <si>
    <t>Android - Get P1000 DP Discount if app is installed by customer(OTP)</t>
  </si>
  <si>
    <t>Type</t>
  </si>
  <si>
    <t>Android</t>
  </si>
  <si>
    <t>Payroll</t>
  </si>
  <si>
    <t>Desktop</t>
  </si>
  <si>
    <t>Auto Div</t>
  </si>
  <si>
    <t>Restaurant</t>
  </si>
  <si>
    <t>Hotel</t>
  </si>
  <si>
    <t>MP Division</t>
  </si>
  <si>
    <t>MC Division</t>
  </si>
  <si>
    <t>Admin 1</t>
  </si>
  <si>
    <t>Admin 2</t>
  </si>
  <si>
    <t>Admin 3</t>
  </si>
  <si>
    <t>HCM Manager</t>
  </si>
  <si>
    <t>Director</t>
  </si>
  <si>
    <t>Android - Health Checklist App</t>
  </si>
  <si>
    <t>General Services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</si>
</sst>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Alignment="1"/>
    <xf numFmtId="0" fontId="1" fillId="0" borderId="1" xfId="0" applyFont="1" applyFill="1" applyBorder="1"/>
    <xf numFmtId="0" fontId="0" fillId="0" borderId="1" xfId="0" applyFill="1" applyBorder="1" applyAlignment="1">
      <alignment horizontal="left"/>
    </xf>
    <xf numFmtId="164" fontId="0" fillId="0" borderId="1" xfId="1" applyNumberFormat="1" applyFont="1" applyBorder="1"/>
    <xf numFmtId="164" fontId="1" fillId="0" borderId="1" xfId="1" applyNumberFormat="1" applyFont="1" applyBorder="1"/>
    <xf numFmtId="0" fontId="0" fillId="0" borderId="1" xfId="0" applyBorder="1" applyAlignment="1">
      <alignment horizontal="right"/>
    </xf>
    <xf numFmtId="0" fontId="1" fillId="2" borderId="0" xfId="0" applyFont="1" applyFill="1" applyAlignment="1">
      <alignment horizontal="center"/>
    </xf>
    <xf numFmtId="0" fontId="3" fillId="0" borderId="0" xfId="0" applyFont="1"/>
    <xf numFmtId="0" fontId="0" fillId="0" borderId="5" xfId="0" applyBorder="1"/>
    <xf numFmtId="0" fontId="0" fillId="0" borderId="7" xfId="0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0" fillId="0" borderId="1" xfId="1" applyNumberFormat="1" applyFont="1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2D51-7AFB-4975-B90F-9443A7D3F4E8}">
  <dimension ref="A1:T26"/>
  <sheetViews>
    <sheetView topLeftCell="A2" workbookViewId="0">
      <selection activeCell="B39" sqref="B39"/>
    </sheetView>
  </sheetViews>
  <sheetFormatPr defaultRowHeight="15" x14ac:dyDescent="0.25"/>
  <cols>
    <col min="1" max="1" width="20.7109375" bestFit="1" customWidth="1"/>
    <col min="2" max="3" width="8.85546875" customWidth="1"/>
    <col min="7" max="10" width="17.140625" customWidth="1"/>
    <col min="13" max="20" width="14.140625" customWidth="1"/>
  </cols>
  <sheetData>
    <row r="1" spans="1:20" x14ac:dyDescent="0.25">
      <c r="A1" s="21" t="s">
        <v>6</v>
      </c>
      <c r="B1" s="21"/>
      <c r="C1" s="21"/>
      <c r="D1" s="21"/>
      <c r="G1" s="21" t="s">
        <v>55</v>
      </c>
      <c r="H1" s="21"/>
      <c r="I1" s="21"/>
      <c r="J1" s="21"/>
      <c r="M1" s="25" t="s">
        <v>44</v>
      </c>
      <c r="N1" s="25"/>
      <c r="O1" s="25"/>
      <c r="P1" s="25"/>
      <c r="Q1" s="25"/>
      <c r="S1" s="26" t="s">
        <v>49</v>
      </c>
      <c r="T1" s="27"/>
    </row>
    <row r="2" spans="1:20" x14ac:dyDescent="0.25">
      <c r="A2" s="5"/>
      <c r="B2" s="5" t="s">
        <v>2</v>
      </c>
      <c r="C2" s="5" t="s">
        <v>3</v>
      </c>
      <c r="D2" s="4" t="s">
        <v>7</v>
      </c>
      <c r="G2" s="3"/>
      <c r="H2" s="3" t="s">
        <v>54</v>
      </c>
      <c r="I2" s="3" t="s">
        <v>53</v>
      </c>
      <c r="J2" s="3" t="s">
        <v>7</v>
      </c>
      <c r="M2" s="3" t="s">
        <v>43</v>
      </c>
      <c r="N2" s="3" t="s">
        <v>42</v>
      </c>
      <c r="O2" s="3" t="s">
        <v>16</v>
      </c>
      <c r="P2" s="3" t="s">
        <v>17</v>
      </c>
      <c r="Q2" s="3" t="s">
        <v>18</v>
      </c>
      <c r="S2" s="2" t="s">
        <v>47</v>
      </c>
      <c r="T2" s="2" t="s">
        <v>48</v>
      </c>
    </row>
    <row r="3" spans="1:20" x14ac:dyDescent="0.25">
      <c r="A3" s="1" t="s">
        <v>0</v>
      </c>
      <c r="B3" s="1">
        <v>7</v>
      </c>
      <c r="C3" s="1">
        <v>1</v>
      </c>
      <c r="D3" s="1">
        <f>SUM(B3:C3)</f>
        <v>8</v>
      </c>
      <c r="G3" s="8" t="s">
        <v>50</v>
      </c>
      <c r="H3" s="9">
        <v>5661</v>
      </c>
      <c r="I3" s="9">
        <v>278863</v>
      </c>
      <c r="J3" s="9">
        <f>SUM(H3:I3)</f>
        <v>284524</v>
      </c>
      <c r="M3" s="1" t="s">
        <v>19</v>
      </c>
      <c r="N3" s="1"/>
      <c r="O3" s="1">
        <v>7</v>
      </c>
      <c r="P3" s="1">
        <v>8</v>
      </c>
      <c r="Q3" s="1">
        <v>15</v>
      </c>
      <c r="S3" s="1" t="s">
        <v>45</v>
      </c>
      <c r="T3" s="1">
        <v>113</v>
      </c>
    </row>
    <row r="4" spans="1:20" x14ac:dyDescent="0.25">
      <c r="A4" s="1" t="s">
        <v>1</v>
      </c>
      <c r="B4" s="1">
        <v>3</v>
      </c>
      <c r="C4" s="1">
        <v>0</v>
      </c>
      <c r="D4" s="1">
        <f t="shared" ref="D4:D6" si="0">SUM(B4:C4)</f>
        <v>3</v>
      </c>
      <c r="G4" s="1" t="s">
        <v>51</v>
      </c>
      <c r="H4" s="9">
        <v>2060</v>
      </c>
      <c r="I4" s="9">
        <v>1500</v>
      </c>
      <c r="J4" s="9">
        <f t="shared" ref="J4:J6" si="1">SUM(H4:I4)</f>
        <v>3560</v>
      </c>
      <c r="M4" s="1" t="s">
        <v>20</v>
      </c>
      <c r="N4" s="1">
        <v>4</v>
      </c>
      <c r="O4" s="1">
        <v>2</v>
      </c>
      <c r="P4" s="1">
        <v>15</v>
      </c>
      <c r="Q4" s="1">
        <v>21</v>
      </c>
      <c r="S4" s="1" t="s">
        <v>46</v>
      </c>
      <c r="T4" s="1">
        <v>51</v>
      </c>
    </row>
    <row r="5" spans="1:20" x14ac:dyDescent="0.25">
      <c r="A5" s="1" t="s">
        <v>5</v>
      </c>
      <c r="B5" s="1">
        <v>12</v>
      </c>
      <c r="C5" s="1">
        <v>2</v>
      </c>
      <c r="D5" s="1">
        <f t="shared" si="0"/>
        <v>14</v>
      </c>
      <c r="G5" s="1" t="s">
        <v>52</v>
      </c>
      <c r="H5" s="9">
        <v>30</v>
      </c>
      <c r="I5" s="9">
        <v>19114</v>
      </c>
      <c r="J5" s="9">
        <f t="shared" si="1"/>
        <v>19144</v>
      </c>
      <c r="M5" s="1" t="s">
        <v>21</v>
      </c>
      <c r="N5" s="1"/>
      <c r="O5" s="1">
        <v>4</v>
      </c>
      <c r="P5" s="1">
        <v>8</v>
      </c>
      <c r="Q5" s="1">
        <v>12</v>
      </c>
      <c r="S5" s="2" t="s">
        <v>18</v>
      </c>
      <c r="T5" s="2">
        <v>164</v>
      </c>
    </row>
    <row r="6" spans="1:20" x14ac:dyDescent="0.25">
      <c r="A6" s="1" t="s">
        <v>4</v>
      </c>
      <c r="B6" s="1">
        <v>4</v>
      </c>
      <c r="C6" s="1">
        <v>0</v>
      </c>
      <c r="D6" s="1">
        <f t="shared" si="0"/>
        <v>4</v>
      </c>
      <c r="G6" s="2" t="s">
        <v>7</v>
      </c>
      <c r="H6" s="10">
        <f>SUM(H3:H5)</f>
        <v>7751</v>
      </c>
      <c r="I6" s="10">
        <f>SUM(I3:I5)</f>
        <v>299477</v>
      </c>
      <c r="J6" s="10">
        <f t="shared" si="1"/>
        <v>307228</v>
      </c>
      <c r="M6" s="1" t="s">
        <v>22</v>
      </c>
      <c r="N6" s="1"/>
      <c r="O6" s="1">
        <v>13</v>
      </c>
      <c r="P6" s="1">
        <v>8</v>
      </c>
      <c r="Q6" s="1">
        <v>21</v>
      </c>
    </row>
    <row r="7" spans="1:20" x14ac:dyDescent="0.25">
      <c r="A7" s="1"/>
      <c r="B7" s="22" t="s">
        <v>7</v>
      </c>
      <c r="C7" s="23"/>
      <c r="D7" s="2">
        <f t="shared" ref="D7" si="2">SUM(D3:D6)</f>
        <v>29</v>
      </c>
      <c r="M7" s="1" t="s">
        <v>23</v>
      </c>
      <c r="N7" s="1">
        <v>1</v>
      </c>
      <c r="O7" s="1">
        <v>8</v>
      </c>
      <c r="P7" s="1">
        <v>6</v>
      </c>
      <c r="Q7" s="1">
        <v>15</v>
      </c>
    </row>
    <row r="8" spans="1:20" x14ac:dyDescent="0.25">
      <c r="M8" s="1" t="s">
        <v>24</v>
      </c>
      <c r="N8" s="1">
        <v>7</v>
      </c>
      <c r="O8" s="1"/>
      <c r="P8" s="1"/>
      <c r="Q8" s="1">
        <v>7</v>
      </c>
    </row>
    <row r="9" spans="1:20" x14ac:dyDescent="0.25">
      <c r="A9" s="21" t="s">
        <v>8</v>
      </c>
      <c r="B9" s="21"/>
      <c r="C9" s="6"/>
      <c r="D9" s="6"/>
      <c r="G9" s="21" t="s">
        <v>56</v>
      </c>
      <c r="H9" s="21"/>
      <c r="I9" s="21"/>
      <c r="J9" s="6"/>
      <c r="M9" s="1" t="s">
        <v>25</v>
      </c>
      <c r="N9" s="1">
        <v>2</v>
      </c>
      <c r="O9" s="1"/>
      <c r="P9" s="1">
        <v>2</v>
      </c>
      <c r="Q9" s="1">
        <v>4</v>
      </c>
    </row>
    <row r="10" spans="1:20" x14ac:dyDescent="0.25">
      <c r="A10" s="1" t="s">
        <v>9</v>
      </c>
      <c r="B10" s="1">
        <v>1</v>
      </c>
      <c r="G10" s="4" t="s">
        <v>53</v>
      </c>
      <c r="H10" s="4" t="s">
        <v>57</v>
      </c>
      <c r="I10" s="3" t="s">
        <v>7</v>
      </c>
      <c r="M10" s="1" t="s">
        <v>26</v>
      </c>
      <c r="N10" s="1"/>
      <c r="O10" s="1">
        <v>4</v>
      </c>
      <c r="P10" s="1">
        <v>7</v>
      </c>
      <c r="Q10" s="1">
        <v>11</v>
      </c>
    </row>
    <row r="11" spans="1:20" x14ac:dyDescent="0.25">
      <c r="A11" s="1" t="s">
        <v>10</v>
      </c>
      <c r="B11" s="1">
        <v>1</v>
      </c>
      <c r="G11" s="1">
        <v>391</v>
      </c>
      <c r="H11" s="1">
        <v>155</v>
      </c>
      <c r="I11" s="2">
        <f>SUM(G11:H11)</f>
        <v>546</v>
      </c>
      <c r="M11" s="1" t="s">
        <v>27</v>
      </c>
      <c r="N11" s="1"/>
      <c r="O11" s="1">
        <v>7</v>
      </c>
      <c r="P11" s="1">
        <v>9</v>
      </c>
      <c r="Q11" s="1">
        <v>16</v>
      </c>
    </row>
    <row r="12" spans="1:20" x14ac:dyDescent="0.25">
      <c r="A12" s="2" t="s">
        <v>7</v>
      </c>
      <c r="B12" s="1">
        <f>SUM(B10:B11)</f>
        <v>2</v>
      </c>
      <c r="M12" s="1" t="s">
        <v>28</v>
      </c>
      <c r="N12" s="1">
        <v>1</v>
      </c>
      <c r="O12" s="1">
        <v>3</v>
      </c>
      <c r="P12" s="1">
        <v>10</v>
      </c>
      <c r="Q12" s="1">
        <v>14</v>
      </c>
    </row>
    <row r="13" spans="1:20" x14ac:dyDescent="0.25">
      <c r="G13" s="21" t="s">
        <v>58</v>
      </c>
      <c r="H13" s="21"/>
      <c r="M13" s="1" t="s">
        <v>29</v>
      </c>
      <c r="N13" s="1">
        <v>1</v>
      </c>
      <c r="O13" s="1">
        <v>6</v>
      </c>
      <c r="P13" s="1">
        <v>9</v>
      </c>
      <c r="Q13" s="1">
        <v>16</v>
      </c>
    </row>
    <row r="14" spans="1:20" x14ac:dyDescent="0.25">
      <c r="A14" s="21" t="s">
        <v>11</v>
      </c>
      <c r="B14" s="21"/>
      <c r="C14" s="6"/>
      <c r="D14" s="6"/>
      <c r="G14" s="24">
        <v>1347500</v>
      </c>
      <c r="H14" s="24"/>
      <c r="M14" s="1" t="s">
        <v>30</v>
      </c>
      <c r="N14" s="1"/>
      <c r="O14" s="1">
        <v>6</v>
      </c>
      <c r="P14" s="1">
        <v>15</v>
      </c>
      <c r="Q14" s="1">
        <v>21</v>
      </c>
    </row>
    <row r="15" spans="1:20" x14ac:dyDescent="0.25">
      <c r="A15" s="1" t="s">
        <v>12</v>
      </c>
      <c r="B15" s="1">
        <v>2</v>
      </c>
      <c r="M15" s="1" t="s">
        <v>31</v>
      </c>
      <c r="N15" s="1"/>
      <c r="O15" s="1">
        <v>5</v>
      </c>
      <c r="P15" s="1">
        <v>10</v>
      </c>
      <c r="Q15" s="1">
        <v>15</v>
      </c>
    </row>
    <row r="16" spans="1:20" x14ac:dyDescent="0.25">
      <c r="A16" s="1" t="s">
        <v>13</v>
      </c>
      <c r="B16" s="1">
        <v>3</v>
      </c>
      <c r="G16" s="21" t="s">
        <v>62</v>
      </c>
      <c r="H16" s="21"/>
      <c r="M16" s="1" t="s">
        <v>32</v>
      </c>
      <c r="N16" s="1">
        <v>2</v>
      </c>
      <c r="O16" s="1">
        <v>9</v>
      </c>
      <c r="P16" s="1">
        <v>5</v>
      </c>
      <c r="Q16" s="1">
        <v>16</v>
      </c>
    </row>
    <row r="17" spans="1:17" x14ac:dyDescent="0.25">
      <c r="A17" s="1" t="s">
        <v>14</v>
      </c>
      <c r="B17" s="1">
        <v>1</v>
      </c>
      <c r="G17" s="1" t="s">
        <v>59</v>
      </c>
      <c r="H17" s="1">
        <v>1578160</v>
      </c>
      <c r="M17" s="1" t="s">
        <v>33</v>
      </c>
      <c r="N17" s="1"/>
      <c r="O17" s="1">
        <v>5</v>
      </c>
      <c r="P17" s="1">
        <v>6</v>
      </c>
      <c r="Q17" s="1">
        <v>11</v>
      </c>
    </row>
    <row r="18" spans="1:17" x14ac:dyDescent="0.25">
      <c r="A18" s="2" t="s">
        <v>7</v>
      </c>
      <c r="B18" s="2">
        <f>SUM(B15:B17)</f>
        <v>6</v>
      </c>
      <c r="G18" s="1" t="s">
        <v>60</v>
      </c>
      <c r="H18" s="11" t="s">
        <v>61</v>
      </c>
      <c r="M18" s="1" t="s">
        <v>34</v>
      </c>
      <c r="N18" s="1"/>
      <c r="O18" s="1">
        <v>3</v>
      </c>
      <c r="P18" s="1">
        <v>3</v>
      </c>
      <c r="Q18" s="1">
        <v>6</v>
      </c>
    </row>
    <row r="19" spans="1:17" x14ac:dyDescent="0.25">
      <c r="G19" s="1" t="s">
        <v>63</v>
      </c>
      <c r="H19" s="1">
        <v>17422</v>
      </c>
      <c r="M19" s="1" t="s">
        <v>35</v>
      </c>
      <c r="N19" s="1"/>
      <c r="O19" s="1">
        <v>10</v>
      </c>
      <c r="P19" s="1">
        <v>5</v>
      </c>
      <c r="Q19" s="1">
        <v>15</v>
      </c>
    </row>
    <row r="20" spans="1:17" x14ac:dyDescent="0.25">
      <c r="A20" s="21" t="s">
        <v>15</v>
      </c>
      <c r="B20" s="21"/>
      <c r="G20" s="1" t="s">
        <v>64</v>
      </c>
      <c r="H20" s="1">
        <v>383297</v>
      </c>
      <c r="M20" s="1" t="s">
        <v>36</v>
      </c>
      <c r="N20" s="1"/>
      <c r="O20" s="1">
        <v>6</v>
      </c>
      <c r="P20" s="1">
        <v>5</v>
      </c>
      <c r="Q20" s="1">
        <v>11</v>
      </c>
    </row>
    <row r="21" spans="1:17" x14ac:dyDescent="0.25">
      <c r="A21" s="1" t="s">
        <v>4</v>
      </c>
      <c r="B21" s="1">
        <v>1</v>
      </c>
      <c r="M21" s="1" t="s">
        <v>37</v>
      </c>
      <c r="N21" s="1"/>
      <c r="O21" s="1">
        <v>2</v>
      </c>
      <c r="P21" s="1">
        <v>1</v>
      </c>
      <c r="Q21" s="1">
        <v>3</v>
      </c>
    </row>
    <row r="22" spans="1:17" x14ac:dyDescent="0.25">
      <c r="A22" s="1" t="s">
        <v>5</v>
      </c>
      <c r="B22" s="1">
        <v>2</v>
      </c>
      <c r="M22" s="1" t="s">
        <v>38</v>
      </c>
      <c r="N22" s="1"/>
      <c r="O22" s="1">
        <v>1</v>
      </c>
      <c r="P22" s="1">
        <v>1</v>
      </c>
      <c r="Q22" s="1">
        <v>2</v>
      </c>
    </row>
    <row r="23" spans="1:17" x14ac:dyDescent="0.25">
      <c r="A23" s="7" t="s">
        <v>7</v>
      </c>
      <c r="B23" s="2">
        <f>SUM(B21:B22)</f>
        <v>3</v>
      </c>
      <c r="M23" s="1" t="s">
        <v>39</v>
      </c>
      <c r="N23" s="1"/>
      <c r="O23" s="1">
        <v>4</v>
      </c>
      <c r="P23" s="1">
        <v>7</v>
      </c>
      <c r="Q23" s="1">
        <v>11</v>
      </c>
    </row>
    <row r="24" spans="1:17" x14ac:dyDescent="0.25">
      <c r="M24" s="1" t="s">
        <v>40</v>
      </c>
      <c r="N24" s="1"/>
      <c r="O24" s="1">
        <v>2</v>
      </c>
      <c r="P24" s="1">
        <v>3</v>
      </c>
      <c r="Q24" s="1">
        <v>5</v>
      </c>
    </row>
    <row r="25" spans="1:17" x14ac:dyDescent="0.25">
      <c r="M25" s="1" t="s">
        <v>41</v>
      </c>
      <c r="N25" s="1">
        <v>4</v>
      </c>
      <c r="O25" s="1"/>
      <c r="P25" s="1">
        <v>1</v>
      </c>
      <c r="Q25" s="1">
        <v>5</v>
      </c>
    </row>
    <row r="26" spans="1:17" x14ac:dyDescent="0.25">
      <c r="M26" s="2" t="s">
        <v>18</v>
      </c>
      <c r="N26" s="2">
        <v>22</v>
      </c>
      <c r="O26" s="2">
        <v>107</v>
      </c>
      <c r="P26" s="2">
        <v>144</v>
      </c>
      <c r="Q26" s="2">
        <v>273</v>
      </c>
    </row>
  </sheetData>
  <mergeCells count="12">
    <mergeCell ref="G14:H14"/>
    <mergeCell ref="M1:Q1"/>
    <mergeCell ref="S1:T1"/>
    <mergeCell ref="G16:H16"/>
    <mergeCell ref="G1:J1"/>
    <mergeCell ref="G9:I9"/>
    <mergeCell ref="G13:H13"/>
    <mergeCell ref="A20:B20"/>
    <mergeCell ref="A1:D1"/>
    <mergeCell ref="B7:C7"/>
    <mergeCell ref="A9:B9"/>
    <mergeCell ref="A14:B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06FF6-A94E-4C49-A3FF-D5508AAF2402}">
  <dimension ref="A1:F44"/>
  <sheetViews>
    <sheetView tabSelected="1" zoomScale="130" zoomScaleNormal="130" workbookViewId="0">
      <selection activeCell="E28" sqref="E28"/>
    </sheetView>
  </sheetViews>
  <sheetFormatPr defaultRowHeight="15" x14ac:dyDescent="0.25"/>
  <cols>
    <col min="1" max="1" width="10.5703125" bestFit="1" customWidth="1"/>
    <col min="2" max="2" width="10.5703125" customWidth="1"/>
    <col min="3" max="3" width="63.42578125" bestFit="1" customWidth="1"/>
    <col min="4" max="4" width="5.140625" bestFit="1" customWidth="1"/>
  </cols>
  <sheetData>
    <row r="1" spans="1:6" x14ac:dyDescent="0.25">
      <c r="A1" s="12" t="s">
        <v>65</v>
      </c>
      <c r="B1" s="12" t="s">
        <v>119</v>
      </c>
      <c r="C1" s="12" t="s">
        <v>66</v>
      </c>
      <c r="D1" s="12" t="s">
        <v>67</v>
      </c>
      <c r="E1" s="12" t="s">
        <v>115</v>
      </c>
      <c r="F1" s="12" t="s">
        <v>111</v>
      </c>
    </row>
    <row r="2" spans="1:6" x14ac:dyDescent="0.25">
      <c r="A2" s="13"/>
      <c r="B2" s="13" t="s">
        <v>120</v>
      </c>
      <c r="C2" s="13" t="s">
        <v>104</v>
      </c>
      <c r="D2" s="13">
        <v>20</v>
      </c>
      <c r="E2" t="s">
        <v>112</v>
      </c>
    </row>
    <row r="3" spans="1:6" x14ac:dyDescent="0.25">
      <c r="B3" s="13" t="s">
        <v>120</v>
      </c>
      <c r="C3" t="s">
        <v>76</v>
      </c>
      <c r="D3">
        <v>8</v>
      </c>
      <c r="E3" t="s">
        <v>112</v>
      </c>
    </row>
    <row r="4" spans="1:6" x14ac:dyDescent="0.25">
      <c r="A4" t="s">
        <v>110</v>
      </c>
      <c r="B4" s="13" t="s">
        <v>120</v>
      </c>
      <c r="C4" t="s">
        <v>116</v>
      </c>
      <c r="E4" t="s">
        <v>112</v>
      </c>
    </row>
    <row r="5" spans="1:6" x14ac:dyDescent="0.25">
      <c r="A5" t="s">
        <v>110</v>
      </c>
      <c r="B5" s="13" t="s">
        <v>120</v>
      </c>
      <c r="C5" t="s">
        <v>118</v>
      </c>
      <c r="E5" t="s">
        <v>112</v>
      </c>
    </row>
    <row r="6" spans="1:6" x14ac:dyDescent="0.25">
      <c r="A6" t="s">
        <v>110</v>
      </c>
      <c r="B6" s="13" t="s">
        <v>120</v>
      </c>
      <c r="C6" t="s">
        <v>117</v>
      </c>
      <c r="E6" t="s">
        <v>112</v>
      </c>
    </row>
    <row r="7" spans="1:6" x14ac:dyDescent="0.25">
      <c r="A7" s="13"/>
      <c r="B7" s="13" t="s">
        <v>120</v>
      </c>
      <c r="C7" s="13" t="s">
        <v>105</v>
      </c>
      <c r="D7" s="13">
        <v>20</v>
      </c>
    </row>
    <row r="8" spans="1:6" x14ac:dyDescent="0.25">
      <c r="A8" t="s">
        <v>110</v>
      </c>
      <c r="B8" s="13" t="s">
        <v>120</v>
      </c>
      <c r="C8" t="s">
        <v>133</v>
      </c>
    </row>
    <row r="9" spans="1:6" x14ac:dyDescent="0.25">
      <c r="B9" s="13" t="s">
        <v>120</v>
      </c>
      <c r="C9" t="s">
        <v>72</v>
      </c>
      <c r="D9">
        <v>10</v>
      </c>
    </row>
    <row r="10" spans="1:6" x14ac:dyDescent="0.25">
      <c r="B10" s="13" t="s">
        <v>120</v>
      </c>
      <c r="C10" t="s">
        <v>73</v>
      </c>
      <c r="D10">
        <v>15</v>
      </c>
    </row>
    <row r="11" spans="1:6" x14ac:dyDescent="0.25">
      <c r="B11" s="13" t="s">
        <v>120</v>
      </c>
      <c r="C11" t="s">
        <v>88</v>
      </c>
      <c r="D11">
        <v>20</v>
      </c>
    </row>
    <row r="12" spans="1:6" x14ac:dyDescent="0.25">
      <c r="B12" s="13" t="s">
        <v>120</v>
      </c>
      <c r="C12" t="s">
        <v>74</v>
      </c>
      <c r="D12">
        <v>10</v>
      </c>
    </row>
    <row r="13" spans="1:6" x14ac:dyDescent="0.25">
      <c r="B13" s="13" t="s">
        <v>120</v>
      </c>
      <c r="C13" t="s">
        <v>75</v>
      </c>
      <c r="D13">
        <v>8</v>
      </c>
    </row>
    <row r="14" spans="1:6" x14ac:dyDescent="0.25">
      <c r="B14" s="13" t="s">
        <v>120</v>
      </c>
      <c r="C14" t="s">
        <v>77</v>
      </c>
      <c r="D14">
        <v>15</v>
      </c>
    </row>
    <row r="15" spans="1:6" x14ac:dyDescent="0.25">
      <c r="B15" s="13" t="s">
        <v>120</v>
      </c>
      <c r="C15" t="s">
        <v>80</v>
      </c>
      <c r="D15">
        <v>8</v>
      </c>
    </row>
    <row r="16" spans="1:6" x14ac:dyDescent="0.25">
      <c r="B16" s="13" t="s">
        <v>120</v>
      </c>
      <c r="C16" t="s">
        <v>86</v>
      </c>
      <c r="D16">
        <v>10</v>
      </c>
    </row>
    <row r="17" spans="1:5" x14ac:dyDescent="0.25">
      <c r="A17" s="13"/>
      <c r="B17" s="13" t="s">
        <v>120</v>
      </c>
      <c r="C17" s="13" t="s">
        <v>107</v>
      </c>
      <c r="D17" s="13">
        <v>15</v>
      </c>
    </row>
    <row r="18" spans="1:5" x14ac:dyDescent="0.25">
      <c r="B18" s="13" t="s">
        <v>120</v>
      </c>
      <c r="C18" t="s">
        <v>83</v>
      </c>
      <c r="D18">
        <v>15</v>
      </c>
    </row>
    <row r="19" spans="1:5" x14ac:dyDescent="0.25">
      <c r="B19" s="13" t="s">
        <v>120</v>
      </c>
      <c r="C19" t="s">
        <v>82</v>
      </c>
      <c r="D19">
        <v>15</v>
      </c>
    </row>
    <row r="20" spans="1:5" x14ac:dyDescent="0.25">
      <c r="B20" s="13" t="s">
        <v>120</v>
      </c>
      <c r="C20" t="s">
        <v>85</v>
      </c>
      <c r="D20">
        <v>10</v>
      </c>
    </row>
    <row r="21" spans="1:5" x14ac:dyDescent="0.25">
      <c r="B21" s="13" t="s">
        <v>120</v>
      </c>
      <c r="C21" t="s">
        <v>87</v>
      </c>
      <c r="D21">
        <v>8</v>
      </c>
    </row>
    <row r="22" spans="1:5" x14ac:dyDescent="0.25">
      <c r="B22" s="13" t="s">
        <v>120</v>
      </c>
      <c r="C22" t="s">
        <v>78</v>
      </c>
      <c r="D22">
        <v>10</v>
      </c>
    </row>
    <row r="23" spans="1:5" x14ac:dyDescent="0.25">
      <c r="B23" s="13" t="s">
        <v>120</v>
      </c>
      <c r="C23" t="s">
        <v>81</v>
      </c>
      <c r="D23">
        <v>8</v>
      </c>
    </row>
    <row r="24" spans="1:5" x14ac:dyDescent="0.25">
      <c r="B24" s="13" t="s">
        <v>120</v>
      </c>
      <c r="C24" t="s">
        <v>79</v>
      </c>
      <c r="D24">
        <v>10</v>
      </c>
    </row>
    <row r="25" spans="1:5" x14ac:dyDescent="0.25">
      <c r="A25" s="13"/>
      <c r="B25" s="13" t="s">
        <v>120</v>
      </c>
      <c r="C25" s="13" t="s">
        <v>106</v>
      </c>
      <c r="D25" s="13">
        <v>10</v>
      </c>
    </row>
    <row r="26" spans="1:5" x14ac:dyDescent="0.25">
      <c r="B26" s="13" t="s">
        <v>120</v>
      </c>
      <c r="C26" t="s">
        <v>84</v>
      </c>
      <c r="D26">
        <v>10</v>
      </c>
    </row>
    <row r="27" spans="1:5" x14ac:dyDescent="0.25">
      <c r="A27" t="s">
        <v>99</v>
      </c>
      <c r="B27" s="13" t="s">
        <v>122</v>
      </c>
      <c r="C27" t="s">
        <v>95</v>
      </c>
      <c r="D27">
        <v>3</v>
      </c>
      <c r="E27" t="s">
        <v>112</v>
      </c>
    </row>
    <row r="28" spans="1:5" x14ac:dyDescent="0.25">
      <c r="A28" t="s">
        <v>99</v>
      </c>
      <c r="B28" s="13" t="s">
        <v>122</v>
      </c>
      <c r="C28" t="s">
        <v>97</v>
      </c>
      <c r="D28">
        <v>15</v>
      </c>
    </row>
    <row r="29" spans="1:5" x14ac:dyDescent="0.25">
      <c r="A29" t="s">
        <v>110</v>
      </c>
      <c r="B29" s="13" t="s">
        <v>122</v>
      </c>
      <c r="C29" t="s">
        <v>114</v>
      </c>
    </row>
    <row r="30" spans="1:5" x14ac:dyDescent="0.25">
      <c r="A30" t="s">
        <v>109</v>
      </c>
      <c r="B30" s="13" t="s">
        <v>122</v>
      </c>
      <c r="C30" t="s">
        <v>94</v>
      </c>
      <c r="D30">
        <v>6</v>
      </c>
    </row>
    <row r="31" spans="1:5" x14ac:dyDescent="0.25">
      <c r="A31" t="s">
        <v>68</v>
      </c>
      <c r="B31" s="13" t="s">
        <v>122</v>
      </c>
      <c r="C31" t="s">
        <v>69</v>
      </c>
      <c r="D31">
        <v>15</v>
      </c>
    </row>
    <row r="32" spans="1:5" x14ac:dyDescent="0.25">
      <c r="A32" t="s">
        <v>90</v>
      </c>
      <c r="B32" s="13" t="s">
        <v>122</v>
      </c>
      <c r="C32" t="s">
        <v>92</v>
      </c>
      <c r="D32">
        <v>8</v>
      </c>
    </row>
    <row r="33" spans="1:5" x14ac:dyDescent="0.25">
      <c r="A33" t="s">
        <v>99</v>
      </c>
      <c r="B33" s="13" t="s">
        <v>122</v>
      </c>
      <c r="C33" t="s">
        <v>98</v>
      </c>
      <c r="D33">
        <v>15</v>
      </c>
    </row>
    <row r="34" spans="1:5" x14ac:dyDescent="0.25">
      <c r="A34" t="s">
        <v>70</v>
      </c>
      <c r="B34" s="13" t="s">
        <v>122</v>
      </c>
      <c r="C34" t="s">
        <v>71</v>
      </c>
      <c r="D34">
        <v>30</v>
      </c>
    </row>
    <row r="35" spans="1:5" x14ac:dyDescent="0.25">
      <c r="A35" t="s">
        <v>109</v>
      </c>
      <c r="B35" s="13" t="s">
        <v>122</v>
      </c>
      <c r="C35" t="s">
        <v>89</v>
      </c>
      <c r="D35">
        <v>5</v>
      </c>
    </row>
    <row r="36" spans="1:5" x14ac:dyDescent="0.25">
      <c r="A36" t="s">
        <v>99</v>
      </c>
      <c r="B36" s="13" t="s">
        <v>122</v>
      </c>
      <c r="C36" t="s">
        <v>96</v>
      </c>
      <c r="D36">
        <v>5</v>
      </c>
    </row>
    <row r="37" spans="1:5" x14ac:dyDescent="0.25">
      <c r="A37" t="s">
        <v>109</v>
      </c>
      <c r="B37" s="13" t="s">
        <v>122</v>
      </c>
      <c r="C37" t="s">
        <v>93</v>
      </c>
      <c r="D37">
        <v>16</v>
      </c>
    </row>
    <row r="38" spans="1:5" x14ac:dyDescent="0.25">
      <c r="A38" t="s">
        <v>70</v>
      </c>
      <c r="B38" s="13" t="s">
        <v>122</v>
      </c>
      <c r="C38" t="s">
        <v>103</v>
      </c>
      <c r="D38">
        <v>60</v>
      </c>
    </row>
    <row r="39" spans="1:5" x14ac:dyDescent="0.25">
      <c r="A39" t="s">
        <v>90</v>
      </c>
      <c r="B39" s="13" t="s">
        <v>122</v>
      </c>
      <c r="C39" t="s">
        <v>91</v>
      </c>
      <c r="D39">
        <v>8</v>
      </c>
    </row>
    <row r="40" spans="1:5" x14ac:dyDescent="0.25">
      <c r="A40" t="s">
        <v>110</v>
      </c>
      <c r="B40" s="13" t="s">
        <v>122</v>
      </c>
      <c r="C40" t="s">
        <v>113</v>
      </c>
      <c r="D40">
        <v>3</v>
      </c>
    </row>
    <row r="41" spans="1:5" x14ac:dyDescent="0.25">
      <c r="A41" s="13" t="s">
        <v>100</v>
      </c>
      <c r="B41" s="13" t="s">
        <v>100</v>
      </c>
      <c r="C41" s="13" t="s">
        <v>108</v>
      </c>
      <c r="D41" s="13">
        <v>20</v>
      </c>
    </row>
    <row r="42" spans="1:5" x14ac:dyDescent="0.25">
      <c r="A42" t="s">
        <v>100</v>
      </c>
      <c r="B42" s="13" t="s">
        <v>100</v>
      </c>
      <c r="C42" t="s">
        <v>102</v>
      </c>
      <c r="D42">
        <v>6</v>
      </c>
    </row>
    <row r="43" spans="1:5" x14ac:dyDescent="0.25">
      <c r="A43" t="s">
        <v>100</v>
      </c>
      <c r="B43" s="13" t="s">
        <v>100</v>
      </c>
      <c r="C43" t="s">
        <v>101</v>
      </c>
      <c r="D43">
        <v>6</v>
      </c>
    </row>
    <row r="44" spans="1:5" x14ac:dyDescent="0.25">
      <c r="C44" t="s">
        <v>134</v>
      </c>
      <c r="E44" t="s">
        <v>112</v>
      </c>
    </row>
  </sheetData>
  <sortState xmlns:xlrd2="http://schemas.microsoft.com/office/spreadsheetml/2017/richdata2" ref="A2:F47">
    <sortCondition ref="B2:B47"/>
    <sortCondition ref="F2:F47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7DCAA-4CFB-43BF-A661-2C8E8E404125}">
  <dimension ref="B3:AE14"/>
  <sheetViews>
    <sheetView zoomScale="85" zoomScaleNormal="85" workbookViewId="0">
      <selection activeCell="H35" sqref="H35"/>
    </sheetView>
  </sheetViews>
  <sheetFormatPr defaultRowHeight="15" x14ac:dyDescent="0.25"/>
  <cols>
    <col min="4" max="4" width="4.140625" customWidth="1"/>
    <col min="7" max="7" width="4.140625" customWidth="1"/>
    <col min="10" max="10" width="4.140625" customWidth="1"/>
    <col min="13" max="13" width="4.140625" customWidth="1"/>
    <col min="16" max="17" width="4.140625" customWidth="1"/>
    <col min="20" max="20" width="4.140625" customWidth="1"/>
    <col min="23" max="23" width="4.140625" customWidth="1"/>
    <col min="26" max="26" width="4.140625" customWidth="1"/>
    <col min="29" max="29" width="4.140625" customWidth="1"/>
  </cols>
  <sheetData>
    <row r="3" spans="2:31" x14ac:dyDescent="0.25">
      <c r="O3" s="28" t="s">
        <v>132</v>
      </c>
      <c r="P3" s="29"/>
      <c r="Q3" s="29"/>
      <c r="R3" s="30"/>
    </row>
    <row r="4" spans="2:31" x14ac:dyDescent="0.25">
      <c r="O4" s="31"/>
      <c r="P4" s="32"/>
      <c r="Q4" s="32"/>
      <c r="R4" s="33"/>
    </row>
    <row r="5" spans="2:31" x14ac:dyDescent="0.25">
      <c r="Q5" s="14"/>
    </row>
    <row r="6" spans="2:31" x14ac:dyDescent="0.25">
      <c r="Q6" s="15"/>
    </row>
    <row r="7" spans="2:31" x14ac:dyDescent="0.25">
      <c r="O7" s="28" t="s">
        <v>131</v>
      </c>
      <c r="P7" s="29"/>
      <c r="Q7" s="29"/>
      <c r="R7" s="30"/>
    </row>
    <row r="8" spans="2:31" x14ac:dyDescent="0.25">
      <c r="O8" s="31"/>
      <c r="P8" s="32"/>
      <c r="Q8" s="32"/>
      <c r="R8" s="33"/>
    </row>
    <row r="9" spans="2:31" x14ac:dyDescent="0.25">
      <c r="O9" s="18"/>
      <c r="P9" s="18"/>
      <c r="Q9" s="16"/>
      <c r="R9" s="18"/>
    </row>
    <row r="10" spans="2:31" x14ac:dyDescent="0.25">
      <c r="O10" s="18"/>
      <c r="P10" s="18"/>
      <c r="Q10" s="17"/>
      <c r="R10" s="18"/>
    </row>
    <row r="11" spans="2:31" x14ac:dyDescent="0.25">
      <c r="C11" s="14"/>
      <c r="D11" s="19"/>
      <c r="E11" s="19"/>
      <c r="F11" s="14"/>
      <c r="G11" s="19"/>
      <c r="H11" s="19"/>
      <c r="I11" s="14"/>
      <c r="J11" s="19"/>
      <c r="K11" s="19"/>
      <c r="L11" s="14"/>
      <c r="M11" s="19"/>
      <c r="N11" s="19"/>
      <c r="O11" s="14"/>
      <c r="P11" s="19"/>
      <c r="Q11" s="19"/>
      <c r="R11" s="19"/>
      <c r="S11" s="14"/>
      <c r="T11" s="19"/>
      <c r="U11" s="19"/>
      <c r="V11" s="14"/>
      <c r="W11" s="19"/>
      <c r="X11" s="19"/>
      <c r="Y11" s="14"/>
      <c r="Z11" s="19"/>
      <c r="AA11" s="19"/>
      <c r="AB11" s="14"/>
      <c r="AC11" s="19"/>
      <c r="AD11" s="19"/>
      <c r="AE11" s="20"/>
    </row>
    <row r="12" spans="2:31" x14ac:dyDescent="0.25">
      <c r="C12" s="15"/>
      <c r="F12" s="15"/>
      <c r="I12" s="15"/>
      <c r="L12" s="15"/>
      <c r="O12" s="15"/>
      <c r="S12" s="15"/>
      <c r="V12" s="15"/>
      <c r="Y12" s="15"/>
      <c r="AB12" s="15"/>
      <c r="AE12" s="15"/>
    </row>
    <row r="13" spans="2:31" x14ac:dyDescent="0.25">
      <c r="B13" s="28" t="s">
        <v>123</v>
      </c>
      <c r="C13" s="30"/>
      <c r="E13" s="28" t="s">
        <v>124</v>
      </c>
      <c r="F13" s="30"/>
      <c r="H13" s="28" t="s">
        <v>125</v>
      </c>
      <c r="I13" s="30"/>
      <c r="K13" s="28" t="s">
        <v>25</v>
      </c>
      <c r="L13" s="30"/>
      <c r="N13" s="28" t="s">
        <v>126</v>
      </c>
      <c r="O13" s="30"/>
      <c r="P13" s="18"/>
      <c r="R13" s="28" t="s">
        <v>127</v>
      </c>
      <c r="S13" s="30"/>
      <c r="U13" s="28" t="s">
        <v>128</v>
      </c>
      <c r="V13" s="30"/>
      <c r="X13" s="28" t="s">
        <v>129</v>
      </c>
      <c r="Y13" s="30"/>
      <c r="AA13" s="28" t="s">
        <v>130</v>
      </c>
      <c r="AB13" s="30"/>
      <c r="AD13" s="28" t="s">
        <v>121</v>
      </c>
      <c r="AE13" s="30"/>
    </row>
    <row r="14" spans="2:31" x14ac:dyDescent="0.25">
      <c r="B14" s="31"/>
      <c r="C14" s="33"/>
      <c r="E14" s="31"/>
      <c r="F14" s="33"/>
      <c r="H14" s="31"/>
      <c r="I14" s="33"/>
      <c r="K14" s="31"/>
      <c r="L14" s="33"/>
      <c r="N14" s="31"/>
      <c r="O14" s="33"/>
      <c r="P14" s="18"/>
      <c r="R14" s="31"/>
      <c r="S14" s="33"/>
      <c r="U14" s="31"/>
      <c r="V14" s="33"/>
      <c r="X14" s="31"/>
      <c r="Y14" s="33"/>
      <c r="AA14" s="31"/>
      <c r="AB14" s="33"/>
      <c r="AD14" s="31"/>
      <c r="AE14" s="33"/>
    </row>
  </sheetData>
  <mergeCells count="12">
    <mergeCell ref="U13:V14"/>
    <mergeCell ref="X13:Y14"/>
    <mergeCell ref="AA13:AB14"/>
    <mergeCell ref="AD13:AE14"/>
    <mergeCell ref="O7:R8"/>
    <mergeCell ref="O3:R4"/>
    <mergeCell ref="B13:C14"/>
    <mergeCell ref="E13:F14"/>
    <mergeCell ref="H13:I14"/>
    <mergeCell ref="K13:L14"/>
    <mergeCell ref="N13:O14"/>
    <mergeCell ref="R13:S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MIS</vt:lpstr>
      <vt:lpstr>Timeline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2020-12-10T03:45:09Z</dcterms:created>
  <dcterms:modified xsi:type="dcterms:W3CDTF">2020-12-14T01:01:46Z</dcterms:modified>
</cp:coreProperties>
</file>