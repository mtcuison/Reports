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CBD2F247-1EF2-41C9-8DB9-8B79851EE6B8}" xr6:coauthVersionLast="45" xr6:coauthVersionMax="45" xr10:uidLastSave="{00000000-0000-0000-0000-000000000000}"/>
  <bookViews>
    <workbookView xWindow="-120" yWindow="-120" windowWidth="29040" windowHeight="15990" xr2:uid="{47FE337E-47AF-4904-AAFC-E7D563F93C85}"/>
  </bookViews>
  <sheets>
    <sheet name="2020-12-04" sheetId="1" r:id="rId1"/>
    <sheet name="2020-12-05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1" i="1" l="1"/>
  <c r="C56" i="1" s="1"/>
  <c r="C57" i="1" s="1"/>
  <c r="C58" i="1" s="1"/>
  <c r="C59" i="1" s="1"/>
</calcChain>
</file>

<file path=xl/sharedStrings.xml><?xml version="1.0" encoding="utf-8"?>
<sst xmlns="http://schemas.openxmlformats.org/spreadsheetml/2006/main" count="139" uniqueCount="131">
  <si>
    <t>Requests</t>
  </si>
  <si>
    <t>MC Pricelist on Registration System</t>
  </si>
  <si>
    <t>MC Warehousing app on Registration System</t>
  </si>
  <si>
    <t>Remove previously encoded big bike model code that is not used because of new model code has been delivered to us</t>
  </si>
  <si>
    <t>CB 650R -&gt; RAK -&gt; Remove</t>
  </si>
  <si>
    <t>Big Bike Branches</t>
  </si>
  <si>
    <t>GMC Baguio</t>
  </si>
  <si>
    <t>Opened</t>
  </si>
  <si>
    <t>Rev Zone Dagupan</t>
  </si>
  <si>
    <t>1Q 2021</t>
  </si>
  <si>
    <t>Kawasaki Tuguegarao</t>
  </si>
  <si>
    <t>?</t>
  </si>
  <si>
    <t>Scanning of required documents for big bike stores</t>
  </si>
  <si>
    <t>Last Price = Selling Price + 3500</t>
  </si>
  <si>
    <t>Minimum Down = Selling Price * 30%</t>
  </si>
  <si>
    <t>Additional</t>
  </si>
  <si>
    <t>Comprehensive Insurance</t>
  </si>
  <si>
    <t>Documentary Stamp</t>
  </si>
  <si>
    <t>Chattel Mortgage</t>
  </si>
  <si>
    <t>Registration Fee</t>
  </si>
  <si>
    <t>System Validation</t>
  </si>
  <si>
    <t>Minimum Down must be greater than or equal to 30% of the selling price</t>
  </si>
  <si>
    <t>Reciepts to use</t>
  </si>
  <si>
    <t>DP + 3500</t>
  </si>
  <si>
    <t>AR</t>
  </si>
  <si>
    <t>COMPRE</t>
  </si>
  <si>
    <t>CHATTEL/DOC STAMP</t>
  </si>
  <si>
    <t>NP</t>
  </si>
  <si>
    <t>Monthly Interest Rate for installment</t>
  </si>
  <si>
    <t>Monthly Amortization Computation</t>
  </si>
  <si>
    <t>X = SRP - DP</t>
  </si>
  <si>
    <t>X = X + ((X * RATE * NO. OF MONTHS) / 100)</t>
  </si>
  <si>
    <t>X = X / NO. OF MONTHS</t>
  </si>
  <si>
    <t>X = X + 1000 REBATE</t>
  </si>
  <si>
    <t>Sample</t>
  </si>
  <si>
    <t>SELLING PRICE</t>
  </si>
  <si>
    <t>DOWN PAYMENT</t>
  </si>
  <si>
    <t>TERM</t>
  </si>
  <si>
    <t>REBATE</t>
  </si>
  <si>
    <t>RATE</t>
  </si>
  <si>
    <t>These fields are mandatory to fill up for installment. Compre is optional for cash sales.</t>
  </si>
  <si>
    <t>X</t>
  </si>
  <si>
    <t>-&gt;&gt; Monthly Amortization for 12 months term</t>
  </si>
  <si>
    <t>MC Big Bike Entry</t>
  </si>
  <si>
    <t>GM Arnold</t>
  </si>
  <si>
    <t>Mam Loraine</t>
  </si>
  <si>
    <t>Mam Arlyn</t>
  </si>
  <si>
    <t>Sir Genesis</t>
  </si>
  <si>
    <t>Mac</t>
  </si>
  <si>
    <t>documents are identified by mam loraine</t>
  </si>
  <si>
    <t>Credit card settlement application/monitoring</t>
  </si>
  <si>
    <t>Check bank charges field if exists on the table</t>
  </si>
  <si>
    <t>Tagging of payment center paid payments</t>
  </si>
  <si>
    <t>May pumapasok sa atin na payment na hindi para sa atin</t>
  </si>
  <si>
    <t>Ecommerce</t>
  </si>
  <si>
    <t>1% insurance + freight charge</t>
  </si>
  <si>
    <t>--&gt;</t>
  </si>
  <si>
    <t>padala</t>
  </si>
  <si>
    <t>freight charge</t>
  </si>
  <si>
    <t>return/hindi kinuha ng customer</t>
  </si>
  <si>
    <t>AR monitoring for MP division</t>
  </si>
  <si>
    <t>charge invoice on main</t>
  </si>
  <si>
    <t>separate collection unit</t>
  </si>
  <si>
    <t>MP Consignment</t>
  </si>
  <si>
    <t>Inter-Division branch transfer</t>
  </si>
  <si>
    <t>MP items to MC branches</t>
  </si>
  <si>
    <t>Price protection tagging for specific item with price support from supplier</t>
  </si>
  <si>
    <t>nangyayari kasi nagiging selling price &lt; unit cost, so negative tayo doon</t>
  </si>
  <si>
    <t>Table for serial unit cost upon PO Receiving</t>
  </si>
  <si>
    <t>CP_Serial_Cost</t>
  </si>
  <si>
    <t>DTR Posting</t>
  </si>
  <si>
    <t>creating ledger of accounts if posted</t>
  </si>
  <si>
    <t>posting will be on finance department</t>
  </si>
  <si>
    <t>Bank Reconcillation</t>
  </si>
  <si>
    <t>Branch Cash/Check Deposit</t>
  </si>
  <si>
    <t>2 deposit slip per day</t>
  </si>
  <si>
    <t>day transaction after banks cut off</t>
  </si>
  <si>
    <t>day transaction before banks cut off</t>
  </si>
  <si>
    <t>to be deposited on the next day</t>
  </si>
  <si>
    <t>dTransact = transaction date</t>
  </si>
  <si>
    <t>dReferDte = next day/day of deposit</t>
  </si>
  <si>
    <t>confirmation must be after deposit/with bank validation</t>
  </si>
  <si>
    <t>for pickup, post na agad</t>
  </si>
  <si>
    <t>Branch Utiity Expense</t>
  </si>
  <si>
    <t>branches will get the amount on their sales para mabawasan yung mga cheke na pinipirmahan ng mga amo</t>
  </si>
  <si>
    <t>yung amount ngayon, ittransfer ng main office sa branch account para magbalanse ang sales amount</t>
  </si>
  <si>
    <t>audit needs monitoring</t>
  </si>
  <si>
    <t>Bank Payment Uploading</t>
  </si>
  <si>
    <t>for paying the expense that branches got from their sales</t>
  </si>
  <si>
    <t>Payment of freight charges pag nagpadala ng item</t>
  </si>
  <si>
    <t>Detailed Check Disbursement</t>
  </si>
  <si>
    <t>Engineering Purchasing will be per project</t>
  </si>
  <si>
    <t>if for general, there must be a pull out form</t>
  </si>
  <si>
    <t>Android Apps</t>
  </si>
  <si>
    <t>transfer of individual appications to android</t>
  </si>
  <si>
    <t>leave</t>
  </si>
  <si>
    <t>business trip with selfie</t>
  </si>
  <si>
    <t>travel order</t>
  </si>
  <si>
    <t>etc</t>
  </si>
  <si>
    <t>Desktops Apps</t>
  </si>
  <si>
    <t>transactions with inventory processing</t>
  </si>
  <si>
    <t>same from MP</t>
  </si>
  <si>
    <t>Incorporate Claims on Marketing Support for MC</t>
  </si>
  <si>
    <t>DTR Posting for MP</t>
  </si>
  <si>
    <t>additional field for the amount</t>
  </si>
  <si>
    <t>SI format will be as is but should be partnered with form 2307</t>
  </si>
  <si>
    <t>DTR will have additional field for the withheld</t>
  </si>
  <si>
    <t>Tax Withheld</t>
  </si>
  <si>
    <t>Client Master</t>
  </si>
  <si>
    <t>differentiate company/government accounts from individual accounts</t>
  </si>
  <si>
    <t>Advance Payment for MP</t>
  </si>
  <si>
    <t>Pre order encoding</t>
  </si>
  <si>
    <t>Integrate on the system</t>
  </si>
  <si>
    <t>What OR to be used?</t>
  </si>
  <si>
    <t>Ask sir jeff to ask BIR if we can use the POS Receipt in encoding advance orders</t>
  </si>
  <si>
    <t>Not ASAP</t>
  </si>
  <si>
    <t>exceeding globe plan bill must be automatically salary deducted</t>
  </si>
  <si>
    <t>vehicle monitoring</t>
  </si>
  <si>
    <t>Finance/Audit/MIS Meeting</t>
  </si>
  <si>
    <t>GM Rex</t>
  </si>
  <si>
    <t>Mam Marj Dondo</t>
  </si>
  <si>
    <t>Mam Menchie</t>
  </si>
  <si>
    <t>Mam Gina</t>
  </si>
  <si>
    <t>Sir Steve</t>
  </si>
  <si>
    <t>Mam She</t>
  </si>
  <si>
    <t>3 Accountants</t>
  </si>
  <si>
    <t>2H Meeting</t>
  </si>
  <si>
    <t>Sir Lexter</t>
  </si>
  <si>
    <t>Rediscuss the requested 2H System</t>
  </si>
  <si>
    <t>Compre/Chattel/Doc Stamp must not be taxed, so what OR should we use</t>
  </si>
  <si>
    <t>Kelangan na daw kahit yung 2H pricing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</si>
</sst>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b/>
      <sz val="11"/>
      <color theme="1"/>
      <name val="Courier New"/>
      <family val="3"/>
    </font>
    <font>
      <b/>
      <sz val="11"/>
      <color rgb="FFFF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1" fillId="0" borderId="0" xfId="0" quotePrefix="1" applyFont="1"/>
    <xf numFmtId="0" fontId="4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3E86-81D4-4E1F-912F-2CC9BBB88FC3}">
  <dimension ref="A1:J67"/>
  <sheetViews>
    <sheetView tabSelected="1" workbookViewId="0">
      <selection activeCell="U60" sqref="U60"/>
    </sheetView>
  </sheetViews>
  <sheetFormatPr defaultColWidth="5.5703125" defaultRowHeight="15" x14ac:dyDescent="0.25"/>
  <cols>
    <col min="1" max="1" width="5.5703125" style="1"/>
    <col min="2" max="2" width="7.7109375" style="1" bestFit="1" customWidth="1"/>
    <col min="3" max="3" width="9" style="1" bestFit="1" customWidth="1"/>
    <col min="4" max="4" width="5.5703125" style="1"/>
    <col min="5" max="5" width="10.5703125" style="1" customWidth="1"/>
    <col min="6" max="6" width="5.5703125" style="1"/>
    <col min="7" max="7" width="9" style="1" bestFit="1" customWidth="1"/>
    <col min="8" max="9" width="5.5703125" style="1"/>
    <col min="10" max="10" width="6.42578125" style="1" bestFit="1" customWidth="1"/>
    <col min="11" max="16384" width="5.5703125" style="1"/>
  </cols>
  <sheetData>
    <row r="1" spans="1:10" ht="15.75" x14ac:dyDescent="0.3">
      <c r="A1" s="6" t="s">
        <v>43</v>
      </c>
    </row>
    <row r="2" spans="1:10" x14ac:dyDescent="0.25">
      <c r="B2" s="1" t="s">
        <v>44</v>
      </c>
    </row>
    <row r="3" spans="1:10" x14ac:dyDescent="0.25">
      <c r="B3" s="1" t="s">
        <v>45</v>
      </c>
    </row>
    <row r="4" spans="1:10" x14ac:dyDescent="0.25">
      <c r="B4" s="1" t="s">
        <v>46</v>
      </c>
    </row>
    <row r="5" spans="1:10" x14ac:dyDescent="0.25">
      <c r="B5" s="1" t="s">
        <v>47</v>
      </c>
    </row>
    <row r="6" spans="1:10" x14ac:dyDescent="0.25">
      <c r="B6" s="1" t="s">
        <v>48</v>
      </c>
    </row>
    <row r="8" spans="1:10" ht="15.75" x14ac:dyDescent="0.3">
      <c r="A8" s="6" t="s">
        <v>0</v>
      </c>
    </row>
    <row r="9" spans="1:10" x14ac:dyDescent="0.25">
      <c r="B9" s="1" t="s">
        <v>1</v>
      </c>
    </row>
    <row r="10" spans="1:10" x14ac:dyDescent="0.25">
      <c r="B10" s="1" t="s">
        <v>2</v>
      </c>
    </row>
    <row r="11" spans="1:10" x14ac:dyDescent="0.25">
      <c r="B11" s="1" t="s">
        <v>3</v>
      </c>
    </row>
    <row r="12" spans="1:10" x14ac:dyDescent="0.25">
      <c r="C12" s="1" t="s">
        <v>4</v>
      </c>
    </row>
    <row r="14" spans="1:10" ht="15.75" x14ac:dyDescent="0.3">
      <c r="A14" s="6" t="s">
        <v>5</v>
      </c>
    </row>
    <row r="15" spans="1:10" x14ac:dyDescent="0.25">
      <c r="B15" s="1" t="s">
        <v>6</v>
      </c>
      <c r="J15" s="1" t="s">
        <v>7</v>
      </c>
    </row>
    <row r="16" spans="1:10" x14ac:dyDescent="0.25">
      <c r="B16" s="1" t="s">
        <v>8</v>
      </c>
      <c r="J16" s="1" t="s">
        <v>9</v>
      </c>
    </row>
    <row r="17" spans="1:10" x14ac:dyDescent="0.25">
      <c r="B17" s="1" t="s">
        <v>10</v>
      </c>
      <c r="J17" s="1" t="s">
        <v>11</v>
      </c>
    </row>
    <row r="19" spans="1:10" ht="15.75" x14ac:dyDescent="0.3">
      <c r="A19" s="6" t="s">
        <v>12</v>
      </c>
    </row>
    <row r="20" spans="1:10" ht="15.75" x14ac:dyDescent="0.3">
      <c r="A20" s="6"/>
      <c r="B20" s="1" t="s">
        <v>49</v>
      </c>
    </row>
    <row r="22" spans="1:10" x14ac:dyDescent="0.25">
      <c r="A22" s="1" t="s">
        <v>13</v>
      </c>
    </row>
    <row r="23" spans="1:10" x14ac:dyDescent="0.25">
      <c r="A23" s="1" t="s">
        <v>14</v>
      </c>
    </row>
    <row r="25" spans="1:10" x14ac:dyDescent="0.25">
      <c r="A25" s="1" t="s">
        <v>15</v>
      </c>
      <c r="J25" s="3" t="s">
        <v>40</v>
      </c>
    </row>
    <row r="26" spans="1:10" x14ac:dyDescent="0.25">
      <c r="B26" s="1" t="s">
        <v>16</v>
      </c>
    </row>
    <row r="27" spans="1:10" x14ac:dyDescent="0.25">
      <c r="B27" s="1" t="s">
        <v>17</v>
      </c>
    </row>
    <row r="28" spans="1:10" x14ac:dyDescent="0.25">
      <c r="B28" s="1" t="s">
        <v>18</v>
      </c>
    </row>
    <row r="29" spans="1:10" x14ac:dyDescent="0.25">
      <c r="B29" s="1" t="s">
        <v>19</v>
      </c>
      <c r="J29" s="1">
        <v>3500</v>
      </c>
    </row>
    <row r="31" spans="1:10" x14ac:dyDescent="0.25">
      <c r="A31" s="1" t="s">
        <v>20</v>
      </c>
    </row>
    <row r="32" spans="1:10" x14ac:dyDescent="0.25">
      <c r="B32" s="1" t="s">
        <v>21</v>
      </c>
    </row>
    <row r="34" spans="1:10" x14ac:dyDescent="0.25">
      <c r="A34" s="1" t="s">
        <v>22</v>
      </c>
    </row>
    <row r="35" spans="1:10" x14ac:dyDescent="0.25">
      <c r="B35" s="1">
        <v>1</v>
      </c>
      <c r="C35" s="1" t="s">
        <v>23</v>
      </c>
      <c r="H35" s="1" t="s">
        <v>24</v>
      </c>
    </row>
    <row r="36" spans="1:10" x14ac:dyDescent="0.25">
      <c r="B36" s="1">
        <v>2</v>
      </c>
      <c r="C36" s="1" t="s">
        <v>25</v>
      </c>
      <c r="H36" s="1" t="s">
        <v>24</v>
      </c>
      <c r="J36" s="3" t="s">
        <v>129</v>
      </c>
    </row>
    <row r="37" spans="1:10" x14ac:dyDescent="0.25">
      <c r="B37" s="1">
        <v>3</v>
      </c>
      <c r="C37" s="1" t="s">
        <v>26</v>
      </c>
      <c r="H37" s="1" t="s">
        <v>27</v>
      </c>
    </row>
    <row r="40" spans="1:10" x14ac:dyDescent="0.25">
      <c r="A40" s="1" t="s">
        <v>28</v>
      </c>
    </row>
    <row r="41" spans="1:10" x14ac:dyDescent="0.25">
      <c r="B41" s="2">
        <v>1.2E-2</v>
      </c>
    </row>
    <row r="43" spans="1:10" x14ac:dyDescent="0.25">
      <c r="A43" s="1" t="s">
        <v>29</v>
      </c>
    </row>
    <row r="44" spans="1:10" x14ac:dyDescent="0.25">
      <c r="B44" s="1" t="s">
        <v>30</v>
      </c>
    </row>
    <row r="45" spans="1:10" x14ac:dyDescent="0.25">
      <c r="B45" s="1" t="s">
        <v>31</v>
      </c>
    </row>
    <row r="46" spans="1:10" x14ac:dyDescent="0.25">
      <c r="B46" s="1" t="s">
        <v>32</v>
      </c>
    </row>
    <row r="47" spans="1:10" x14ac:dyDescent="0.25">
      <c r="B47" s="1" t="s">
        <v>33</v>
      </c>
    </row>
    <row r="49" spans="1:5" x14ac:dyDescent="0.25">
      <c r="A49" s="1" t="s">
        <v>34</v>
      </c>
    </row>
    <row r="50" spans="1:5" x14ac:dyDescent="0.25">
      <c r="B50" s="1" t="s">
        <v>35</v>
      </c>
      <c r="E50" s="1">
        <v>501000</v>
      </c>
    </row>
    <row r="51" spans="1:5" x14ac:dyDescent="0.25">
      <c r="B51" s="1" t="s">
        <v>36</v>
      </c>
      <c r="E51" s="1">
        <f>E50*0.3</f>
        <v>150300</v>
      </c>
    </row>
    <row r="52" spans="1:5" x14ac:dyDescent="0.25">
      <c r="B52" s="1" t="s">
        <v>37</v>
      </c>
      <c r="E52" s="1">
        <v>12</v>
      </c>
    </row>
    <row r="53" spans="1:5" x14ac:dyDescent="0.25">
      <c r="B53" s="1" t="s">
        <v>38</v>
      </c>
      <c r="E53" s="1">
        <v>1000</v>
      </c>
    </row>
    <row r="54" spans="1:5" x14ac:dyDescent="0.25">
      <c r="B54" s="1" t="s">
        <v>39</v>
      </c>
      <c r="E54" s="1">
        <v>1.2</v>
      </c>
    </row>
    <row r="56" spans="1:5" x14ac:dyDescent="0.25">
      <c r="B56" s="1" t="s">
        <v>41</v>
      </c>
      <c r="C56" s="1">
        <f>E50-E51</f>
        <v>350700</v>
      </c>
    </row>
    <row r="57" spans="1:5" x14ac:dyDescent="0.25">
      <c r="B57" s="1" t="s">
        <v>41</v>
      </c>
      <c r="C57" s="1">
        <f>C56 + ((C56*E54*E52)/100)</f>
        <v>401200.8</v>
      </c>
    </row>
    <row r="58" spans="1:5" x14ac:dyDescent="0.25">
      <c r="B58" s="1" t="s">
        <v>41</v>
      </c>
      <c r="C58" s="1">
        <f>C57/E52</f>
        <v>33433.4</v>
      </c>
    </row>
    <row r="59" spans="1:5" ht="15.75" x14ac:dyDescent="0.3">
      <c r="B59" s="1" t="s">
        <v>41</v>
      </c>
      <c r="C59" s="1">
        <f>C58+E53</f>
        <v>34433.4</v>
      </c>
      <c r="E59" s="5" t="s">
        <v>42</v>
      </c>
    </row>
    <row r="62" spans="1:5" ht="15.75" x14ac:dyDescent="0.3">
      <c r="A62" s="6" t="s">
        <v>126</v>
      </c>
    </row>
    <row r="63" spans="1:5" x14ac:dyDescent="0.25">
      <c r="B63" s="1" t="s">
        <v>44</v>
      </c>
    </row>
    <row r="64" spans="1:5" x14ac:dyDescent="0.25">
      <c r="B64" s="1" t="s">
        <v>127</v>
      </c>
    </row>
    <row r="65" spans="2:9" x14ac:dyDescent="0.25">
      <c r="B65" s="1" t="s">
        <v>48</v>
      </c>
    </row>
    <row r="67" spans="2:9" x14ac:dyDescent="0.25">
      <c r="B67" s="1" t="s">
        <v>128</v>
      </c>
      <c r="I67" s="3" t="s">
        <v>130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867B-60DC-4638-B46B-138B51FBF17E}">
  <dimension ref="A1:K77"/>
  <sheetViews>
    <sheetView workbookViewId="0">
      <selection activeCell="AA12" sqref="AA12"/>
    </sheetView>
  </sheetViews>
  <sheetFormatPr defaultColWidth="5.42578125" defaultRowHeight="15" x14ac:dyDescent="0.25"/>
  <cols>
    <col min="1" max="16384" width="5.42578125" style="1"/>
  </cols>
  <sheetData>
    <row r="1" spans="1:11" ht="15.75" x14ac:dyDescent="0.3">
      <c r="A1" s="6" t="s">
        <v>118</v>
      </c>
    </row>
    <row r="2" spans="1:11" ht="15.75" x14ac:dyDescent="0.3">
      <c r="A2" s="6"/>
      <c r="B2" s="1" t="s">
        <v>119</v>
      </c>
    </row>
    <row r="3" spans="1:11" ht="15.75" x14ac:dyDescent="0.3">
      <c r="A3" s="6"/>
      <c r="B3" s="1" t="s">
        <v>120</v>
      </c>
    </row>
    <row r="4" spans="1:11" ht="15.75" x14ac:dyDescent="0.3">
      <c r="A4" s="6"/>
      <c r="B4" s="1" t="s">
        <v>121</v>
      </c>
    </row>
    <row r="5" spans="1:11" ht="15.75" x14ac:dyDescent="0.3">
      <c r="A5" s="6"/>
      <c r="B5" s="1" t="s">
        <v>122</v>
      </c>
    </row>
    <row r="6" spans="1:11" ht="15.75" x14ac:dyDescent="0.3">
      <c r="A6" s="6"/>
      <c r="B6" s="1" t="s">
        <v>123</v>
      </c>
    </row>
    <row r="7" spans="1:11" ht="15.75" x14ac:dyDescent="0.3">
      <c r="A7" s="6"/>
      <c r="B7" s="1" t="s">
        <v>124</v>
      </c>
    </row>
    <row r="8" spans="1:11" ht="15.75" x14ac:dyDescent="0.3">
      <c r="A8" s="6"/>
      <c r="B8" s="1" t="s">
        <v>48</v>
      </c>
    </row>
    <row r="9" spans="1:11" ht="15.75" x14ac:dyDescent="0.3">
      <c r="A9" s="6"/>
      <c r="B9" s="1" t="s">
        <v>125</v>
      </c>
    </row>
    <row r="11" spans="1:11" ht="15.75" x14ac:dyDescent="0.3">
      <c r="A11" s="6" t="s">
        <v>50</v>
      </c>
    </row>
    <row r="12" spans="1:11" x14ac:dyDescent="0.25">
      <c r="B12" s="1" t="s">
        <v>51</v>
      </c>
    </row>
    <row r="13" spans="1:11" ht="15.75" x14ac:dyDescent="0.3">
      <c r="A13" s="6" t="s">
        <v>52</v>
      </c>
    </row>
    <row r="14" spans="1:11" x14ac:dyDescent="0.25">
      <c r="B14" s="1" t="s">
        <v>53</v>
      </c>
    </row>
    <row r="15" spans="1:11" ht="15.75" x14ac:dyDescent="0.3">
      <c r="A15" s="6" t="s">
        <v>54</v>
      </c>
    </row>
    <row r="16" spans="1:11" x14ac:dyDescent="0.25">
      <c r="B16" s="1" t="s">
        <v>55</v>
      </c>
      <c r="J16" s="4" t="s">
        <v>56</v>
      </c>
      <c r="K16" s="1" t="s">
        <v>57</v>
      </c>
    </row>
    <row r="17" spans="1:11" x14ac:dyDescent="0.25">
      <c r="B17" s="1" t="s">
        <v>58</v>
      </c>
      <c r="J17" s="4" t="s">
        <v>56</v>
      </c>
      <c r="K17" s="1" t="s">
        <v>59</v>
      </c>
    </row>
    <row r="18" spans="1:11" ht="15.75" x14ac:dyDescent="0.3">
      <c r="A18" s="6" t="s">
        <v>60</v>
      </c>
    </row>
    <row r="19" spans="1:11" x14ac:dyDescent="0.25">
      <c r="B19" s="1" t="s">
        <v>61</v>
      </c>
    </row>
    <row r="20" spans="1:11" x14ac:dyDescent="0.25">
      <c r="B20" s="1" t="s">
        <v>62</v>
      </c>
    </row>
    <row r="21" spans="1:11" ht="15.75" x14ac:dyDescent="0.3">
      <c r="A21" s="6" t="s">
        <v>63</v>
      </c>
    </row>
    <row r="22" spans="1:11" ht="15.75" x14ac:dyDescent="0.3">
      <c r="A22" s="6" t="s">
        <v>64</v>
      </c>
    </row>
    <row r="23" spans="1:11" x14ac:dyDescent="0.25">
      <c r="B23" s="1" t="s">
        <v>65</v>
      </c>
    </row>
    <row r="24" spans="1:11" ht="15.75" x14ac:dyDescent="0.3">
      <c r="A24" s="6" t="s">
        <v>66</v>
      </c>
    </row>
    <row r="25" spans="1:11" x14ac:dyDescent="0.25">
      <c r="B25" s="1" t="s">
        <v>67</v>
      </c>
    </row>
    <row r="26" spans="1:11" x14ac:dyDescent="0.25">
      <c r="B26" s="1" t="s">
        <v>68</v>
      </c>
    </row>
    <row r="27" spans="1:11" ht="15.75" x14ac:dyDescent="0.3">
      <c r="C27" s="6" t="s">
        <v>69</v>
      </c>
    </row>
    <row r="28" spans="1:11" ht="15.75" x14ac:dyDescent="0.3">
      <c r="A28" s="6" t="s">
        <v>70</v>
      </c>
    </row>
    <row r="29" spans="1:11" x14ac:dyDescent="0.25">
      <c r="B29" s="1" t="s">
        <v>71</v>
      </c>
    </row>
    <row r="30" spans="1:11" x14ac:dyDescent="0.25">
      <c r="B30" s="1" t="s">
        <v>72</v>
      </c>
    </row>
    <row r="31" spans="1:11" ht="15.75" x14ac:dyDescent="0.3">
      <c r="A31" s="6" t="s">
        <v>73</v>
      </c>
    </row>
    <row r="32" spans="1:11" ht="15.75" x14ac:dyDescent="0.3">
      <c r="A32" s="6" t="s">
        <v>74</v>
      </c>
    </row>
    <row r="33" spans="1:5" x14ac:dyDescent="0.25">
      <c r="B33" s="1" t="s">
        <v>75</v>
      </c>
    </row>
    <row r="34" spans="1:5" x14ac:dyDescent="0.25">
      <c r="C34" s="1">
        <v>1</v>
      </c>
      <c r="D34" s="1" t="s">
        <v>77</v>
      </c>
    </row>
    <row r="35" spans="1:5" x14ac:dyDescent="0.25">
      <c r="C35" s="1">
        <v>1</v>
      </c>
      <c r="D35" s="1" t="s">
        <v>76</v>
      </c>
    </row>
    <row r="36" spans="1:5" x14ac:dyDescent="0.25">
      <c r="E36" s="1" t="s">
        <v>78</v>
      </c>
    </row>
    <row r="37" spans="1:5" x14ac:dyDescent="0.25">
      <c r="E37" s="1" t="s">
        <v>79</v>
      </c>
    </row>
    <row r="38" spans="1:5" x14ac:dyDescent="0.25">
      <c r="E38" s="1" t="s">
        <v>80</v>
      </c>
    </row>
    <row r="39" spans="1:5" x14ac:dyDescent="0.25">
      <c r="B39" s="1" t="s">
        <v>81</v>
      </c>
    </row>
    <row r="40" spans="1:5" x14ac:dyDescent="0.25">
      <c r="B40" s="1" t="s">
        <v>82</v>
      </c>
    </row>
    <row r="41" spans="1:5" ht="15.75" x14ac:dyDescent="0.3">
      <c r="A41" s="6" t="s">
        <v>83</v>
      </c>
    </row>
    <row r="42" spans="1:5" x14ac:dyDescent="0.25">
      <c r="B42" s="1" t="s">
        <v>84</v>
      </c>
    </row>
    <row r="43" spans="1:5" x14ac:dyDescent="0.25">
      <c r="B43" s="1" t="s">
        <v>85</v>
      </c>
    </row>
    <row r="44" spans="1:5" x14ac:dyDescent="0.25">
      <c r="B44" s="1" t="s">
        <v>86</v>
      </c>
    </row>
    <row r="45" spans="1:5" ht="15.75" x14ac:dyDescent="0.3">
      <c r="A45" s="6" t="s">
        <v>87</v>
      </c>
    </row>
    <row r="46" spans="1:5" x14ac:dyDescent="0.25">
      <c r="B46" s="1" t="s">
        <v>88</v>
      </c>
    </row>
    <row r="47" spans="1:5" ht="15.75" x14ac:dyDescent="0.3">
      <c r="A47" s="6" t="s">
        <v>89</v>
      </c>
    </row>
    <row r="48" spans="1:5" ht="15.75" x14ac:dyDescent="0.3">
      <c r="A48" s="6" t="s">
        <v>90</v>
      </c>
    </row>
    <row r="49" spans="1:3" ht="15.75" x14ac:dyDescent="0.3">
      <c r="A49" s="6" t="s">
        <v>91</v>
      </c>
    </row>
    <row r="50" spans="1:3" x14ac:dyDescent="0.25">
      <c r="B50" s="1" t="s">
        <v>92</v>
      </c>
    </row>
    <row r="51" spans="1:3" ht="15.75" x14ac:dyDescent="0.3">
      <c r="A51" s="6" t="s">
        <v>93</v>
      </c>
    </row>
    <row r="52" spans="1:3" x14ac:dyDescent="0.25">
      <c r="B52" s="1" t="s">
        <v>94</v>
      </c>
    </row>
    <row r="53" spans="1:3" x14ac:dyDescent="0.25">
      <c r="C53" s="1" t="s">
        <v>95</v>
      </c>
    </row>
    <row r="54" spans="1:3" x14ac:dyDescent="0.25">
      <c r="C54" s="1" t="s">
        <v>96</v>
      </c>
    </row>
    <row r="55" spans="1:3" x14ac:dyDescent="0.25">
      <c r="C55" s="1" t="s">
        <v>97</v>
      </c>
    </row>
    <row r="56" spans="1:3" x14ac:dyDescent="0.25">
      <c r="C56" s="1" t="s">
        <v>98</v>
      </c>
    </row>
    <row r="57" spans="1:3" ht="15.75" x14ac:dyDescent="0.3">
      <c r="A57" s="6" t="s">
        <v>99</v>
      </c>
    </row>
    <row r="58" spans="1:3" x14ac:dyDescent="0.25">
      <c r="B58" s="1" t="s">
        <v>100</v>
      </c>
    </row>
    <row r="59" spans="1:3" ht="15.75" x14ac:dyDescent="0.3">
      <c r="A59" s="6" t="s">
        <v>102</v>
      </c>
    </row>
    <row r="60" spans="1:3" x14ac:dyDescent="0.25">
      <c r="B60" s="1" t="s">
        <v>101</v>
      </c>
    </row>
    <row r="61" spans="1:3" ht="15.75" x14ac:dyDescent="0.3">
      <c r="A61" s="6" t="s">
        <v>103</v>
      </c>
    </row>
    <row r="62" spans="1:3" ht="15.75" x14ac:dyDescent="0.3">
      <c r="A62" s="6" t="s">
        <v>107</v>
      </c>
    </row>
    <row r="63" spans="1:3" x14ac:dyDescent="0.25">
      <c r="B63" s="1" t="s">
        <v>104</v>
      </c>
    </row>
    <row r="64" spans="1:3" x14ac:dyDescent="0.25">
      <c r="B64" s="1" t="s">
        <v>105</v>
      </c>
    </row>
    <row r="65" spans="1:3" x14ac:dyDescent="0.25">
      <c r="B65" s="1" t="s">
        <v>106</v>
      </c>
    </row>
    <row r="66" spans="1:3" x14ac:dyDescent="0.25">
      <c r="B66" s="1" t="s">
        <v>108</v>
      </c>
    </row>
    <row r="67" spans="1:3" x14ac:dyDescent="0.25">
      <c r="C67" s="1" t="s">
        <v>109</v>
      </c>
    </row>
    <row r="68" spans="1:3" ht="15.75" x14ac:dyDescent="0.3">
      <c r="A68" s="6" t="s">
        <v>110</v>
      </c>
    </row>
    <row r="69" spans="1:3" x14ac:dyDescent="0.25">
      <c r="B69" s="1" t="s">
        <v>111</v>
      </c>
    </row>
    <row r="70" spans="1:3" x14ac:dyDescent="0.25">
      <c r="B70" s="1" t="s">
        <v>112</v>
      </c>
    </row>
    <row r="71" spans="1:3" x14ac:dyDescent="0.25">
      <c r="B71" s="1" t="s">
        <v>113</v>
      </c>
    </row>
    <row r="72" spans="1:3" x14ac:dyDescent="0.25">
      <c r="B72" s="1" t="s">
        <v>114</v>
      </c>
    </row>
    <row r="75" spans="1:3" ht="15.75" x14ac:dyDescent="0.3">
      <c r="A75" s="6" t="s">
        <v>115</v>
      </c>
    </row>
    <row r="76" spans="1:3" x14ac:dyDescent="0.25">
      <c r="B76" s="1" t="s">
        <v>116</v>
      </c>
    </row>
    <row r="77" spans="1:3" x14ac:dyDescent="0.25">
      <c r="B77" s="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2020-12-04</vt:lpstr>
      <vt:lpstr>2020-12-05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2020-12-05T12:23:13Z</dcterms:created>
  <dcterms:modified xsi:type="dcterms:W3CDTF">2020-12-08T00:43:20Z</dcterms:modified>
</cp:coreProperties>
</file>