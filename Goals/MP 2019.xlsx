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anzon\Reports\Goals\"/>
    </mc:Choice>
  </mc:AlternateContent>
  <bookViews>
    <workbookView xWindow="0" yWindow="0" windowWidth="20490" windowHeight="7905"/>
  </bookViews>
  <sheets>
    <sheet name="2019 Goal" sheetId="2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O6" i="2" l="1"/>
  <c r="C21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N21" i="2"/>
  <c r="O21" i="2" l="1"/>
  <c r="C40" i="2"/>
  <c r="D99" i="2"/>
  <c r="E99" i="2"/>
  <c r="F99" i="2"/>
  <c r="G99" i="2"/>
  <c r="H99" i="2"/>
  <c r="I99" i="2"/>
  <c r="J99" i="2"/>
  <c r="K99" i="2"/>
  <c r="L99" i="2"/>
  <c r="M99" i="2"/>
  <c r="N99" i="2"/>
  <c r="C99" i="2"/>
  <c r="O39" i="2"/>
  <c r="D40" i="2"/>
  <c r="E40" i="2"/>
  <c r="F40" i="2"/>
  <c r="G40" i="2"/>
  <c r="H40" i="2"/>
  <c r="I40" i="2"/>
  <c r="J40" i="2"/>
  <c r="K40" i="2"/>
  <c r="L40" i="2"/>
  <c r="M40" i="2"/>
  <c r="N40" i="2"/>
  <c r="O54" i="2" l="1"/>
  <c r="O55" i="2"/>
  <c r="O56" i="2"/>
  <c r="O57" i="2"/>
  <c r="O58" i="2"/>
  <c r="O53" i="2"/>
  <c r="O85" i="2"/>
  <c r="O86" i="2"/>
  <c r="O87" i="2"/>
  <c r="O88" i="2"/>
  <c r="O89" i="2"/>
  <c r="O90" i="2"/>
  <c r="O91" i="2"/>
  <c r="O92" i="2"/>
  <c r="O93" i="2"/>
  <c r="O94" i="2"/>
  <c r="O95" i="2"/>
  <c r="O96" i="2"/>
  <c r="O84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C81" i="2"/>
  <c r="D81" i="2"/>
  <c r="E81" i="2"/>
  <c r="F81" i="2"/>
  <c r="G81" i="2"/>
  <c r="H81" i="2"/>
  <c r="I81" i="2"/>
  <c r="J81" i="2"/>
  <c r="K81" i="2"/>
  <c r="L81" i="2"/>
  <c r="M81" i="2"/>
  <c r="N81" i="2"/>
  <c r="O62" i="2"/>
  <c r="C59" i="2"/>
  <c r="D59" i="2"/>
  <c r="E59" i="2"/>
  <c r="F59" i="2"/>
  <c r="G59" i="2"/>
  <c r="H59" i="2"/>
  <c r="I59" i="2"/>
  <c r="J59" i="2"/>
  <c r="K59" i="2"/>
  <c r="L59" i="2"/>
  <c r="M59" i="2"/>
  <c r="N59" i="2"/>
  <c r="O44" i="2"/>
  <c r="O45" i="2"/>
  <c r="O46" i="2"/>
  <c r="O47" i="2"/>
  <c r="O48" i="2"/>
  <c r="O49" i="2"/>
  <c r="O50" i="2"/>
  <c r="O51" i="2"/>
  <c r="O52" i="2"/>
  <c r="B58" i="2"/>
  <c r="O43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24" i="2"/>
  <c r="D21" i="2"/>
  <c r="E21" i="2"/>
  <c r="F21" i="2"/>
  <c r="G21" i="2"/>
  <c r="H21" i="2"/>
  <c r="I21" i="2"/>
  <c r="J21" i="2"/>
  <c r="K21" i="2"/>
  <c r="L21" i="2"/>
  <c r="M21" i="2"/>
  <c r="B20" i="2"/>
  <c r="B21" i="2" s="1"/>
  <c r="O81" i="2" l="1"/>
  <c r="G101" i="2"/>
  <c r="D101" i="2"/>
  <c r="B99" i="2"/>
  <c r="C101" i="2"/>
  <c r="F101" i="2"/>
  <c r="H101" i="2"/>
  <c r="J101" i="2"/>
  <c r="I101" i="2"/>
  <c r="E101" i="2"/>
  <c r="B40" i="2"/>
  <c r="O40" i="2"/>
  <c r="B59" i="2"/>
  <c r="B81" i="2"/>
  <c r="N101" i="2"/>
  <c r="M101" i="2"/>
  <c r="L101" i="2"/>
  <c r="K101" i="2"/>
  <c r="O59" i="2"/>
  <c r="O99" i="2"/>
  <c r="B101" i="2" l="1"/>
  <c r="O101" i="2"/>
</calcChain>
</file>

<file path=xl/sharedStrings.xml><?xml version="1.0" encoding="utf-8"?>
<sst xmlns="http://schemas.openxmlformats.org/spreadsheetml/2006/main" count="116" uniqueCount="105">
  <si>
    <t>Branches</t>
  </si>
  <si>
    <t>Area 1</t>
  </si>
  <si>
    <t>Mobitek Vigan</t>
  </si>
  <si>
    <t>Samsung Vigan</t>
  </si>
  <si>
    <t>Oppo Xentro Mall Vigan</t>
  </si>
  <si>
    <t>Mobitek Candon</t>
  </si>
  <si>
    <t xml:space="preserve">Mobitek City Mall </t>
  </si>
  <si>
    <t>Mobitek Perez</t>
  </si>
  <si>
    <t>Mobitek Metroplaza</t>
  </si>
  <si>
    <t>Mobitek Nepo Mall</t>
  </si>
  <si>
    <t>Samsung Nepo Mall</t>
  </si>
  <si>
    <t>Sub-Total</t>
  </si>
  <si>
    <t>Area 2</t>
  </si>
  <si>
    <t>Mobitek Magic San Carlos</t>
  </si>
  <si>
    <t>Mobitek San Carlos Town Center</t>
  </si>
  <si>
    <t>Mobitek Bayambang</t>
  </si>
  <si>
    <t>Mobitek Tayug</t>
  </si>
  <si>
    <t>Samsung Rosales</t>
  </si>
  <si>
    <t>Mobitek Rosales</t>
  </si>
  <si>
    <t>Samsung SM Urdaneta</t>
  </si>
  <si>
    <t>Oppo SM Urdaneta</t>
  </si>
  <si>
    <t>Vivo SM Urdaneta</t>
  </si>
  <si>
    <t>Area 3</t>
  </si>
  <si>
    <t>Mobitek Lingayen</t>
  </si>
  <si>
    <t>Mobitek Mangatarem</t>
  </si>
  <si>
    <t>Vivo Mangatarem</t>
  </si>
  <si>
    <t>Mobitek Alaminos</t>
  </si>
  <si>
    <t>Mobitek Sta. Cruz</t>
  </si>
  <si>
    <t>Mobitek Iba</t>
  </si>
  <si>
    <t>Mobitek Olongapo</t>
  </si>
  <si>
    <t>Mobitek Vista Mall</t>
  </si>
  <si>
    <t>Mobitek Dau</t>
  </si>
  <si>
    <t>Oppo Dau</t>
  </si>
  <si>
    <t>Samsung SM Telebastagan</t>
  </si>
  <si>
    <t>Area 4</t>
  </si>
  <si>
    <t>Mobitek SM Tuguegarao</t>
  </si>
  <si>
    <t>Mobitek SM Cauayan</t>
  </si>
  <si>
    <t>Huawei Robinsons Santiago</t>
  </si>
  <si>
    <t>Mobitek Robinsons Santiago</t>
  </si>
  <si>
    <t>Mobitek San Jose NE</t>
  </si>
  <si>
    <t>Mobitek NE Cabanatuan</t>
  </si>
  <si>
    <t>Mobitek SM Cabanatuan</t>
  </si>
  <si>
    <t>Samsung SM Cabanatuan</t>
  </si>
  <si>
    <t>Zenfone SM Cabanatuan</t>
  </si>
  <si>
    <t>Mobitek Waltermart Gapan</t>
  </si>
  <si>
    <t>Oppo Waltermart Gapan</t>
  </si>
  <si>
    <t>Samsung SM Tarlac</t>
  </si>
  <si>
    <t>Mobitek SM Tarlac</t>
  </si>
  <si>
    <t>Huawei SM Tarlac</t>
  </si>
  <si>
    <t>Mobitek Rob. Tuguegarao</t>
  </si>
  <si>
    <t>Oppo Rob. Tuguegarao</t>
  </si>
  <si>
    <t>Samsung Rob. Tuguegarao</t>
  </si>
  <si>
    <t>Mobitek WM San Jose</t>
  </si>
  <si>
    <t>Area 5</t>
  </si>
  <si>
    <t>Mobitek Galleria</t>
  </si>
  <si>
    <t>Mobitek SM Fairview</t>
  </si>
  <si>
    <t>Mobitek SM Valenzuela</t>
  </si>
  <si>
    <t>Mobitek Antipolo</t>
  </si>
  <si>
    <t>Samsung Antipolo</t>
  </si>
  <si>
    <t>OPPO San Mateo</t>
  </si>
  <si>
    <t>Mobitek San Mateo</t>
  </si>
  <si>
    <t>Mobitek SM Marilao</t>
  </si>
  <si>
    <t>Mobitek SM Baliuag</t>
  </si>
  <si>
    <t>Mobitek Starmall Bulacan</t>
  </si>
  <si>
    <t xml:space="preserve">Mobitek SM San Jose Bul  </t>
  </si>
  <si>
    <t xml:space="preserve">Samsung SM San Jose Bul  </t>
  </si>
  <si>
    <t>Huawei Xentro Mall Antipolo</t>
  </si>
  <si>
    <t>GRAND TOTAL</t>
  </si>
  <si>
    <t>Mobitek MM Urdaneta</t>
  </si>
  <si>
    <t>SUB TOTAL</t>
  </si>
  <si>
    <t>Samsung SM Dagupan</t>
  </si>
  <si>
    <t>Huawei SM Dagupan</t>
  </si>
  <si>
    <t>Mobitek SM Dagupan</t>
  </si>
  <si>
    <t>MOBILE PHONE DIVISION</t>
  </si>
  <si>
    <t>2019 Goal</t>
  </si>
  <si>
    <t>Huawei MM San Carlos 2</t>
  </si>
  <si>
    <t>Mobitek MM San Carlos 2</t>
  </si>
  <si>
    <t>GOAL</t>
  </si>
  <si>
    <t>Mobitek SM Baguio/HUAWEI</t>
  </si>
  <si>
    <t>Goal</t>
  </si>
  <si>
    <t>Mobitek SM Olongapo 2</t>
  </si>
  <si>
    <t>Huawei SM Olongapo 2</t>
  </si>
  <si>
    <t>Mobitek JTC Tagudin</t>
  </si>
  <si>
    <t>Huawei Robinsons Calasiao</t>
  </si>
  <si>
    <t>Oppo Robinsons Calasiao</t>
  </si>
  <si>
    <t>Samsung Robinsons Calasiao</t>
  </si>
  <si>
    <t>Mobitek Robinsons Calasiao</t>
  </si>
  <si>
    <t>Prepared by:</t>
  </si>
  <si>
    <t>Reviewed and Consolidated by:</t>
  </si>
  <si>
    <t>Noted by:</t>
  </si>
  <si>
    <t>Approved by:</t>
  </si>
  <si>
    <t>George Esperida</t>
  </si>
  <si>
    <t>Richard Reynante</t>
  </si>
  <si>
    <t>Head, Area 1</t>
  </si>
  <si>
    <t>Head, Area 4</t>
  </si>
  <si>
    <t>Norman A. Tandoc</t>
  </si>
  <si>
    <t>Mylene T. Lo</t>
  </si>
  <si>
    <t>Guanson Y. Lo</t>
  </si>
  <si>
    <t>Queenzie Que</t>
  </si>
  <si>
    <t>Marilyn Sy</t>
  </si>
  <si>
    <t>Head, Area 2</t>
  </si>
  <si>
    <t>Head, Area 5</t>
  </si>
  <si>
    <t>Catherine Hidalgo</t>
  </si>
  <si>
    <t>Head, Area 3</t>
  </si>
  <si>
    <t>2019 GOAL: P2,380,216,860.38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</si>
</sst>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_);_(* \(#,##0.00\);_(* \-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ill="0" applyBorder="0" applyAlignment="0" applyProtection="0"/>
  </cellStyleXfs>
  <cellXfs count="67">
    <xf numFmtId="0" fontId="0" fillId="0" borderId="0" xfId="0"/>
    <xf numFmtId="43" fontId="0" fillId="0" borderId="0" xfId="1" applyFont="1"/>
    <xf numFmtId="43" fontId="0" fillId="0" borderId="1" xfId="1" applyFont="1" applyBorder="1"/>
    <xf numFmtId="43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3" fontId="0" fillId="0" borderId="1" xfId="0" applyNumberFormat="1" applyBorder="1"/>
    <xf numFmtId="0" fontId="0" fillId="0" borderId="0" xfId="0" applyFill="1"/>
    <xf numFmtId="164" fontId="2" fillId="2" borderId="1" xfId="4" applyFont="1" applyFill="1" applyBorder="1" applyAlignment="1">
      <alignment horizontal="left"/>
    </xf>
    <xf numFmtId="43" fontId="1" fillId="0" borderId="1" xfId="1" applyFont="1" applyBorder="1"/>
    <xf numFmtId="43" fontId="0" fillId="2" borderId="1" xfId="0" applyNumberFormat="1" applyFill="1" applyBorder="1"/>
    <xf numFmtId="17" fontId="2" fillId="2" borderId="1" xfId="0" applyNumberFormat="1" applyFont="1" applyFill="1" applyBorder="1" applyAlignment="1">
      <alignment horizontal="center"/>
    </xf>
    <xf numFmtId="43" fontId="2" fillId="2" borderId="1" xfId="0" applyNumberFormat="1" applyFont="1" applyFill="1" applyBorder="1"/>
    <xf numFmtId="43" fontId="0" fillId="2" borderId="1" xfId="0" applyNumberFormat="1" applyFont="1" applyFill="1" applyBorder="1"/>
    <xf numFmtId="43" fontId="2" fillId="2" borderId="5" xfId="0" applyNumberFormat="1" applyFont="1" applyFill="1" applyBorder="1"/>
    <xf numFmtId="43" fontId="2" fillId="0" borderId="0" xfId="0" applyNumberFormat="1" applyFont="1" applyFill="1" applyBorder="1"/>
    <xf numFmtId="43" fontId="0" fillId="0" borderId="0" xfId="0" applyNumberFormat="1" applyFill="1"/>
    <xf numFmtId="0" fontId="0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/>
    <xf numFmtId="0" fontId="0" fillId="0" borderId="0" xfId="0" applyFont="1" applyBorder="1"/>
    <xf numFmtId="0" fontId="0" fillId="0" borderId="10" xfId="0" applyFont="1" applyBorder="1"/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9" xfId="0" applyBorder="1"/>
    <xf numFmtId="0" fontId="0" fillId="0" borderId="3" xfId="0" applyFont="1" applyBorder="1"/>
    <xf numFmtId="0" fontId="0" fillId="0" borderId="16" xfId="0" applyFont="1" applyBorder="1"/>
    <xf numFmtId="0" fontId="0" fillId="0" borderId="6" xfId="0" applyFont="1" applyBorder="1" applyAlignment="1">
      <alignment horizontal="left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2" fillId="2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5">
    <cellStyle name="Comma" xfId="1" builtinId="3"/>
    <cellStyle name="Comma 13 2" xfId="3"/>
    <cellStyle name="Comma 16" xfId="4"/>
    <cellStyle name="Comma 3 10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tabSelected="1" zoomScaleNormal="100" workbookViewId="0">
      <pane xSplit="1" topLeftCell="B1" activePane="topRight" state="frozen"/>
      <selection activeCell="A40" sqref="A40"/>
      <selection pane="topRight" activeCell="G1" sqref="G1:O1048576"/>
    </sheetView>
  </sheetViews>
  <sheetFormatPr defaultRowHeight="15" x14ac:dyDescent="0.25"/>
  <cols>
    <col min="1" max="1" width="29.140625" style="52" customWidth="1"/>
    <col min="2" max="2" width="16.42578125" hidden="1" customWidth="1"/>
    <col min="3" max="5" width="15" hidden="1" customWidth="1"/>
    <col min="6" max="6" width="15" customWidth="1"/>
    <col min="7" max="14" width="15" hidden="1" customWidth="1"/>
    <col min="15" max="15" width="18.42578125" hidden="1" customWidth="1"/>
    <col min="16" max="16" width="18.7109375" customWidth="1"/>
    <col min="17" max="17" width="16.5703125" customWidth="1"/>
    <col min="18" max="18" width="12.7109375" bestFit="1" customWidth="1"/>
  </cols>
  <sheetData>
    <row r="1" spans="1:17" x14ac:dyDescent="0.25">
      <c r="A1" s="46" t="s">
        <v>73</v>
      </c>
    </row>
    <row r="2" spans="1:17" ht="15.75" x14ac:dyDescent="0.25">
      <c r="A2" s="47" t="s">
        <v>74</v>
      </c>
    </row>
    <row r="3" spans="1:17" ht="15.75" x14ac:dyDescent="0.25">
      <c r="A3" s="47"/>
    </row>
    <row r="4" spans="1:17" x14ac:dyDescent="0.25">
      <c r="A4" s="8" t="s">
        <v>0</v>
      </c>
      <c r="B4" s="66" t="s">
        <v>77</v>
      </c>
      <c r="C4" s="62">
        <v>43466</v>
      </c>
      <c r="D4" s="62">
        <v>43497</v>
      </c>
      <c r="E4" s="62">
        <v>43525</v>
      </c>
      <c r="F4" s="62">
        <v>43556</v>
      </c>
      <c r="G4" s="62">
        <v>43586</v>
      </c>
      <c r="H4" s="62">
        <v>43617</v>
      </c>
      <c r="I4" s="62">
        <v>43647</v>
      </c>
      <c r="J4" s="62">
        <v>43678</v>
      </c>
      <c r="K4" s="62">
        <v>43709</v>
      </c>
      <c r="L4" s="62">
        <v>43739</v>
      </c>
      <c r="M4" s="62">
        <v>43770</v>
      </c>
      <c r="N4" s="62">
        <v>43800</v>
      </c>
      <c r="O4" s="66" t="s">
        <v>67</v>
      </c>
    </row>
    <row r="5" spans="1:17" x14ac:dyDescent="0.25">
      <c r="A5" s="8" t="s">
        <v>1</v>
      </c>
      <c r="B5" s="66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6"/>
    </row>
    <row r="6" spans="1:17" x14ac:dyDescent="0.25">
      <c r="A6" s="48" t="s">
        <v>2</v>
      </c>
      <c r="B6" s="6">
        <v>45440828</v>
      </c>
      <c r="C6" s="9">
        <v>3575372.3487</v>
      </c>
      <c r="D6" s="9">
        <v>2875728.3789999997</v>
      </c>
      <c r="E6" s="9">
        <v>3485858.5095000002</v>
      </c>
      <c r="F6" s="9">
        <v>3231948.9761999999</v>
      </c>
      <c r="G6" s="9">
        <v>4452842.2340000002</v>
      </c>
      <c r="H6" s="9">
        <v>3314733.9798999997</v>
      </c>
      <c r="I6" s="9">
        <v>3258694.9759</v>
      </c>
      <c r="J6" s="9">
        <v>3340485.6484999997</v>
      </c>
      <c r="K6" s="9">
        <v>3827511.9814999998</v>
      </c>
      <c r="L6" s="9">
        <v>3298487.919633334</v>
      </c>
      <c r="M6" s="9">
        <v>4134024.7230333341</v>
      </c>
      <c r="N6" s="9">
        <v>6645138.3241333347</v>
      </c>
      <c r="O6" s="6">
        <f>SUM(C6:N6)</f>
        <v>45440828</v>
      </c>
      <c r="P6" s="1"/>
      <c r="Q6" s="3"/>
    </row>
    <row r="7" spans="1:17" x14ac:dyDescent="0.25">
      <c r="A7" s="48" t="s">
        <v>3</v>
      </c>
      <c r="B7" s="6">
        <v>30426248</v>
      </c>
      <c r="C7" s="2">
        <v>2384943.0150000001</v>
      </c>
      <c r="D7" s="2">
        <v>2471079.3450000002</v>
      </c>
      <c r="E7" s="2">
        <v>2589698.4750000001</v>
      </c>
      <c r="F7" s="2">
        <v>2749926.27</v>
      </c>
      <c r="G7" s="2">
        <v>2501394.2931666663</v>
      </c>
      <c r="H7" s="2">
        <v>2006181.45</v>
      </c>
      <c r="I7" s="2">
        <v>2480074.716</v>
      </c>
      <c r="J7" s="2">
        <v>2265844.35</v>
      </c>
      <c r="K7" s="2">
        <v>2106805.5750000002</v>
      </c>
      <c r="L7" s="2">
        <v>1919972.817</v>
      </c>
      <c r="M7" s="2">
        <v>3293406.9831666662</v>
      </c>
      <c r="N7" s="2">
        <v>3656920.7106666663</v>
      </c>
      <c r="O7" s="6">
        <f t="shared" ref="O7:O20" si="0">SUM(C7:N7)</f>
        <v>30426248</v>
      </c>
      <c r="P7" s="1"/>
      <c r="Q7" s="3"/>
    </row>
    <row r="8" spans="1:17" x14ac:dyDescent="0.25">
      <c r="A8" s="48" t="s">
        <v>4</v>
      </c>
      <c r="B8" s="6">
        <v>23691624</v>
      </c>
      <c r="C8" s="2">
        <v>1283380.0719999999</v>
      </c>
      <c r="D8" s="2">
        <v>1069374.8</v>
      </c>
      <c r="E8" s="2">
        <v>1503515.3120000002</v>
      </c>
      <c r="F8" s="2">
        <v>1297216.96</v>
      </c>
      <c r="G8" s="2">
        <v>2551658.0413333317</v>
      </c>
      <c r="H8" s="2">
        <v>1740398.4</v>
      </c>
      <c r="I8" s="2">
        <v>2130753.04</v>
      </c>
      <c r="J8" s="2">
        <v>1773917.912</v>
      </c>
      <c r="K8" s="2">
        <v>2601608.7760000005</v>
      </c>
      <c r="L8" s="2">
        <v>2198206.7119999998</v>
      </c>
      <c r="M8" s="2">
        <v>1985057.0453333319</v>
      </c>
      <c r="N8" s="2">
        <v>3556536.929333332</v>
      </c>
      <c r="O8" s="6">
        <f t="shared" si="0"/>
        <v>23691624</v>
      </c>
      <c r="P8" s="1"/>
      <c r="Q8" s="3"/>
    </row>
    <row r="9" spans="1:17" x14ac:dyDescent="0.25">
      <c r="A9" s="48" t="s">
        <v>5</v>
      </c>
      <c r="B9" s="6">
        <v>47296482</v>
      </c>
      <c r="C9" s="2">
        <v>3834488.32</v>
      </c>
      <c r="D9" s="2">
        <v>3178260.8</v>
      </c>
      <c r="E9" s="2">
        <v>3948352.72</v>
      </c>
      <c r="F9" s="2">
        <v>3952236.08</v>
      </c>
      <c r="G9" s="2">
        <v>3888406.0991999996</v>
      </c>
      <c r="H9" s="2">
        <v>2978334.32</v>
      </c>
      <c r="I9" s="2">
        <v>3449214.08</v>
      </c>
      <c r="J9" s="2">
        <v>3719580.0719999997</v>
      </c>
      <c r="K9" s="2">
        <v>4401969.1455999995</v>
      </c>
      <c r="L9" s="2">
        <v>3654250.7039999999</v>
      </c>
      <c r="M9" s="2">
        <v>4184510.98</v>
      </c>
      <c r="N9" s="2">
        <v>6106878.6792000001</v>
      </c>
      <c r="O9" s="6">
        <f t="shared" si="0"/>
        <v>47296482</v>
      </c>
      <c r="P9" s="1"/>
      <c r="Q9" s="3"/>
    </row>
    <row r="10" spans="1:17" x14ac:dyDescent="0.25">
      <c r="A10" s="48" t="s">
        <v>82</v>
      </c>
      <c r="B10" s="6">
        <v>28012599</v>
      </c>
      <c r="C10" s="2">
        <v>2106791.34</v>
      </c>
      <c r="D10" s="2">
        <v>1454223.54</v>
      </c>
      <c r="E10" s="2">
        <v>2385024.38</v>
      </c>
      <c r="F10" s="2">
        <v>2006304.4</v>
      </c>
      <c r="G10" s="2">
        <v>2759795.86</v>
      </c>
      <c r="H10" s="2">
        <v>2085769.42</v>
      </c>
      <c r="I10" s="2">
        <v>2564311.7200000002</v>
      </c>
      <c r="J10" s="2">
        <v>2398913.56</v>
      </c>
      <c r="K10" s="2">
        <v>2226306.34</v>
      </c>
      <c r="L10" s="2">
        <v>2274810.8799999999</v>
      </c>
      <c r="M10" s="2">
        <v>2332709.14</v>
      </c>
      <c r="N10" s="2">
        <v>3417638.4200000009</v>
      </c>
      <c r="O10" s="6">
        <f t="shared" si="0"/>
        <v>28012599</v>
      </c>
      <c r="P10" s="1"/>
      <c r="Q10" s="3"/>
    </row>
    <row r="11" spans="1:17" x14ac:dyDescent="0.25">
      <c r="A11" s="48" t="s">
        <v>78</v>
      </c>
      <c r="B11" s="6">
        <v>33288465</v>
      </c>
      <c r="C11" s="2">
        <v>3389747.5</v>
      </c>
      <c r="D11" s="2">
        <v>2098883.4219999998</v>
      </c>
      <c r="E11" s="2">
        <v>2314602.432</v>
      </c>
      <c r="F11" s="2">
        <v>2273965.0529999998</v>
      </c>
      <c r="G11" s="2">
        <v>3248937.2590000001</v>
      </c>
      <c r="H11" s="2">
        <v>2818239.2037999998</v>
      </c>
      <c r="I11" s="2">
        <v>2579484.1147999996</v>
      </c>
      <c r="J11" s="2">
        <v>2787529.2759999996</v>
      </c>
      <c r="K11" s="2">
        <v>2310401.0690000001</v>
      </c>
      <c r="L11" s="2">
        <v>2340116.6850000001</v>
      </c>
      <c r="M11" s="2">
        <v>2723039.088</v>
      </c>
      <c r="N11" s="2">
        <v>4403519.897400002</v>
      </c>
      <c r="O11" s="6">
        <f t="shared" si="0"/>
        <v>33288465</v>
      </c>
      <c r="P11" s="1"/>
      <c r="Q11" s="3"/>
    </row>
    <row r="12" spans="1:17" x14ac:dyDescent="0.25">
      <c r="A12" s="48" t="s">
        <v>6</v>
      </c>
      <c r="B12" s="6">
        <v>77559103</v>
      </c>
      <c r="C12" s="2">
        <v>6583104.1025999999</v>
      </c>
      <c r="D12" s="2">
        <v>5146373.9226000002</v>
      </c>
      <c r="E12" s="2">
        <v>6321600.6540000001</v>
      </c>
      <c r="F12" s="2">
        <v>6511430.2020000005</v>
      </c>
      <c r="G12" s="2">
        <v>7506859.6260000002</v>
      </c>
      <c r="H12" s="2">
        <v>7086931.3584000012</v>
      </c>
      <c r="I12" s="2">
        <v>5518030.3127999995</v>
      </c>
      <c r="J12" s="2">
        <v>6258949.7651999984</v>
      </c>
      <c r="K12" s="2">
        <v>5981526.6258000005</v>
      </c>
      <c r="L12" s="2">
        <v>5027929.2480000006</v>
      </c>
      <c r="M12" s="2">
        <v>6230158.5562000349</v>
      </c>
      <c r="N12" s="2">
        <v>9386208.6263999995</v>
      </c>
      <c r="O12" s="6">
        <f t="shared" si="0"/>
        <v>77559103.00000003</v>
      </c>
      <c r="P12" s="1"/>
      <c r="Q12" s="3"/>
    </row>
    <row r="13" spans="1:17" x14ac:dyDescent="0.25">
      <c r="A13" s="48" t="s">
        <v>7</v>
      </c>
      <c r="B13" s="6">
        <v>16791702</v>
      </c>
      <c r="C13" s="2">
        <v>1340832.4080000001</v>
      </c>
      <c r="D13" s="2">
        <v>908272.97750000004</v>
      </c>
      <c r="E13" s="2">
        <v>1722447.9080000001</v>
      </c>
      <c r="F13" s="2">
        <v>2086152.6459000001</v>
      </c>
      <c r="G13" s="2">
        <v>1007806.966633333</v>
      </c>
      <c r="H13" s="2">
        <v>1268122.9654999999</v>
      </c>
      <c r="I13" s="2">
        <v>1439536.8264000001</v>
      </c>
      <c r="J13" s="2">
        <v>1536224.9475</v>
      </c>
      <c r="K13" s="2">
        <v>874294.43200000015</v>
      </c>
      <c r="L13" s="2">
        <v>942767.58399999992</v>
      </c>
      <c r="M13" s="2">
        <v>1785956.591433333</v>
      </c>
      <c r="N13" s="2">
        <v>1879285.747133333</v>
      </c>
      <c r="O13" s="6">
        <f t="shared" si="0"/>
        <v>16791702</v>
      </c>
      <c r="P13" s="1"/>
      <c r="Q13" s="3"/>
    </row>
    <row r="14" spans="1:17" x14ac:dyDescent="0.25">
      <c r="A14" s="48" t="s">
        <v>8</v>
      </c>
      <c r="B14" s="6">
        <v>10611483</v>
      </c>
      <c r="C14" s="2">
        <v>1487424.4</v>
      </c>
      <c r="D14" s="2">
        <v>1107544.8999999999</v>
      </c>
      <c r="E14" s="2">
        <v>1136532.6499999999</v>
      </c>
      <c r="F14" s="2">
        <v>880803.88000000012</v>
      </c>
      <c r="G14" s="2">
        <v>882797.08000000007</v>
      </c>
      <c r="H14" s="2">
        <v>1003358.7300000001</v>
      </c>
      <c r="I14" s="2">
        <v>547487.38</v>
      </c>
      <c r="J14" s="2">
        <v>454014</v>
      </c>
      <c r="K14" s="2">
        <v>471175.98000000004</v>
      </c>
      <c r="L14" s="2">
        <v>648470.40500000003</v>
      </c>
      <c r="M14" s="2">
        <v>952860.4800000001</v>
      </c>
      <c r="N14" s="2">
        <v>1039013.1149999991</v>
      </c>
      <c r="O14" s="6">
        <f t="shared" si="0"/>
        <v>10611483</v>
      </c>
      <c r="P14" s="1"/>
      <c r="Q14" s="3"/>
    </row>
    <row r="15" spans="1:17" x14ac:dyDescent="0.25">
      <c r="A15" s="48" t="s">
        <v>9</v>
      </c>
      <c r="B15" s="6">
        <v>33376667</v>
      </c>
      <c r="C15" s="2">
        <v>2862098.6376</v>
      </c>
      <c r="D15" s="2">
        <v>1995314.5219000001</v>
      </c>
      <c r="E15" s="2">
        <v>2357616.8353999997</v>
      </c>
      <c r="F15" s="2">
        <v>2914640.2930000001</v>
      </c>
      <c r="G15" s="2">
        <v>3083770.6388999997</v>
      </c>
      <c r="H15" s="2">
        <v>2472466.65</v>
      </c>
      <c r="I15" s="2">
        <v>2396002.6412399998</v>
      </c>
      <c r="J15" s="2">
        <v>3026606.6661399994</v>
      </c>
      <c r="K15" s="2">
        <v>3247057.2276000003</v>
      </c>
      <c r="L15" s="2">
        <v>2363085.7220399999</v>
      </c>
      <c r="M15" s="2">
        <v>2585969.0721899997</v>
      </c>
      <c r="N15" s="2">
        <v>4072038.09399</v>
      </c>
      <c r="O15" s="6">
        <f t="shared" si="0"/>
        <v>33376666.999999993</v>
      </c>
      <c r="P15" s="1"/>
      <c r="Q15" s="3"/>
    </row>
    <row r="16" spans="1:17" x14ac:dyDescent="0.25">
      <c r="A16" s="48" t="s">
        <v>10</v>
      </c>
      <c r="B16" s="6">
        <v>20884074</v>
      </c>
      <c r="C16" s="2">
        <v>2059720.1640000001</v>
      </c>
      <c r="D16" s="2">
        <v>1859244.84</v>
      </c>
      <c r="E16" s="2">
        <v>1771129.152</v>
      </c>
      <c r="F16" s="2">
        <v>2012988.24</v>
      </c>
      <c r="G16" s="2">
        <v>1542183.84</v>
      </c>
      <c r="H16" s="2">
        <v>1941376.8960000002</v>
      </c>
      <c r="I16" s="2">
        <v>1290813.57</v>
      </c>
      <c r="J16" s="2">
        <v>1400252.2919999999</v>
      </c>
      <c r="K16" s="2">
        <v>1734715.0080000001</v>
      </c>
      <c r="L16" s="2">
        <v>1653118.2</v>
      </c>
      <c r="M16" s="2">
        <v>1772467.7040000001</v>
      </c>
      <c r="N16" s="2">
        <v>1846064.0939999993</v>
      </c>
      <c r="O16" s="6">
        <f t="shared" si="0"/>
        <v>20884074</v>
      </c>
      <c r="P16" s="1"/>
      <c r="Q16" s="3"/>
    </row>
    <row r="17" spans="1:17" x14ac:dyDescent="0.25">
      <c r="A17" s="49" t="s">
        <v>70</v>
      </c>
      <c r="B17" s="6">
        <v>10000000</v>
      </c>
      <c r="C17" s="5"/>
      <c r="D17" s="5"/>
      <c r="E17" s="5"/>
      <c r="F17" s="5"/>
      <c r="G17" s="5"/>
      <c r="H17" s="2"/>
      <c r="I17" s="2"/>
      <c r="J17" s="2"/>
      <c r="K17" s="2">
        <v>2042604.5196000002</v>
      </c>
      <c r="L17" s="2">
        <v>2232465.4118666695</v>
      </c>
      <c r="M17" s="2">
        <v>2232465.4118666695</v>
      </c>
      <c r="N17" s="2">
        <v>3492464.6566666607</v>
      </c>
      <c r="O17" s="6">
        <f t="shared" si="0"/>
        <v>10000000</v>
      </c>
      <c r="P17" s="1"/>
      <c r="Q17" s="3"/>
    </row>
    <row r="18" spans="1:17" x14ac:dyDescent="0.25">
      <c r="A18" s="49" t="s">
        <v>71</v>
      </c>
      <c r="B18" s="6">
        <v>8000000</v>
      </c>
      <c r="C18" s="5"/>
      <c r="D18" s="5"/>
      <c r="E18" s="5"/>
      <c r="F18" s="5"/>
      <c r="G18" s="5"/>
      <c r="H18" s="2"/>
      <c r="I18" s="2"/>
      <c r="J18" s="2"/>
      <c r="K18" s="2">
        <v>1745276.3879999998</v>
      </c>
      <c r="L18" s="2">
        <v>2027620.192</v>
      </c>
      <c r="M18" s="2">
        <v>2027103.42</v>
      </c>
      <c r="N18" s="2">
        <v>2200000.0000000005</v>
      </c>
      <c r="O18" s="6">
        <f t="shared" si="0"/>
        <v>8000000</v>
      </c>
      <c r="P18" s="1"/>
      <c r="Q18" s="3"/>
    </row>
    <row r="19" spans="1:17" x14ac:dyDescent="0.25">
      <c r="A19" s="49" t="s">
        <v>72</v>
      </c>
      <c r="B19" s="6">
        <v>6000000</v>
      </c>
      <c r="C19" s="5"/>
      <c r="D19" s="5"/>
      <c r="E19" s="5"/>
      <c r="F19" s="5"/>
      <c r="G19" s="5"/>
      <c r="H19" s="5"/>
      <c r="I19" s="5"/>
      <c r="J19" s="5"/>
      <c r="K19" s="2">
        <v>1200000</v>
      </c>
      <c r="L19" s="2">
        <v>1300000</v>
      </c>
      <c r="M19" s="2">
        <v>1650000</v>
      </c>
      <c r="N19" s="2">
        <v>1850000</v>
      </c>
      <c r="O19" s="6">
        <f t="shared" si="0"/>
        <v>6000000</v>
      </c>
      <c r="P19" s="1"/>
      <c r="Q19" s="3"/>
    </row>
    <row r="20" spans="1:17" x14ac:dyDescent="0.25">
      <c r="A20" s="49"/>
      <c r="B20" s="6">
        <f t="shared" ref="B20" si="1">SUM(C20:N20)</f>
        <v>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>
        <f t="shared" si="0"/>
        <v>0</v>
      </c>
      <c r="Q20" s="3"/>
    </row>
    <row r="21" spans="1:17" x14ac:dyDescent="0.25">
      <c r="A21" s="50" t="s">
        <v>69</v>
      </c>
      <c r="B21" s="12">
        <f>SUM(B6:B20)</f>
        <v>391379275</v>
      </c>
      <c r="C21" s="10">
        <f>SUM(C6:C20)</f>
        <v>30907902.3079</v>
      </c>
      <c r="D21" s="10">
        <f t="shared" ref="D21:M21" si="2">SUM(D6:D20)</f>
        <v>24164301.447999995</v>
      </c>
      <c r="E21" s="10">
        <f t="shared" si="2"/>
        <v>29536379.027899995</v>
      </c>
      <c r="F21" s="10">
        <f t="shared" si="2"/>
        <v>29917613.000099998</v>
      </c>
      <c r="G21" s="10">
        <f t="shared" si="2"/>
        <v>33426451.938233331</v>
      </c>
      <c r="H21" s="10">
        <f t="shared" si="2"/>
        <v>28715913.373600002</v>
      </c>
      <c r="I21" s="10">
        <f t="shared" si="2"/>
        <v>27654403.37714</v>
      </c>
      <c r="J21" s="10">
        <f t="shared" si="2"/>
        <v>28962318.489339996</v>
      </c>
      <c r="K21" s="10">
        <f t="shared" si="2"/>
        <v>34771253.068099998</v>
      </c>
      <c r="L21" s="10">
        <f t="shared" si="2"/>
        <v>31881302.480540007</v>
      </c>
      <c r="M21" s="10">
        <f t="shared" si="2"/>
        <v>37889729.195223369</v>
      </c>
      <c r="N21" s="10">
        <f>SUM(N6:N20)</f>
        <v>53551707.293923326</v>
      </c>
      <c r="O21" s="12">
        <f>SUM(O6:O20)</f>
        <v>391379275</v>
      </c>
      <c r="Q21" s="3"/>
    </row>
    <row r="22" spans="1:17" s="7" customFormat="1" x14ac:dyDescent="0.25">
      <c r="A22" s="51"/>
      <c r="Q22" s="16"/>
    </row>
    <row r="23" spans="1:17" x14ac:dyDescent="0.25">
      <c r="A23" s="8" t="s">
        <v>12</v>
      </c>
      <c r="B23" s="4" t="s">
        <v>79</v>
      </c>
      <c r="C23" s="11">
        <v>43466</v>
      </c>
      <c r="D23" s="11">
        <v>43497</v>
      </c>
      <c r="E23" s="11">
        <v>43525</v>
      </c>
      <c r="F23" s="11">
        <v>43556</v>
      </c>
      <c r="G23" s="11">
        <v>43586</v>
      </c>
      <c r="H23" s="11">
        <v>43617</v>
      </c>
      <c r="I23" s="11">
        <v>43647</v>
      </c>
      <c r="J23" s="11">
        <v>43678</v>
      </c>
      <c r="K23" s="11">
        <v>43709</v>
      </c>
      <c r="L23" s="11">
        <v>43739</v>
      </c>
      <c r="M23" s="11">
        <v>43770</v>
      </c>
      <c r="N23" s="11">
        <v>43800</v>
      </c>
      <c r="O23" s="4" t="s">
        <v>67</v>
      </c>
      <c r="Q23" s="3"/>
    </row>
    <row r="24" spans="1:17" x14ac:dyDescent="0.25">
      <c r="A24" s="48" t="s">
        <v>86</v>
      </c>
      <c r="B24" s="6">
        <v>49495609</v>
      </c>
      <c r="C24" s="2">
        <v>7200000</v>
      </c>
      <c r="D24" s="2">
        <v>3734855.8320599999</v>
      </c>
      <c r="E24" s="2">
        <v>3801675.6249000002</v>
      </c>
      <c r="F24" s="2">
        <v>2712060.4943999997</v>
      </c>
      <c r="G24" s="2">
        <v>3584026.6852499973</v>
      </c>
      <c r="H24" s="2">
        <v>4120967.4840000002</v>
      </c>
      <c r="I24" s="2">
        <v>3080380.7245199997</v>
      </c>
      <c r="J24" s="2">
        <v>4406702.703780001</v>
      </c>
      <c r="K24" s="2">
        <v>3725633.9248712491</v>
      </c>
      <c r="L24" s="2">
        <v>3664254.5705649983</v>
      </c>
      <c r="M24" s="2">
        <v>3910146.2012893772</v>
      </c>
      <c r="N24" s="2">
        <v>5554904.754364375</v>
      </c>
      <c r="O24" s="6">
        <f>SUM(C24:N24)</f>
        <v>49495609</v>
      </c>
      <c r="P24" s="1"/>
      <c r="Q24" s="3"/>
    </row>
    <row r="25" spans="1:17" x14ac:dyDescent="0.25">
      <c r="A25" s="48" t="s">
        <v>85</v>
      </c>
      <c r="B25" s="6">
        <v>44082372</v>
      </c>
      <c r="C25" s="2">
        <v>4797205.2127999999</v>
      </c>
      <c r="D25" s="2">
        <v>2878727.9520999994</v>
      </c>
      <c r="E25" s="2">
        <v>4034591.7611999996</v>
      </c>
      <c r="F25" s="2">
        <v>4138406.2719999999</v>
      </c>
      <c r="G25" s="2">
        <v>2802566.51675</v>
      </c>
      <c r="H25" s="2">
        <v>3452705.3060499993</v>
      </c>
      <c r="I25" s="2">
        <v>3352808.0586000001</v>
      </c>
      <c r="J25" s="2">
        <v>3541461.4235000005</v>
      </c>
      <c r="K25" s="2">
        <v>4291166.9300499996</v>
      </c>
      <c r="L25" s="2">
        <v>2914380.0073166648</v>
      </c>
      <c r="M25" s="2">
        <v>3362537.5171166649</v>
      </c>
      <c r="N25" s="2">
        <v>4515815.0425166655</v>
      </c>
      <c r="O25" s="6">
        <f t="shared" ref="O25:O39" si="3">SUM(C25:N25)</f>
        <v>44082371.999999993</v>
      </c>
      <c r="P25" s="1"/>
      <c r="Q25" s="3"/>
    </row>
    <row r="26" spans="1:17" x14ac:dyDescent="0.25">
      <c r="A26" s="48" t="s">
        <v>84</v>
      </c>
      <c r="B26" s="6">
        <v>28490702</v>
      </c>
      <c r="C26" s="2">
        <v>3085521.7705000001</v>
      </c>
      <c r="D26" s="2">
        <v>1563762.8</v>
      </c>
      <c r="E26" s="2">
        <v>2131871.943</v>
      </c>
      <c r="F26" s="2">
        <v>2018070.9</v>
      </c>
      <c r="G26" s="2">
        <v>2465329.503</v>
      </c>
      <c r="H26" s="2">
        <v>2473379.0515000001</v>
      </c>
      <c r="I26" s="2">
        <v>1987065.5160000001</v>
      </c>
      <c r="J26" s="2">
        <v>2578587.4185000001</v>
      </c>
      <c r="K26" s="2">
        <v>2808704.6064999998</v>
      </c>
      <c r="L26" s="2">
        <v>1997165.3279999995</v>
      </c>
      <c r="M26" s="2">
        <v>2187206.9279999994</v>
      </c>
      <c r="N26" s="2">
        <v>3194036.2349999994</v>
      </c>
      <c r="O26" s="6">
        <f t="shared" si="3"/>
        <v>28490701.999999996</v>
      </c>
      <c r="P26" s="1"/>
      <c r="Q26" s="3"/>
    </row>
    <row r="27" spans="1:17" x14ac:dyDescent="0.25">
      <c r="A27" s="48" t="s">
        <v>13</v>
      </c>
      <c r="B27" s="6">
        <v>21497255</v>
      </c>
      <c r="C27" s="2">
        <v>1797944.54</v>
      </c>
      <c r="D27" s="2">
        <v>1418892.76</v>
      </c>
      <c r="E27" s="2">
        <v>1844617.94</v>
      </c>
      <c r="F27" s="2">
        <v>1786355.37</v>
      </c>
      <c r="G27" s="2">
        <v>2036659.4</v>
      </c>
      <c r="H27" s="2">
        <v>1729775.4820000001</v>
      </c>
      <c r="I27" s="2">
        <v>1418929.1400000001</v>
      </c>
      <c r="J27" s="2">
        <v>1768519.54</v>
      </c>
      <c r="K27" s="2">
        <v>2028349.8870000001</v>
      </c>
      <c r="L27" s="2">
        <v>1557523.4663333327</v>
      </c>
      <c r="M27" s="2">
        <v>1755118.2263333325</v>
      </c>
      <c r="N27" s="2">
        <v>2354569.2483333326</v>
      </c>
      <c r="O27" s="6">
        <f t="shared" si="3"/>
        <v>21497254.999999996</v>
      </c>
      <c r="P27" s="1"/>
      <c r="Q27" s="3"/>
    </row>
    <row r="28" spans="1:17" x14ac:dyDescent="0.25">
      <c r="A28" s="48" t="s">
        <v>14</v>
      </c>
      <c r="B28" s="6">
        <v>25624357</v>
      </c>
      <c r="C28" s="2">
        <v>1752548.88</v>
      </c>
      <c r="D28" s="2">
        <v>1265980.26</v>
      </c>
      <c r="E28" s="2">
        <v>1695080.98</v>
      </c>
      <c r="F28" s="2">
        <v>1855173.84</v>
      </c>
      <c r="G28" s="2">
        <v>1939570.51</v>
      </c>
      <c r="H28" s="2">
        <v>1528086.99</v>
      </c>
      <c r="I28" s="2">
        <v>1821655.5482000001</v>
      </c>
      <c r="J28" s="2">
        <v>4293291.1289999997</v>
      </c>
      <c r="K28" s="2">
        <v>2328034.54</v>
      </c>
      <c r="L28" s="2">
        <v>2123111.4180000001</v>
      </c>
      <c r="M28" s="2">
        <v>2048588.436</v>
      </c>
      <c r="N28" s="2">
        <v>2973234.4687999994</v>
      </c>
      <c r="O28" s="6">
        <f t="shared" si="3"/>
        <v>25624357</v>
      </c>
      <c r="P28" s="1"/>
      <c r="Q28" s="3"/>
    </row>
    <row r="29" spans="1:17" x14ac:dyDescent="0.25">
      <c r="A29" s="48" t="s">
        <v>15</v>
      </c>
      <c r="B29" s="6">
        <v>20379014</v>
      </c>
      <c r="C29" s="2">
        <v>1511117.64</v>
      </c>
      <c r="D29" s="2">
        <v>1413121.68</v>
      </c>
      <c r="E29" s="2">
        <v>2032174.44</v>
      </c>
      <c r="F29" s="2">
        <v>1664543.52</v>
      </c>
      <c r="G29" s="2">
        <v>1629504</v>
      </c>
      <c r="H29" s="2">
        <v>1856854.8</v>
      </c>
      <c r="I29" s="2">
        <v>1489491.72</v>
      </c>
      <c r="J29" s="2">
        <v>1507462.92</v>
      </c>
      <c r="K29" s="2">
        <v>1647176.04</v>
      </c>
      <c r="L29" s="2">
        <v>1463786.64</v>
      </c>
      <c r="M29" s="2">
        <v>1863316.44</v>
      </c>
      <c r="N29" s="2">
        <v>2300464.1599999955</v>
      </c>
      <c r="O29" s="6">
        <f t="shared" si="3"/>
        <v>20379014</v>
      </c>
      <c r="P29" s="1"/>
      <c r="Q29" s="3"/>
    </row>
    <row r="30" spans="1:17" x14ac:dyDescent="0.25">
      <c r="A30" s="48" t="s">
        <v>68</v>
      </c>
      <c r="B30" s="6">
        <v>55531290</v>
      </c>
      <c r="C30" s="2">
        <v>5348854.2640000004</v>
      </c>
      <c r="D30" s="2">
        <v>4887304.3439999996</v>
      </c>
      <c r="E30" s="2">
        <v>6124551.5759999994</v>
      </c>
      <c r="F30" s="2">
        <v>6105870.7112000007</v>
      </c>
      <c r="G30" s="2">
        <v>4510517.5439999998</v>
      </c>
      <c r="H30" s="2">
        <v>4189478.9560000002</v>
      </c>
      <c r="I30" s="2">
        <v>4119091.1216000002</v>
      </c>
      <c r="J30" s="2">
        <v>3923905.8039999995</v>
      </c>
      <c r="K30" s="2">
        <v>3687267.5839999998</v>
      </c>
      <c r="L30" s="2">
        <v>3269985.7008000002</v>
      </c>
      <c r="M30" s="2">
        <v>3725059.7072000001</v>
      </c>
      <c r="N30" s="2">
        <v>5639402.6871999996</v>
      </c>
      <c r="O30" s="6">
        <f t="shared" si="3"/>
        <v>55531290</v>
      </c>
      <c r="P30" s="1"/>
      <c r="Q30" s="3"/>
    </row>
    <row r="31" spans="1:17" x14ac:dyDescent="0.25">
      <c r="A31" s="48" t="s">
        <v>16</v>
      </c>
      <c r="B31" s="6">
        <v>60778150</v>
      </c>
      <c r="C31" s="2">
        <v>4150070.85</v>
      </c>
      <c r="D31" s="2">
        <v>4078873.645</v>
      </c>
      <c r="E31" s="2">
        <v>4664331.9279999994</v>
      </c>
      <c r="F31" s="2">
        <v>4007668.5089999996</v>
      </c>
      <c r="G31" s="2">
        <v>4737029.0189999994</v>
      </c>
      <c r="H31" s="2">
        <v>4893783.9979999997</v>
      </c>
      <c r="I31" s="2">
        <v>5397169.1308999993</v>
      </c>
      <c r="J31" s="2">
        <v>4513204.4879000001</v>
      </c>
      <c r="K31" s="2">
        <v>5812379.0744000003</v>
      </c>
      <c r="L31" s="2">
        <v>5552964.4279999994</v>
      </c>
      <c r="M31" s="2">
        <v>5772604.8210000005</v>
      </c>
      <c r="N31" s="2">
        <v>7198070.1088000024</v>
      </c>
      <c r="O31" s="6">
        <f t="shared" si="3"/>
        <v>60778150</v>
      </c>
      <c r="P31" s="1"/>
      <c r="Q31" s="3"/>
    </row>
    <row r="32" spans="1:17" x14ac:dyDescent="0.25">
      <c r="A32" s="48" t="s">
        <v>17</v>
      </c>
      <c r="B32" s="6">
        <v>72706408</v>
      </c>
      <c r="C32" s="2">
        <v>5762819.1540000001</v>
      </c>
      <c r="D32" s="2">
        <v>6017136.2639999995</v>
      </c>
      <c r="E32" s="2">
        <v>7890318.7319999998</v>
      </c>
      <c r="F32" s="2">
        <v>8323583.9279999994</v>
      </c>
      <c r="G32" s="2">
        <v>5138967.3659999995</v>
      </c>
      <c r="H32" s="2">
        <v>5832135.8039999995</v>
      </c>
      <c r="I32" s="2">
        <v>5649324.0599999996</v>
      </c>
      <c r="J32" s="2">
        <v>5857221.4800000004</v>
      </c>
      <c r="K32" s="2">
        <v>5488051.9517999999</v>
      </c>
      <c r="L32" s="2">
        <v>4837363.2498000003</v>
      </c>
      <c r="M32" s="2">
        <v>5285324.3099999996</v>
      </c>
      <c r="N32" s="2">
        <v>6624161.7003999893</v>
      </c>
      <c r="O32" s="6">
        <f t="shared" si="3"/>
        <v>72706408</v>
      </c>
      <c r="P32" s="1"/>
      <c r="Q32" s="3"/>
    </row>
    <row r="33" spans="1:17" x14ac:dyDescent="0.25">
      <c r="A33" s="48" t="s">
        <v>18</v>
      </c>
      <c r="B33" s="6">
        <v>54154896</v>
      </c>
      <c r="C33" s="2">
        <v>5233785.1279999996</v>
      </c>
      <c r="D33" s="2">
        <v>4150456.9079999998</v>
      </c>
      <c r="E33" s="2">
        <v>4623193.0159999998</v>
      </c>
      <c r="F33" s="2">
        <v>5593155.1727999989</v>
      </c>
      <c r="G33" s="2">
        <v>4258654.1920000007</v>
      </c>
      <c r="H33" s="2">
        <v>3489339.9839999997</v>
      </c>
      <c r="I33" s="2">
        <v>3455409.568</v>
      </c>
      <c r="J33" s="2">
        <v>4039006.5559999994</v>
      </c>
      <c r="K33" s="2">
        <v>4664549.6039999994</v>
      </c>
      <c r="L33" s="2">
        <v>4111415.6719999998</v>
      </c>
      <c r="M33" s="2">
        <v>4467194.7319999998</v>
      </c>
      <c r="N33" s="2">
        <v>6068735.4671999943</v>
      </c>
      <c r="O33" s="6">
        <f t="shared" si="3"/>
        <v>54154896</v>
      </c>
      <c r="P33" s="1"/>
      <c r="Q33" s="3"/>
    </row>
    <row r="34" spans="1:17" x14ac:dyDescent="0.25">
      <c r="A34" s="48" t="s">
        <v>19</v>
      </c>
      <c r="B34" s="6">
        <v>60207132.348000005</v>
      </c>
      <c r="C34" s="2">
        <v>5002536.3411999997</v>
      </c>
      <c r="D34" s="2">
        <v>5002536.3411999997</v>
      </c>
      <c r="E34" s="2">
        <v>5002536.3411999997</v>
      </c>
      <c r="F34" s="2">
        <v>5002536.3411999997</v>
      </c>
      <c r="G34" s="2">
        <v>3824578.6957999985</v>
      </c>
      <c r="H34" s="2">
        <v>4429268.0581999999</v>
      </c>
      <c r="I34" s="2">
        <v>4713717.6988000004</v>
      </c>
      <c r="J34" s="2">
        <v>4992612.75</v>
      </c>
      <c r="K34" s="2">
        <v>5257825.4554999992</v>
      </c>
      <c r="L34" s="2">
        <v>4370148.7294000005</v>
      </c>
      <c r="M34" s="2">
        <v>5421569.2046999978</v>
      </c>
      <c r="N34" s="2">
        <v>7187266.3907999974</v>
      </c>
      <c r="O34" s="6">
        <f t="shared" si="3"/>
        <v>60207132.347999997</v>
      </c>
      <c r="P34" s="1"/>
      <c r="Q34" s="3"/>
    </row>
    <row r="35" spans="1:17" x14ac:dyDescent="0.25">
      <c r="A35" s="48" t="s">
        <v>20</v>
      </c>
      <c r="B35" s="6">
        <v>32938041.576000005</v>
      </c>
      <c r="C35" s="2">
        <v>2666970.4446375002</v>
      </c>
      <c r="D35" s="2">
        <v>2196107.102</v>
      </c>
      <c r="E35" s="2">
        <v>2666970.4446375007</v>
      </c>
      <c r="F35" s="2">
        <v>2666970.4446375007</v>
      </c>
      <c r="G35" s="2">
        <v>2930047.9819999998</v>
      </c>
      <c r="H35" s="2">
        <v>2630314.4413000001</v>
      </c>
      <c r="I35" s="2">
        <v>2500092.6564593762</v>
      </c>
      <c r="J35" s="2">
        <v>2639924.8984593763</v>
      </c>
      <c r="K35" s="2">
        <v>2608913.8314999999</v>
      </c>
      <c r="L35" s="2">
        <v>2437634.3419593754</v>
      </c>
      <c r="M35" s="2">
        <v>2672459.6106593758</v>
      </c>
      <c r="N35" s="2">
        <v>4321635.37775</v>
      </c>
      <c r="O35" s="6">
        <f t="shared" si="3"/>
        <v>32938041.576000005</v>
      </c>
      <c r="P35" s="1"/>
      <c r="Q35" s="3"/>
    </row>
    <row r="36" spans="1:17" x14ac:dyDescent="0.25">
      <c r="A36" s="48" t="s">
        <v>21</v>
      </c>
      <c r="B36" s="6">
        <v>22036948.703999996</v>
      </c>
      <c r="C36" s="2">
        <v>1701799.8972</v>
      </c>
      <c r="D36" s="2">
        <v>1767253.7393999998</v>
      </c>
      <c r="E36" s="2">
        <v>1701799.8972</v>
      </c>
      <c r="F36" s="2">
        <v>1701799.8972</v>
      </c>
      <c r="G36" s="2">
        <v>2396514.1719999998</v>
      </c>
      <c r="H36" s="2">
        <v>1759122.36</v>
      </c>
      <c r="I36" s="2">
        <v>1813004.96</v>
      </c>
      <c r="J36" s="2">
        <v>1715000.56</v>
      </c>
      <c r="K36" s="2">
        <v>1703522.4</v>
      </c>
      <c r="L36" s="2">
        <v>1786028.4</v>
      </c>
      <c r="M36" s="2">
        <v>1758934.1600000001</v>
      </c>
      <c r="N36" s="2">
        <v>2232168.2609999957</v>
      </c>
      <c r="O36" s="6">
        <f t="shared" si="3"/>
        <v>22036948.703999996</v>
      </c>
      <c r="P36" s="1"/>
      <c r="Q36" s="3"/>
    </row>
    <row r="37" spans="1:17" x14ac:dyDescent="0.25">
      <c r="A37" s="48" t="s">
        <v>83</v>
      </c>
      <c r="B37" s="6">
        <v>20000000</v>
      </c>
      <c r="C37" s="5"/>
      <c r="D37" s="2">
        <v>740678.64</v>
      </c>
      <c r="E37" s="2">
        <v>1151113.9983999999</v>
      </c>
      <c r="F37" s="2">
        <v>1802814.9703999998</v>
      </c>
      <c r="G37" s="2">
        <v>2378836.7543999981</v>
      </c>
      <c r="H37" s="2">
        <v>1651444.9464</v>
      </c>
      <c r="I37" s="2">
        <v>1553815.1024000002</v>
      </c>
      <c r="J37" s="2">
        <v>1180298.9464000035</v>
      </c>
      <c r="K37" s="2">
        <v>1908651.0384</v>
      </c>
      <c r="L37" s="2">
        <v>1809167.8104000001</v>
      </c>
      <c r="M37" s="2">
        <v>2390080.8184000002</v>
      </c>
      <c r="N37" s="2">
        <v>3433096.9743999997</v>
      </c>
      <c r="O37" s="6">
        <f t="shared" si="3"/>
        <v>20000000</v>
      </c>
      <c r="P37" s="1"/>
      <c r="Q37" s="3"/>
    </row>
    <row r="38" spans="1:17" x14ac:dyDescent="0.25">
      <c r="A38" s="49" t="s">
        <v>75</v>
      </c>
      <c r="B38" s="6">
        <v>10500000</v>
      </c>
      <c r="C38" s="5"/>
      <c r="D38" s="5"/>
      <c r="E38" s="5"/>
      <c r="F38" s="5"/>
      <c r="G38" s="5"/>
      <c r="H38" s="2">
        <v>1062959.6114285714</v>
      </c>
      <c r="I38" s="2">
        <v>1160589.4554285712</v>
      </c>
      <c r="J38" s="2">
        <v>1318312.3194285713</v>
      </c>
      <c r="K38" s="2">
        <v>1417795.5474285712</v>
      </c>
      <c r="L38" s="2">
        <v>1111833.6314285717</v>
      </c>
      <c r="M38" s="2">
        <v>1692746.6394285718</v>
      </c>
      <c r="N38" s="2">
        <v>2735762.7954285713</v>
      </c>
      <c r="O38" s="6">
        <f t="shared" si="3"/>
        <v>10500000</v>
      </c>
      <c r="P38" s="1"/>
      <c r="Q38" s="3"/>
    </row>
    <row r="39" spans="1:17" x14ac:dyDescent="0.25">
      <c r="A39" s="49" t="s">
        <v>76</v>
      </c>
      <c r="B39" s="6">
        <v>7000000</v>
      </c>
      <c r="C39" s="5"/>
      <c r="D39" s="5"/>
      <c r="E39" s="5"/>
      <c r="F39" s="5"/>
      <c r="G39" s="5"/>
      <c r="H39" s="2">
        <v>655474.71314285719</v>
      </c>
      <c r="I39" s="2">
        <v>957605.73714285716</v>
      </c>
      <c r="J39" s="2">
        <v>725697.90514285723</v>
      </c>
      <c r="K39" s="2">
        <v>917752.6251428572</v>
      </c>
      <c r="L39" s="2">
        <v>1247808.8971428575</v>
      </c>
      <c r="M39" s="2">
        <v>995263.513142857</v>
      </c>
      <c r="N39" s="2">
        <v>1500396.6091428569</v>
      </c>
      <c r="O39" s="6">
        <f t="shared" si="3"/>
        <v>7000000</v>
      </c>
      <c r="P39" s="1"/>
      <c r="Q39" s="3"/>
    </row>
    <row r="40" spans="1:17" x14ac:dyDescent="0.25">
      <c r="A40" s="50" t="s">
        <v>69</v>
      </c>
      <c r="B40" s="12">
        <f>SUM(B24:B39)</f>
        <v>585422175.62800002</v>
      </c>
      <c r="C40" s="13">
        <f>SUM(C24:C39)</f>
        <v>50011174.122337505</v>
      </c>
      <c r="D40" s="13">
        <f t="shared" ref="D40:N40" si="4">SUM(D24:D39)</f>
        <v>41115688.267759994</v>
      </c>
      <c r="E40" s="13">
        <f t="shared" si="4"/>
        <v>49364828.622537509</v>
      </c>
      <c r="F40" s="13">
        <f t="shared" si="4"/>
        <v>49379010.370837502</v>
      </c>
      <c r="G40" s="13">
        <f t="shared" si="4"/>
        <v>44632802.340199992</v>
      </c>
      <c r="H40" s="13">
        <f t="shared" si="4"/>
        <v>45755091.986021429</v>
      </c>
      <c r="I40" s="13">
        <f t="shared" si="4"/>
        <v>44470150.198050797</v>
      </c>
      <c r="J40" s="13">
        <f t="shared" si="4"/>
        <v>49001210.842110813</v>
      </c>
      <c r="K40" s="13">
        <f t="shared" si="4"/>
        <v>50295775.040592678</v>
      </c>
      <c r="L40" s="13">
        <f t="shared" si="4"/>
        <v>44254572.291145794</v>
      </c>
      <c r="M40" s="13">
        <f t="shared" si="4"/>
        <v>49308151.265270181</v>
      </c>
      <c r="N40" s="13">
        <f t="shared" si="4"/>
        <v>67833720.281135783</v>
      </c>
      <c r="O40" s="12">
        <f>SUM(O24:O39)</f>
        <v>585422175.62800002</v>
      </c>
      <c r="P40" s="3"/>
      <c r="Q40" s="3"/>
    </row>
    <row r="41" spans="1:17" x14ac:dyDescent="0.25">
      <c r="Q41" s="3"/>
    </row>
    <row r="42" spans="1:17" x14ac:dyDescent="0.25">
      <c r="A42" s="8" t="s">
        <v>22</v>
      </c>
      <c r="B42" s="4" t="s">
        <v>79</v>
      </c>
      <c r="C42" s="11">
        <v>43466</v>
      </c>
      <c r="D42" s="11">
        <v>43497</v>
      </c>
      <c r="E42" s="11">
        <v>43525</v>
      </c>
      <c r="F42" s="11">
        <v>43556</v>
      </c>
      <c r="G42" s="11">
        <v>43586</v>
      </c>
      <c r="H42" s="11">
        <v>43617</v>
      </c>
      <c r="I42" s="11">
        <v>43647</v>
      </c>
      <c r="J42" s="11">
        <v>43678</v>
      </c>
      <c r="K42" s="11">
        <v>43709</v>
      </c>
      <c r="L42" s="11">
        <v>43739</v>
      </c>
      <c r="M42" s="11">
        <v>43770</v>
      </c>
      <c r="N42" s="11">
        <v>43800</v>
      </c>
      <c r="O42" s="4" t="s">
        <v>67</v>
      </c>
      <c r="Q42" s="3"/>
    </row>
    <row r="43" spans="1:17" x14ac:dyDescent="0.25">
      <c r="A43" s="48" t="s">
        <v>23</v>
      </c>
      <c r="B43" s="6">
        <v>38550113</v>
      </c>
      <c r="C43" s="2">
        <v>3076056.6719999998</v>
      </c>
      <c r="D43" s="2">
        <v>2515906.9519999996</v>
      </c>
      <c r="E43" s="2">
        <v>3415493.3279999997</v>
      </c>
      <c r="F43" s="2">
        <v>2947373.4159999997</v>
      </c>
      <c r="G43" s="2">
        <v>3120199.0040000002</v>
      </c>
      <c r="H43" s="2">
        <v>3129610.0056000003</v>
      </c>
      <c r="I43" s="2">
        <v>2956405.3584000003</v>
      </c>
      <c r="J43" s="2">
        <v>3758379.6639999999</v>
      </c>
      <c r="K43" s="2">
        <v>3476298.9040000001</v>
      </c>
      <c r="L43" s="2">
        <v>2467549.4480000003</v>
      </c>
      <c r="M43" s="2">
        <v>3273263.6040000003</v>
      </c>
      <c r="N43" s="2">
        <v>4413576.6439999985</v>
      </c>
      <c r="O43" s="6">
        <f>SUM(C43:N43)</f>
        <v>38550113</v>
      </c>
      <c r="P43" s="1"/>
      <c r="Q43" s="3"/>
    </row>
    <row r="44" spans="1:17" x14ac:dyDescent="0.25">
      <c r="A44" s="48" t="s">
        <v>24</v>
      </c>
      <c r="B44" s="6">
        <v>26256061</v>
      </c>
      <c r="C44" s="2">
        <v>2434519.2779999999</v>
      </c>
      <c r="D44" s="2">
        <v>1728069.77</v>
      </c>
      <c r="E44" s="2">
        <v>2232745.31</v>
      </c>
      <c r="F44" s="2">
        <v>2315064.1679999996</v>
      </c>
      <c r="G44" s="2">
        <v>2280921.8859999999</v>
      </c>
      <c r="H44" s="2">
        <v>1977550.2039999999</v>
      </c>
      <c r="I44" s="2">
        <v>1986733.62</v>
      </c>
      <c r="J44" s="2">
        <v>2165200.52</v>
      </c>
      <c r="K44" s="2">
        <v>2378552.8679999998</v>
      </c>
      <c r="L44" s="2">
        <v>1927606.926</v>
      </c>
      <c r="M44" s="2">
        <v>2128458.4819999998</v>
      </c>
      <c r="N44" s="2">
        <v>2700637.9680000003</v>
      </c>
      <c r="O44" s="6">
        <f t="shared" ref="O44:O52" si="5">SUM(C44:N44)</f>
        <v>26256061</v>
      </c>
      <c r="P44" s="1"/>
      <c r="Q44" s="3"/>
    </row>
    <row r="45" spans="1:17" x14ac:dyDescent="0.25">
      <c r="A45" s="48" t="s">
        <v>25</v>
      </c>
      <c r="B45" s="6">
        <v>8480160.397499999</v>
      </c>
      <c r="C45" s="2">
        <v>706680.03312499996</v>
      </c>
      <c r="D45" s="2">
        <v>500000</v>
      </c>
      <c r="E45" s="2">
        <v>706680.03312499996</v>
      </c>
      <c r="F45" s="2">
        <v>600000</v>
      </c>
      <c r="G45" s="2">
        <v>706680.03312499996</v>
      </c>
      <c r="H45" s="2">
        <v>646760.23187499866</v>
      </c>
      <c r="I45" s="2">
        <v>700000</v>
      </c>
      <c r="J45" s="2">
        <v>600000</v>
      </c>
      <c r="K45" s="2">
        <v>700000</v>
      </c>
      <c r="L45" s="2">
        <v>706680.03312499996</v>
      </c>
      <c r="M45" s="2">
        <v>706680.03312499996</v>
      </c>
      <c r="N45" s="2">
        <v>1200000</v>
      </c>
      <c r="O45" s="6">
        <f t="shared" si="5"/>
        <v>8480160.397499999</v>
      </c>
      <c r="P45" s="1"/>
      <c r="Q45" s="3"/>
    </row>
    <row r="46" spans="1:17" x14ac:dyDescent="0.25">
      <c r="A46" s="48" t="s">
        <v>26</v>
      </c>
      <c r="B46" s="6">
        <v>34494113</v>
      </c>
      <c r="C46" s="2">
        <v>3023350.02</v>
      </c>
      <c r="D46" s="2">
        <v>2702583.42</v>
      </c>
      <c r="E46" s="2">
        <v>2740426.48</v>
      </c>
      <c r="F46" s="2">
        <v>2868535.96</v>
      </c>
      <c r="G46" s="2">
        <v>3603336.44</v>
      </c>
      <c r="H46" s="2">
        <v>2589786.7000000002</v>
      </c>
      <c r="I46" s="2">
        <v>2873697.1</v>
      </c>
      <c r="J46" s="2">
        <v>3068313.1</v>
      </c>
      <c r="K46" s="2">
        <v>2544039.2200000002</v>
      </c>
      <c r="L46" s="2">
        <v>2285400.2799999998</v>
      </c>
      <c r="M46" s="2">
        <v>2686386.62</v>
      </c>
      <c r="N46" s="2">
        <v>3508257.6599999978</v>
      </c>
      <c r="O46" s="6">
        <f t="shared" si="5"/>
        <v>34494113</v>
      </c>
      <c r="P46" s="1"/>
      <c r="Q46" s="3"/>
    </row>
    <row r="47" spans="1:17" x14ac:dyDescent="0.25">
      <c r="A47" s="48" t="s">
        <v>27</v>
      </c>
      <c r="B47" s="6">
        <v>43683295</v>
      </c>
      <c r="C47" s="2">
        <v>2856020.44</v>
      </c>
      <c r="D47" s="2">
        <v>2287920.96</v>
      </c>
      <c r="E47" s="2">
        <v>2882471.28</v>
      </c>
      <c r="F47" s="2">
        <v>3094646.88</v>
      </c>
      <c r="G47" s="2">
        <v>3646677.2775999974</v>
      </c>
      <c r="H47" s="2">
        <v>3348563.92</v>
      </c>
      <c r="I47" s="2">
        <v>3544491.6</v>
      </c>
      <c r="J47" s="2">
        <v>3641397.24</v>
      </c>
      <c r="K47" s="2">
        <v>3953956.5519999997</v>
      </c>
      <c r="L47" s="2">
        <v>3831650.5551999998</v>
      </c>
      <c r="M47" s="2">
        <v>4550232.4400000004</v>
      </c>
      <c r="N47" s="2">
        <v>6045265.8552000001</v>
      </c>
      <c r="O47" s="6">
        <f t="shared" si="5"/>
        <v>43683295</v>
      </c>
      <c r="P47" s="1"/>
      <c r="Q47" s="3"/>
    </row>
    <row r="48" spans="1:17" x14ac:dyDescent="0.25">
      <c r="A48" s="48" t="s">
        <v>28</v>
      </c>
      <c r="B48" s="6">
        <v>52990554</v>
      </c>
      <c r="C48" s="2">
        <v>2985515.2911999999</v>
      </c>
      <c r="D48" s="2">
        <v>2326641.4080000003</v>
      </c>
      <c r="E48" s="2">
        <v>3640236.08</v>
      </c>
      <c r="F48" s="2">
        <v>3863112.4687999999</v>
      </c>
      <c r="G48" s="2">
        <v>4926915.76</v>
      </c>
      <c r="H48" s="2">
        <v>4247558.6399999997</v>
      </c>
      <c r="I48" s="2">
        <v>4253961.92</v>
      </c>
      <c r="J48" s="2">
        <v>4994635.8488000007</v>
      </c>
      <c r="K48" s="2">
        <v>4805373.8511999995</v>
      </c>
      <c r="L48" s="2">
        <v>4086854.148</v>
      </c>
      <c r="M48" s="2">
        <v>4850129.4192000004</v>
      </c>
      <c r="N48" s="2">
        <v>8009619.1647999911</v>
      </c>
      <c r="O48" s="6">
        <f t="shared" si="5"/>
        <v>52990554</v>
      </c>
      <c r="P48" s="1"/>
      <c r="Q48" s="3"/>
    </row>
    <row r="49" spans="1:18" x14ac:dyDescent="0.25">
      <c r="A49" s="48" t="s">
        <v>29</v>
      </c>
      <c r="B49" s="6">
        <v>41634687</v>
      </c>
      <c r="C49" s="2">
        <v>3084705.3982500001</v>
      </c>
      <c r="D49" s="2">
        <v>2909817.5358000002</v>
      </c>
      <c r="E49" s="2">
        <v>3421426.7091199998</v>
      </c>
      <c r="F49" s="2">
        <v>3159399.8655449999</v>
      </c>
      <c r="G49" s="2">
        <v>3497109.5024799998</v>
      </c>
      <c r="H49" s="2">
        <v>3275511.7579099997</v>
      </c>
      <c r="I49" s="2">
        <v>3227057.8387599997</v>
      </c>
      <c r="J49" s="2">
        <v>3831964.5063699996</v>
      </c>
      <c r="K49" s="2">
        <v>3721616.6808449998</v>
      </c>
      <c r="L49" s="2">
        <v>3924433.6808449998</v>
      </c>
      <c r="M49" s="2">
        <v>2869529.9049550002</v>
      </c>
      <c r="N49" s="2">
        <v>4712113.6191200046</v>
      </c>
      <c r="O49" s="6">
        <f t="shared" si="5"/>
        <v>41634687</v>
      </c>
      <c r="P49" s="1"/>
      <c r="Q49" s="3"/>
    </row>
    <row r="50" spans="1:18" x14ac:dyDescent="0.25">
      <c r="A50" s="48" t="s">
        <v>30</v>
      </c>
      <c r="B50" s="6">
        <v>25382338</v>
      </c>
      <c r="C50" s="2">
        <v>1243525.3259999999</v>
      </c>
      <c r="D50" s="2">
        <v>1277237.46</v>
      </c>
      <c r="E50" s="2">
        <v>1407544.108</v>
      </c>
      <c r="F50" s="2">
        <v>1254883.1200000001</v>
      </c>
      <c r="G50" s="2">
        <v>1784007.878</v>
      </c>
      <c r="H50" s="2">
        <v>2088220.4580000001</v>
      </c>
      <c r="I50" s="2">
        <v>2310253.358</v>
      </c>
      <c r="J50" s="2">
        <v>2650099.64</v>
      </c>
      <c r="K50" s="2">
        <v>2734279.3279999997</v>
      </c>
      <c r="L50" s="2">
        <v>2392516.5129999998</v>
      </c>
      <c r="M50" s="2">
        <v>2528603.7120000003</v>
      </c>
      <c r="N50" s="2">
        <v>3711167.0990000004</v>
      </c>
      <c r="O50" s="6">
        <f t="shared" si="5"/>
        <v>25382338</v>
      </c>
      <c r="P50" s="1"/>
      <c r="Q50" s="3"/>
    </row>
    <row r="51" spans="1:18" x14ac:dyDescent="0.25">
      <c r="A51" s="48" t="s">
        <v>31</v>
      </c>
      <c r="B51" s="6">
        <v>14490534</v>
      </c>
      <c r="C51" s="2">
        <v>1363767.03</v>
      </c>
      <c r="D51" s="2">
        <v>1121000.31</v>
      </c>
      <c r="E51" s="2">
        <v>944956.8</v>
      </c>
      <c r="F51" s="2">
        <v>1037541.204</v>
      </c>
      <c r="G51" s="2">
        <v>1042931.16</v>
      </c>
      <c r="H51" s="2">
        <v>1153645.524</v>
      </c>
      <c r="I51" s="2">
        <v>1094067</v>
      </c>
      <c r="J51" s="2">
        <v>1630534.1040000001</v>
      </c>
      <c r="K51" s="2">
        <v>1096711.3799999999</v>
      </c>
      <c r="L51" s="2">
        <v>945540</v>
      </c>
      <c r="M51" s="2">
        <v>1202299.2</v>
      </c>
      <c r="N51" s="2">
        <v>1857540.288000003</v>
      </c>
      <c r="O51" s="6">
        <f t="shared" si="5"/>
        <v>14490534</v>
      </c>
      <c r="P51" s="1"/>
      <c r="Q51" s="3"/>
    </row>
    <row r="52" spans="1:18" x14ac:dyDescent="0.25">
      <c r="A52" s="48" t="s">
        <v>32</v>
      </c>
      <c r="B52" s="6">
        <v>13490556</v>
      </c>
      <c r="C52" s="2">
        <v>957807.18</v>
      </c>
      <c r="D52" s="2">
        <v>500990.4</v>
      </c>
      <c r="E52" s="2">
        <v>863296.38</v>
      </c>
      <c r="F52" s="2">
        <v>655824.6</v>
      </c>
      <c r="G52" s="2">
        <v>992616.50400000089</v>
      </c>
      <c r="H52" s="2">
        <v>1024086.0240000001</v>
      </c>
      <c r="I52" s="2">
        <v>910364.29200000002</v>
      </c>
      <c r="J52" s="2">
        <v>965647.44</v>
      </c>
      <c r="K52" s="2">
        <v>1316979.4319999998</v>
      </c>
      <c r="L52" s="2">
        <v>1304777.4840000002</v>
      </c>
      <c r="M52" s="2">
        <v>1622940.84</v>
      </c>
      <c r="N52" s="2">
        <v>2375225.4239999996</v>
      </c>
      <c r="O52" s="6">
        <f t="shared" si="5"/>
        <v>13490556</v>
      </c>
      <c r="P52" s="1"/>
      <c r="Q52" s="3"/>
    </row>
    <row r="53" spans="1:18" x14ac:dyDescent="0.25">
      <c r="A53" s="48" t="s">
        <v>33</v>
      </c>
      <c r="B53" s="6">
        <v>46794686.478</v>
      </c>
      <c r="C53" s="2">
        <v>3942540.80564286</v>
      </c>
      <c r="D53" s="2">
        <v>3942540.8056428572</v>
      </c>
      <c r="E53" s="2">
        <v>3942540.8056428572</v>
      </c>
      <c r="F53" s="2">
        <v>3942540.8056428572</v>
      </c>
      <c r="G53" s="2">
        <v>3942540.8056428572</v>
      </c>
      <c r="H53" s="2">
        <v>3792069.0290000001</v>
      </c>
      <c r="I53" s="2">
        <v>3283116.3509999998</v>
      </c>
      <c r="J53" s="2">
        <v>4207013.165</v>
      </c>
      <c r="K53" s="2">
        <v>4123785.84</v>
      </c>
      <c r="L53" s="2">
        <v>3752709.7165000001</v>
      </c>
      <c r="M53" s="2">
        <v>3525554.5175000001</v>
      </c>
      <c r="N53" s="2">
        <v>4397733.8307857243</v>
      </c>
      <c r="O53" s="6">
        <f>SUM(C53:N53)</f>
        <v>46794686.478000008</v>
      </c>
      <c r="P53" s="1"/>
      <c r="Q53" s="3"/>
    </row>
    <row r="54" spans="1:18" x14ac:dyDescent="0.25">
      <c r="A54" s="48" t="s">
        <v>80</v>
      </c>
      <c r="B54" s="6">
        <v>4500000</v>
      </c>
      <c r="C54" s="2"/>
      <c r="D54" s="2"/>
      <c r="E54" s="2"/>
      <c r="F54" s="2"/>
      <c r="G54" s="2"/>
      <c r="H54" s="2"/>
      <c r="I54" s="2"/>
      <c r="J54" s="2"/>
      <c r="K54" s="2">
        <v>700000</v>
      </c>
      <c r="L54" s="2">
        <v>850000</v>
      </c>
      <c r="M54" s="2">
        <v>1450000</v>
      </c>
      <c r="N54" s="2">
        <v>1500000</v>
      </c>
      <c r="O54" s="6">
        <f t="shared" ref="O54:O58" si="6">SUM(C54:N54)</f>
        <v>4500000</v>
      </c>
      <c r="P54" s="1"/>
      <c r="Q54" s="3"/>
    </row>
    <row r="55" spans="1:18" x14ac:dyDescent="0.25">
      <c r="A55" s="48" t="s">
        <v>81</v>
      </c>
      <c r="B55" s="6">
        <v>6000000</v>
      </c>
      <c r="C55" s="2"/>
      <c r="D55" s="2"/>
      <c r="E55" s="2"/>
      <c r="F55" s="2"/>
      <c r="G55" s="2"/>
      <c r="H55" s="2"/>
      <c r="I55" s="2"/>
      <c r="J55" s="2"/>
      <c r="K55" s="2">
        <v>700000</v>
      </c>
      <c r="L55" s="2">
        <v>1200000</v>
      </c>
      <c r="M55" s="2">
        <v>1800000</v>
      </c>
      <c r="N55" s="2">
        <v>2300000</v>
      </c>
      <c r="O55" s="6">
        <f t="shared" si="6"/>
        <v>6000000</v>
      </c>
      <c r="P55" s="1"/>
      <c r="Q55" s="3"/>
    </row>
    <row r="56" spans="1:18" x14ac:dyDescent="0.25">
      <c r="A56" s="48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>
        <f t="shared" si="6"/>
        <v>0</v>
      </c>
    </row>
    <row r="57" spans="1:18" x14ac:dyDescent="0.25">
      <c r="A57" s="48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>
        <f t="shared" si="6"/>
        <v>0</v>
      </c>
    </row>
    <row r="58" spans="1:18" x14ac:dyDescent="0.25">
      <c r="A58" s="48"/>
      <c r="B58" s="6">
        <f t="shared" ref="B58" si="7">SUM(C58:N58)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>
        <f t="shared" si="6"/>
        <v>0</v>
      </c>
    </row>
    <row r="59" spans="1:18" x14ac:dyDescent="0.25">
      <c r="A59" s="50" t="s">
        <v>69</v>
      </c>
      <c r="B59" s="12">
        <f>SUM(B43:B58)</f>
        <v>356747097.87549996</v>
      </c>
      <c r="C59" s="10">
        <f t="shared" ref="C59:O59" si="8">SUM(C43:C58)</f>
        <v>25674487.474217862</v>
      </c>
      <c r="D59" s="10">
        <f t="shared" si="8"/>
        <v>21812709.021442853</v>
      </c>
      <c r="E59" s="10">
        <f t="shared" si="8"/>
        <v>26197817.313887857</v>
      </c>
      <c r="F59" s="10">
        <f t="shared" si="8"/>
        <v>25738922.487987861</v>
      </c>
      <c r="G59" s="10">
        <f t="shared" si="8"/>
        <v>29543936.250847857</v>
      </c>
      <c r="H59" s="10">
        <f t="shared" si="8"/>
        <v>27273362.494384997</v>
      </c>
      <c r="I59" s="10">
        <f t="shared" si="8"/>
        <v>27140148.438159999</v>
      </c>
      <c r="J59" s="10">
        <f t="shared" si="8"/>
        <v>31513185.22817</v>
      </c>
      <c r="K59" s="10">
        <f t="shared" si="8"/>
        <v>32251594.056045</v>
      </c>
      <c r="L59" s="10">
        <f t="shared" si="8"/>
        <v>29675718.784669999</v>
      </c>
      <c r="M59" s="10">
        <f t="shared" si="8"/>
        <v>33194078.772780001</v>
      </c>
      <c r="N59" s="10">
        <f t="shared" si="8"/>
        <v>46731137.552905723</v>
      </c>
      <c r="O59" s="12">
        <f t="shared" si="8"/>
        <v>356747097.87549996</v>
      </c>
    </row>
    <row r="61" spans="1:18" x14ac:dyDescent="0.25">
      <c r="A61" s="8" t="s">
        <v>34</v>
      </c>
      <c r="B61" s="4" t="s">
        <v>79</v>
      </c>
      <c r="C61" s="11">
        <v>43466</v>
      </c>
      <c r="D61" s="11">
        <v>43497</v>
      </c>
      <c r="E61" s="11">
        <v>43525</v>
      </c>
      <c r="F61" s="11">
        <v>43556</v>
      </c>
      <c r="G61" s="11">
        <v>43586</v>
      </c>
      <c r="H61" s="11">
        <v>43617</v>
      </c>
      <c r="I61" s="11">
        <v>43647</v>
      </c>
      <c r="J61" s="11">
        <v>43678</v>
      </c>
      <c r="K61" s="11">
        <v>43709</v>
      </c>
      <c r="L61" s="11">
        <v>43739</v>
      </c>
      <c r="M61" s="11">
        <v>43770</v>
      </c>
      <c r="N61" s="11">
        <v>43800</v>
      </c>
      <c r="O61" s="4" t="s">
        <v>67</v>
      </c>
    </row>
    <row r="62" spans="1:18" x14ac:dyDescent="0.25">
      <c r="A62" s="48" t="s">
        <v>35</v>
      </c>
      <c r="B62" s="6">
        <v>16993129</v>
      </c>
      <c r="C62" s="2">
        <v>1369261.8</v>
      </c>
      <c r="D62" s="2">
        <v>1113917.8319999999</v>
      </c>
      <c r="E62" s="2">
        <v>1029912.84</v>
      </c>
      <c r="F62" s="2">
        <v>1392810.12</v>
      </c>
      <c r="G62" s="2">
        <v>2838379.6439999999</v>
      </c>
      <c r="H62" s="2">
        <v>1678544.64</v>
      </c>
      <c r="I62" s="2">
        <v>1484073.6840000001</v>
      </c>
      <c r="J62" s="2">
        <v>1065385.44</v>
      </c>
      <c r="K62" s="2">
        <v>906270.12</v>
      </c>
      <c r="L62" s="2">
        <v>1330052.94</v>
      </c>
      <c r="M62" s="2">
        <v>1221295.8600000001</v>
      </c>
      <c r="N62" s="2">
        <v>1563224.0800000022</v>
      </c>
      <c r="O62" s="6">
        <f>SUM(C62:N62)</f>
        <v>16993129</v>
      </c>
      <c r="P62" s="1"/>
      <c r="Q62" s="3"/>
    </row>
    <row r="63" spans="1:18" x14ac:dyDescent="0.25">
      <c r="A63" s="48" t="s">
        <v>36</v>
      </c>
      <c r="B63" s="6">
        <v>29699591</v>
      </c>
      <c r="C63" s="2">
        <v>2550805.1469999999</v>
      </c>
      <c r="D63" s="2">
        <v>1909820.338</v>
      </c>
      <c r="E63" s="2">
        <v>2369840.145</v>
      </c>
      <c r="F63" s="2">
        <v>2758436.7279999997</v>
      </c>
      <c r="G63" s="2">
        <v>3310494.6919999998</v>
      </c>
      <c r="H63" s="2">
        <v>2671209.4339999999</v>
      </c>
      <c r="I63" s="2">
        <v>2139354.8050000002</v>
      </c>
      <c r="J63" s="2">
        <v>2254907.5779999997</v>
      </c>
      <c r="K63" s="2">
        <v>1946228.953</v>
      </c>
      <c r="L63" s="2">
        <v>2426146.3910000003</v>
      </c>
      <c r="M63" s="2">
        <v>2610803.9560000002</v>
      </c>
      <c r="N63" s="2">
        <v>2751542.8330000006</v>
      </c>
      <c r="O63" s="6">
        <f t="shared" ref="O63:O79" si="9">SUM(C63:N63)</f>
        <v>29699591</v>
      </c>
      <c r="P63" s="1"/>
      <c r="Q63" s="3"/>
      <c r="R63" s="3"/>
    </row>
    <row r="64" spans="1:18" x14ac:dyDescent="0.25">
      <c r="A64" s="48" t="s">
        <v>37</v>
      </c>
      <c r="B64" s="6">
        <v>23485375</v>
      </c>
      <c r="C64" s="2">
        <v>841460.36</v>
      </c>
      <c r="D64" s="2">
        <v>740678.64</v>
      </c>
      <c r="E64" s="2">
        <v>1142505.52</v>
      </c>
      <c r="F64" s="2">
        <v>1369566.38</v>
      </c>
      <c r="G64" s="2">
        <v>2136115.0580000002</v>
      </c>
      <c r="H64" s="2">
        <v>1869897.328</v>
      </c>
      <c r="I64" s="2">
        <v>1772267.4840000002</v>
      </c>
      <c r="J64" s="2">
        <v>2853534.9440000001</v>
      </c>
      <c r="K64" s="2">
        <v>2127103.42</v>
      </c>
      <c r="L64" s="2">
        <v>2142467.898</v>
      </c>
      <c r="M64" s="2">
        <v>2723380.9060000004</v>
      </c>
      <c r="N64" s="2">
        <v>3766397.0619999999</v>
      </c>
      <c r="O64" s="6">
        <f t="shared" si="9"/>
        <v>23485374.999999996</v>
      </c>
      <c r="P64" s="1"/>
      <c r="Q64" s="3"/>
    </row>
    <row r="65" spans="1:17" x14ac:dyDescent="0.25">
      <c r="A65" s="48" t="s">
        <v>38</v>
      </c>
      <c r="B65" s="6">
        <v>23232150</v>
      </c>
      <c r="C65" s="2">
        <v>2032985.024</v>
      </c>
      <c r="D65" s="2">
        <v>1483937.7779999999</v>
      </c>
      <c r="E65" s="2">
        <v>2014576.0040000002</v>
      </c>
      <c r="F65" s="2">
        <v>1935355.2610000002</v>
      </c>
      <c r="G65" s="2">
        <v>2982802.6879999992</v>
      </c>
      <c r="H65" s="2">
        <v>1782962.7180000001</v>
      </c>
      <c r="I65" s="2">
        <v>1369744.5080000001</v>
      </c>
      <c r="J65" s="2">
        <v>1492830.9129999999</v>
      </c>
      <c r="K65" s="2">
        <v>1702155.3139999998</v>
      </c>
      <c r="L65" s="2">
        <v>1644628.69</v>
      </c>
      <c r="M65" s="2">
        <v>1946180.4580000001</v>
      </c>
      <c r="N65" s="2">
        <v>2843990.6439999961</v>
      </c>
      <c r="O65" s="6">
        <f t="shared" si="9"/>
        <v>23232150</v>
      </c>
      <c r="P65" s="1"/>
      <c r="Q65" s="3"/>
    </row>
    <row r="66" spans="1:17" x14ac:dyDescent="0.25">
      <c r="A66" s="48" t="s">
        <v>39</v>
      </c>
      <c r="B66" s="6">
        <v>32132844</v>
      </c>
      <c r="C66" s="2">
        <v>3034390.0260000001</v>
      </c>
      <c r="D66" s="2">
        <v>2640785.6320000002</v>
      </c>
      <c r="E66" s="2">
        <v>3880412.2779999999</v>
      </c>
      <c r="F66" s="2">
        <v>3560104.1809999994</v>
      </c>
      <c r="G66" s="2">
        <v>3602137.8450000002</v>
      </c>
      <c r="H66" s="2">
        <v>3579736.2078</v>
      </c>
      <c r="I66" s="2">
        <v>3020932.16</v>
      </c>
      <c r="J66" s="2">
        <v>1867001.32</v>
      </c>
      <c r="K66" s="2">
        <v>1649948.088</v>
      </c>
      <c r="L66" s="2">
        <v>1560693.12</v>
      </c>
      <c r="M66" s="2">
        <v>1649369.6672</v>
      </c>
      <c r="N66" s="2">
        <v>2087333.4749999982</v>
      </c>
      <c r="O66" s="6">
        <f t="shared" si="9"/>
        <v>32132844</v>
      </c>
      <c r="P66" s="1"/>
      <c r="Q66" s="3"/>
    </row>
    <row r="67" spans="1:17" x14ac:dyDescent="0.25">
      <c r="A67" s="48" t="s">
        <v>40</v>
      </c>
      <c r="B67" s="6">
        <v>14825175</v>
      </c>
      <c r="C67" s="2">
        <v>1257084.3600000001</v>
      </c>
      <c r="D67" s="2">
        <v>1011934.62</v>
      </c>
      <c r="E67" s="2">
        <v>1775316.2040000001</v>
      </c>
      <c r="F67" s="2">
        <v>1310701.284</v>
      </c>
      <c r="G67" s="2">
        <v>1743648.0539999991</v>
      </c>
      <c r="H67" s="2">
        <v>1439536.1040000001</v>
      </c>
      <c r="I67" s="2">
        <v>1171723.8600000001</v>
      </c>
      <c r="J67" s="2">
        <v>758054.26799999992</v>
      </c>
      <c r="K67" s="2">
        <v>1110894.156</v>
      </c>
      <c r="L67" s="2">
        <v>782629.56</v>
      </c>
      <c r="M67" s="2">
        <v>1267703.892</v>
      </c>
      <c r="N67" s="2">
        <v>1195948.638</v>
      </c>
      <c r="O67" s="6">
        <f t="shared" si="9"/>
        <v>14825175</v>
      </c>
      <c r="P67" s="1"/>
      <c r="Q67" s="3"/>
    </row>
    <row r="68" spans="1:17" x14ac:dyDescent="0.25">
      <c r="A68" s="48" t="s">
        <v>41</v>
      </c>
      <c r="B68" s="6">
        <v>28252467</v>
      </c>
      <c r="C68" s="2">
        <v>2993575.3089999999</v>
      </c>
      <c r="D68" s="2">
        <v>2678116.2880000002</v>
      </c>
      <c r="E68" s="2">
        <v>2795798.5903999996</v>
      </c>
      <c r="F68" s="2">
        <v>3191498.7527999994</v>
      </c>
      <c r="G68" s="2">
        <v>2383505.6382000037</v>
      </c>
      <c r="H68" s="2">
        <v>2901785.1920000003</v>
      </c>
      <c r="I68" s="2">
        <v>2617041.0596000003</v>
      </c>
      <c r="J68" s="2">
        <v>2112133.3160000006</v>
      </c>
      <c r="K68" s="2">
        <v>1760511.9498000001</v>
      </c>
      <c r="L68" s="2">
        <v>1430080.5984</v>
      </c>
      <c r="M68" s="2">
        <v>1152096.9127999998</v>
      </c>
      <c r="N68" s="2">
        <v>2236323.3929999997</v>
      </c>
      <c r="O68" s="6">
        <f t="shared" si="9"/>
        <v>28252467</v>
      </c>
      <c r="P68" s="1"/>
      <c r="Q68" s="3"/>
    </row>
    <row r="69" spans="1:17" x14ac:dyDescent="0.25">
      <c r="A69" s="48" t="s">
        <v>42</v>
      </c>
      <c r="B69" s="6">
        <v>80483944</v>
      </c>
      <c r="C69" s="2">
        <v>5685119.2675400004</v>
      </c>
      <c r="D69" s="2">
        <v>5781112.2086999994</v>
      </c>
      <c r="E69" s="2">
        <v>7568864.1335399998</v>
      </c>
      <c r="F69" s="2">
        <v>7794930.1414000001</v>
      </c>
      <c r="G69" s="2">
        <v>6481228.0210066633</v>
      </c>
      <c r="H69" s="2">
        <v>6101342.9926000005</v>
      </c>
      <c r="I69" s="2">
        <v>6074900.2898999993</v>
      </c>
      <c r="J69" s="2">
        <v>6966556.1063000001</v>
      </c>
      <c r="K69" s="2">
        <v>5370167.2394614778</v>
      </c>
      <c r="L69" s="2">
        <v>5999162.9591711108</v>
      </c>
      <c r="M69" s="2">
        <v>7106057.5063807387</v>
      </c>
      <c r="N69" s="2">
        <v>9554503.1339999996</v>
      </c>
      <c r="O69" s="6">
        <f t="shared" si="9"/>
        <v>80483944</v>
      </c>
      <c r="P69" s="1"/>
      <c r="Q69" s="3"/>
    </row>
    <row r="70" spans="1:17" x14ac:dyDescent="0.25">
      <c r="A70" s="48" t="s">
        <v>43</v>
      </c>
      <c r="B70" s="6">
        <v>12216369</v>
      </c>
      <c r="C70" s="2">
        <v>1139240.808</v>
      </c>
      <c r="D70" s="2">
        <v>877519.20240000007</v>
      </c>
      <c r="E70" s="2">
        <v>906207.26400000008</v>
      </c>
      <c r="F70" s="2">
        <v>1342618.0164000001</v>
      </c>
      <c r="G70" s="2">
        <v>1369161.0360000003</v>
      </c>
      <c r="H70" s="2">
        <v>1153292.7959999999</v>
      </c>
      <c r="I70" s="2">
        <v>1056026.43</v>
      </c>
      <c r="J70" s="2">
        <v>889802.65799999994</v>
      </c>
      <c r="K70" s="2">
        <v>693522.75600000005</v>
      </c>
      <c r="L70" s="2">
        <v>613824.48</v>
      </c>
      <c r="M70" s="2">
        <v>923004.23400000005</v>
      </c>
      <c r="N70" s="2">
        <v>1252149.3191999998</v>
      </c>
      <c r="O70" s="6">
        <f t="shared" si="9"/>
        <v>12216369</v>
      </c>
      <c r="P70" s="1"/>
      <c r="Q70" s="3"/>
    </row>
    <row r="71" spans="1:17" x14ac:dyDescent="0.25">
      <c r="A71" s="48" t="s">
        <v>44</v>
      </c>
      <c r="B71" s="6">
        <v>71862041</v>
      </c>
      <c r="C71" s="2">
        <v>5124969.1716</v>
      </c>
      <c r="D71" s="2">
        <v>4688641.4765999997</v>
      </c>
      <c r="E71" s="2">
        <v>5590309.8996000001</v>
      </c>
      <c r="F71" s="2">
        <v>5843731.8779999986</v>
      </c>
      <c r="G71" s="2">
        <v>5951007.8102000095</v>
      </c>
      <c r="H71" s="2">
        <v>5655744.5111999996</v>
      </c>
      <c r="I71" s="2">
        <v>5943963.9935999997</v>
      </c>
      <c r="J71" s="2">
        <v>5821416.0833999999</v>
      </c>
      <c r="K71" s="2">
        <v>5679436.3367999988</v>
      </c>
      <c r="L71" s="2">
        <v>5775139.0506000007</v>
      </c>
      <c r="M71" s="2">
        <v>6936168.5549999997</v>
      </c>
      <c r="N71" s="2">
        <v>8851512.2334000003</v>
      </c>
      <c r="O71" s="6">
        <f t="shared" si="9"/>
        <v>71862041</v>
      </c>
      <c r="P71" s="1"/>
      <c r="Q71" s="3"/>
    </row>
    <row r="72" spans="1:17" x14ac:dyDescent="0.25">
      <c r="A72" s="48" t="s">
        <v>45</v>
      </c>
      <c r="B72" s="6">
        <v>28918576</v>
      </c>
      <c r="C72" s="2">
        <v>1772329.858</v>
      </c>
      <c r="D72" s="2">
        <v>1821857.192</v>
      </c>
      <c r="E72" s="2">
        <v>2447487.7420000001</v>
      </c>
      <c r="F72" s="2">
        <v>1870668.92</v>
      </c>
      <c r="G72" s="2">
        <v>3209738.1940000001</v>
      </c>
      <c r="H72" s="2">
        <v>2251070.8020000001</v>
      </c>
      <c r="I72" s="2">
        <v>2265560.3129999996</v>
      </c>
      <c r="J72" s="2">
        <v>1841598.8970000001</v>
      </c>
      <c r="K72" s="2">
        <v>2820882.0382000008</v>
      </c>
      <c r="L72" s="2">
        <v>2486032.2040000004</v>
      </c>
      <c r="M72" s="2">
        <v>2593243.1479999996</v>
      </c>
      <c r="N72" s="2">
        <v>3538106.6917999997</v>
      </c>
      <c r="O72" s="6">
        <f t="shared" si="9"/>
        <v>28918576</v>
      </c>
      <c r="P72" s="1"/>
      <c r="Q72" s="3"/>
    </row>
    <row r="73" spans="1:17" x14ac:dyDescent="0.25">
      <c r="A73" s="48" t="s">
        <v>46</v>
      </c>
      <c r="B73" s="6">
        <v>90070743</v>
      </c>
      <c r="C73" s="2">
        <v>7035902.1150000002</v>
      </c>
      <c r="D73" s="2">
        <v>6710039.6550000003</v>
      </c>
      <c r="E73" s="2">
        <v>9612549.1560000014</v>
      </c>
      <c r="F73" s="2">
        <v>8423327.1779999994</v>
      </c>
      <c r="G73" s="2">
        <v>7890945.4709999999</v>
      </c>
      <c r="H73" s="2">
        <v>6966062.358</v>
      </c>
      <c r="I73" s="2">
        <v>6345611.5559999999</v>
      </c>
      <c r="J73" s="2">
        <v>8317066.7400000002</v>
      </c>
      <c r="K73" s="2">
        <v>6242576.6639999999</v>
      </c>
      <c r="L73" s="2">
        <v>7149172.8769999994</v>
      </c>
      <c r="M73" s="2">
        <v>7406623.1209999984</v>
      </c>
      <c r="N73" s="2">
        <v>7970866.1089999983</v>
      </c>
      <c r="O73" s="6">
        <f t="shared" si="9"/>
        <v>90070743</v>
      </c>
      <c r="P73" s="1"/>
      <c r="Q73" s="3"/>
    </row>
    <row r="74" spans="1:17" x14ac:dyDescent="0.25">
      <c r="A74" s="48" t="s">
        <v>47</v>
      </c>
      <c r="B74" s="6">
        <v>54935530</v>
      </c>
      <c r="C74" s="2">
        <v>3775805.5920000002</v>
      </c>
      <c r="D74" s="2">
        <v>4321270.4079999998</v>
      </c>
      <c r="E74" s="2">
        <v>4980465.9839999992</v>
      </c>
      <c r="F74" s="2">
        <v>4946166.8879999993</v>
      </c>
      <c r="G74" s="2">
        <v>5074611.3600000003</v>
      </c>
      <c r="H74" s="2">
        <v>3210000.4559999998</v>
      </c>
      <c r="I74" s="2">
        <v>4227918.0319999997</v>
      </c>
      <c r="J74" s="2">
        <v>4704059.9839999992</v>
      </c>
      <c r="K74" s="2">
        <v>4551016.8600000003</v>
      </c>
      <c r="L74" s="2">
        <v>4379887.8759999992</v>
      </c>
      <c r="M74" s="2">
        <v>4716426.6239999998</v>
      </c>
      <c r="N74" s="2">
        <v>6047899.9360000044</v>
      </c>
      <c r="O74" s="6">
        <f t="shared" si="9"/>
        <v>54935530</v>
      </c>
      <c r="P74" s="1"/>
      <c r="Q74" s="3"/>
    </row>
    <row r="75" spans="1:17" x14ac:dyDescent="0.25">
      <c r="A75" s="48" t="s">
        <v>48</v>
      </c>
      <c r="B75" s="6">
        <v>48615072</v>
      </c>
      <c r="C75" s="2">
        <v>1965321.696</v>
      </c>
      <c r="D75" s="2">
        <v>2305230.2000000002</v>
      </c>
      <c r="E75" s="2">
        <v>2981621.3959999997</v>
      </c>
      <c r="F75" s="2">
        <v>3162817.8399999994</v>
      </c>
      <c r="G75" s="2">
        <v>4264815.3079999993</v>
      </c>
      <c r="H75" s="2">
        <v>3267607.304</v>
      </c>
      <c r="I75" s="2">
        <v>3757357.9680000003</v>
      </c>
      <c r="J75" s="2">
        <v>4847010.22</v>
      </c>
      <c r="K75" s="2">
        <v>4680522.9119999995</v>
      </c>
      <c r="L75" s="2">
        <v>7600274.5480000041</v>
      </c>
      <c r="M75" s="2">
        <v>5496334.2160000047</v>
      </c>
      <c r="N75" s="2">
        <v>4286158.3920000037</v>
      </c>
      <c r="O75" s="6">
        <f t="shared" si="9"/>
        <v>48615072.000000015</v>
      </c>
      <c r="P75" s="1"/>
      <c r="Q75" s="3"/>
    </row>
    <row r="76" spans="1:17" x14ac:dyDescent="0.25">
      <c r="A76" s="48" t="s">
        <v>49</v>
      </c>
      <c r="B76" s="6">
        <v>22612838.399999999</v>
      </c>
      <c r="C76" s="2">
        <v>1775090.55</v>
      </c>
      <c r="D76" s="2">
        <v>1775090.55</v>
      </c>
      <c r="E76" s="2">
        <v>1775090.55</v>
      </c>
      <c r="F76" s="2">
        <v>1775090.55</v>
      </c>
      <c r="G76" s="2">
        <v>1775090.55</v>
      </c>
      <c r="H76" s="2">
        <v>1775090.55</v>
      </c>
      <c r="I76" s="2">
        <v>1775090.55</v>
      </c>
      <c r="J76" s="2">
        <v>1962498.575</v>
      </c>
      <c r="K76" s="2">
        <v>1851995.65</v>
      </c>
      <c r="L76" s="2">
        <v>1634591.3083333322</v>
      </c>
      <c r="M76" s="2">
        <v>1862922.0833333321</v>
      </c>
      <c r="N76" s="2">
        <v>2875196.9333333322</v>
      </c>
      <c r="O76" s="6">
        <f t="shared" si="9"/>
        <v>22612838.399999999</v>
      </c>
      <c r="P76" s="1"/>
      <c r="Q76" s="3"/>
    </row>
    <row r="77" spans="1:17" x14ac:dyDescent="0.25">
      <c r="A77" s="48" t="s">
        <v>50</v>
      </c>
      <c r="B77" s="6">
        <v>25142841.600000001</v>
      </c>
      <c r="C77" s="2">
        <v>1989370.0666666699</v>
      </c>
      <c r="D77" s="2">
        <v>1989370.0666666667</v>
      </c>
      <c r="E77" s="2">
        <v>1989370.0666666667</v>
      </c>
      <c r="F77" s="2">
        <v>1989370.0666666667</v>
      </c>
      <c r="G77" s="2">
        <v>1989370.0666666667</v>
      </c>
      <c r="H77" s="2">
        <v>1989370.0666666667</v>
      </c>
      <c r="I77" s="2">
        <v>1989370.0666666667</v>
      </c>
      <c r="J77" s="2">
        <v>1589346.72</v>
      </c>
      <c r="K77" s="2">
        <v>1947032.88</v>
      </c>
      <c r="L77" s="2">
        <v>1911236.08</v>
      </c>
      <c r="M77" s="2">
        <v>2427059.44</v>
      </c>
      <c r="N77" s="2">
        <v>3342576.0133333327</v>
      </c>
      <c r="O77" s="6">
        <f t="shared" si="9"/>
        <v>25142841.600000001</v>
      </c>
      <c r="P77" s="1"/>
      <c r="Q77" s="3"/>
    </row>
    <row r="78" spans="1:17" x14ac:dyDescent="0.25">
      <c r="A78" s="48" t="s">
        <v>51</v>
      </c>
      <c r="B78" s="6">
        <v>33150436.671999995</v>
      </c>
      <c r="C78" s="2">
        <v>2762536.3893333301</v>
      </c>
      <c r="D78" s="2">
        <v>2762536.3893333329</v>
      </c>
      <c r="E78" s="2">
        <v>2762536.3893333329</v>
      </c>
      <c r="F78" s="2">
        <v>2762536.3893333329</v>
      </c>
      <c r="G78" s="2">
        <v>2612977.3038518494</v>
      </c>
      <c r="H78" s="2">
        <v>2762536.3893333329</v>
      </c>
      <c r="I78" s="2">
        <v>2762536.3893333329</v>
      </c>
      <c r="J78" s="2">
        <v>2308768.09</v>
      </c>
      <c r="K78" s="2">
        <v>2072782.095</v>
      </c>
      <c r="L78" s="2">
        <v>2712081.3910000003</v>
      </c>
      <c r="M78" s="2">
        <v>2961646.3802592587</v>
      </c>
      <c r="N78" s="2">
        <v>3906963.075888888</v>
      </c>
      <c r="O78" s="6">
        <f t="shared" si="9"/>
        <v>33150436.671999991</v>
      </c>
      <c r="P78" s="1"/>
      <c r="Q78" s="3"/>
    </row>
    <row r="79" spans="1:17" x14ac:dyDescent="0.25">
      <c r="A79" s="48" t="s">
        <v>52</v>
      </c>
      <c r="B79" s="6">
        <v>20504827.199999999</v>
      </c>
      <c r="C79" s="2">
        <v>1598490.36666667</v>
      </c>
      <c r="D79" s="2">
        <v>1598490.3666666667</v>
      </c>
      <c r="E79" s="2">
        <v>1598490.3666666667</v>
      </c>
      <c r="F79" s="2">
        <v>1598490.3666666667</v>
      </c>
      <c r="G79" s="2">
        <v>1598490.3666666667</v>
      </c>
      <c r="H79" s="2">
        <v>1598490.3666666667</v>
      </c>
      <c r="I79" s="2">
        <v>1598490.366666662</v>
      </c>
      <c r="J79" s="2">
        <v>2166192</v>
      </c>
      <c r="K79" s="2">
        <v>2201434.2000000002</v>
      </c>
      <c r="L79" s="2">
        <v>1612948.4</v>
      </c>
      <c r="M79" s="2">
        <v>1573927.6</v>
      </c>
      <c r="N79" s="2">
        <v>1760892.4333333373</v>
      </c>
      <c r="O79" s="6">
        <f t="shared" si="9"/>
        <v>20504827.200000003</v>
      </c>
      <c r="P79" s="1"/>
      <c r="Q79" s="3"/>
    </row>
    <row r="80" spans="1:17" x14ac:dyDescent="0.25">
      <c r="A80" s="48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6"/>
      <c r="P80" s="1"/>
      <c r="Q80" s="3"/>
    </row>
    <row r="81" spans="1:17" x14ac:dyDescent="0.25">
      <c r="A81" s="50" t="s">
        <v>69</v>
      </c>
      <c r="B81" s="12">
        <f>SUM(B62:B79)</f>
        <v>657133949.8720001</v>
      </c>
      <c r="C81" s="10">
        <f t="shared" ref="C81:N81" si="10">SUM(C62:C79)</f>
        <v>48703737.906806663</v>
      </c>
      <c r="D81" s="10">
        <f t="shared" si="10"/>
        <v>46210348.843366668</v>
      </c>
      <c r="E81" s="10">
        <f t="shared" si="10"/>
        <v>57221354.529206656</v>
      </c>
      <c r="F81" s="10">
        <f t="shared" si="10"/>
        <v>57028220.941266656</v>
      </c>
      <c r="G81" s="10">
        <f t="shared" si="10"/>
        <v>61214519.106591858</v>
      </c>
      <c r="H81" s="10">
        <f t="shared" si="10"/>
        <v>52654280.216266662</v>
      </c>
      <c r="I81" s="10">
        <f t="shared" si="10"/>
        <v>51371963.515766658</v>
      </c>
      <c r="J81" s="10">
        <f t="shared" si="10"/>
        <v>53818163.852699995</v>
      </c>
      <c r="K81" s="10">
        <f t="shared" si="10"/>
        <v>49314481.632261485</v>
      </c>
      <c r="L81" s="10">
        <f t="shared" si="10"/>
        <v>53191050.371504441</v>
      </c>
      <c r="M81" s="10">
        <f t="shared" si="10"/>
        <v>56574244.559973337</v>
      </c>
      <c r="N81" s="10">
        <f t="shared" si="10"/>
        <v>69831584.396288902</v>
      </c>
      <c r="O81" s="12">
        <f>SUM(O62:O79)</f>
        <v>657133949.87199998</v>
      </c>
      <c r="P81" s="1"/>
      <c r="Q81" s="3"/>
    </row>
    <row r="82" spans="1:17" x14ac:dyDescent="0.25">
      <c r="P82" s="1"/>
      <c r="Q82" s="3"/>
    </row>
    <row r="83" spans="1:17" x14ac:dyDescent="0.25">
      <c r="A83" s="8" t="s">
        <v>53</v>
      </c>
      <c r="B83" s="4" t="s">
        <v>79</v>
      </c>
      <c r="C83" s="11">
        <v>43466</v>
      </c>
      <c r="D83" s="11">
        <v>43497</v>
      </c>
      <c r="E83" s="11">
        <v>43525</v>
      </c>
      <c r="F83" s="11">
        <v>43556</v>
      </c>
      <c r="G83" s="11">
        <v>43586</v>
      </c>
      <c r="H83" s="11">
        <v>43617</v>
      </c>
      <c r="I83" s="11">
        <v>43647</v>
      </c>
      <c r="J83" s="11">
        <v>43678</v>
      </c>
      <c r="K83" s="11">
        <v>43709</v>
      </c>
      <c r="L83" s="11">
        <v>43739</v>
      </c>
      <c r="M83" s="11">
        <v>43770</v>
      </c>
      <c r="N83" s="11">
        <v>43800</v>
      </c>
      <c r="O83" s="4" t="s">
        <v>67</v>
      </c>
      <c r="P83" s="1"/>
      <c r="Q83" s="3"/>
    </row>
    <row r="84" spans="1:17" x14ac:dyDescent="0.25">
      <c r="A84" s="48" t="s">
        <v>54</v>
      </c>
      <c r="B84" s="6">
        <v>31900360</v>
      </c>
      <c r="C84" s="2">
        <v>3742630.0329999998</v>
      </c>
      <c r="D84" s="2">
        <v>3297272.4639999997</v>
      </c>
      <c r="E84" s="2">
        <v>4116968.0789999999</v>
      </c>
      <c r="F84" s="2">
        <v>2260066.81</v>
      </c>
      <c r="G84" s="2">
        <v>2656790.7310000001</v>
      </c>
      <c r="H84" s="2">
        <v>2403370.1710000001</v>
      </c>
      <c r="I84" s="2">
        <v>2585343.1905999999</v>
      </c>
      <c r="J84" s="2">
        <v>2517077.219</v>
      </c>
      <c r="K84" s="2">
        <v>1887807.2649999997</v>
      </c>
      <c r="L84" s="2">
        <v>1884744.6070000003</v>
      </c>
      <c r="M84" s="2">
        <v>2008115.41</v>
      </c>
      <c r="N84" s="2">
        <v>2540174.0203999961</v>
      </c>
      <c r="O84" s="6">
        <f>SUM(C84:N84)</f>
        <v>31900360</v>
      </c>
      <c r="P84" s="1"/>
      <c r="Q84" s="3"/>
    </row>
    <row r="85" spans="1:17" x14ac:dyDescent="0.25">
      <c r="A85" s="48" t="s">
        <v>55</v>
      </c>
      <c r="B85" s="6">
        <v>17698395</v>
      </c>
      <c r="C85" s="2">
        <v>1501732.6414999999</v>
      </c>
      <c r="D85" s="2">
        <v>1192896.99</v>
      </c>
      <c r="E85" s="2">
        <v>1625696.3465999998</v>
      </c>
      <c r="F85" s="2">
        <v>1648387.0020000001</v>
      </c>
      <c r="G85" s="2">
        <v>1292477.928199999</v>
      </c>
      <c r="H85" s="2">
        <v>1481821.9210000001</v>
      </c>
      <c r="I85" s="2">
        <v>1378061.56</v>
      </c>
      <c r="J85" s="2">
        <v>1397486.875</v>
      </c>
      <c r="K85" s="2">
        <v>1338081.5449999999</v>
      </c>
      <c r="L85" s="2">
        <v>1624196.4955</v>
      </c>
      <c r="M85" s="2">
        <v>1242165.4610000001</v>
      </c>
      <c r="N85" s="2">
        <v>1975390.2341999991</v>
      </c>
      <c r="O85" s="6">
        <f t="shared" ref="O85:O96" si="11">SUM(C85:N85)</f>
        <v>17698395</v>
      </c>
      <c r="P85" s="1"/>
      <c r="Q85" s="3"/>
    </row>
    <row r="86" spans="1:17" x14ac:dyDescent="0.25">
      <c r="A86" s="48" t="s">
        <v>56</v>
      </c>
      <c r="B86" s="6">
        <v>39505534</v>
      </c>
      <c r="C86" s="2">
        <v>2862632.24</v>
      </c>
      <c r="D86" s="2">
        <v>3225292.2519999999</v>
      </c>
      <c r="E86" s="2">
        <v>3065858.12</v>
      </c>
      <c r="F86" s="2">
        <v>3240914.196</v>
      </c>
      <c r="G86" s="2">
        <v>3151739.9680000003</v>
      </c>
      <c r="H86" s="2">
        <v>3038794.9072000002</v>
      </c>
      <c r="I86" s="2">
        <v>3133253.656</v>
      </c>
      <c r="J86" s="2">
        <v>2951838.6560000004</v>
      </c>
      <c r="K86" s="2">
        <v>2904501.8080000002</v>
      </c>
      <c r="L86" s="2">
        <v>2778996.3759999997</v>
      </c>
      <c r="M86" s="2">
        <v>3485574.4040000001</v>
      </c>
      <c r="N86" s="2">
        <v>5666137.416799997</v>
      </c>
      <c r="O86" s="6">
        <f t="shared" si="11"/>
        <v>39505534</v>
      </c>
      <c r="P86" s="1"/>
      <c r="Q86" s="3"/>
    </row>
    <row r="87" spans="1:17" x14ac:dyDescent="0.25">
      <c r="A87" s="48" t="s">
        <v>57</v>
      </c>
      <c r="B87" s="6">
        <v>22998965</v>
      </c>
      <c r="C87" s="2">
        <v>1742432.1869999999</v>
      </c>
      <c r="D87" s="2">
        <v>1216949.43</v>
      </c>
      <c r="E87" s="2">
        <v>1546064.4310000001</v>
      </c>
      <c r="F87" s="2">
        <v>1783242.0279999999</v>
      </c>
      <c r="G87" s="2">
        <v>1793492.175</v>
      </c>
      <c r="H87" s="2">
        <v>1774782.6980000001</v>
      </c>
      <c r="I87" s="2">
        <v>2109549.0360000003</v>
      </c>
      <c r="J87" s="2">
        <v>2322870.8560000001</v>
      </c>
      <c r="K87" s="2">
        <v>2152567.3870000001</v>
      </c>
      <c r="L87" s="2">
        <v>1480952.1714000001</v>
      </c>
      <c r="M87" s="2">
        <v>1575850.9080000001</v>
      </c>
      <c r="N87" s="2">
        <v>3500211.6925999988</v>
      </c>
      <c r="O87" s="6">
        <f t="shared" si="11"/>
        <v>22998965</v>
      </c>
      <c r="P87" s="1"/>
      <c r="Q87" s="3"/>
    </row>
    <row r="88" spans="1:17" x14ac:dyDescent="0.25">
      <c r="A88" s="48" t="s">
        <v>58</v>
      </c>
      <c r="B88" s="6">
        <v>51612948</v>
      </c>
      <c r="C88" s="2">
        <v>3976481.0279999999</v>
      </c>
      <c r="D88" s="2">
        <v>3374641.1919999998</v>
      </c>
      <c r="E88" s="2">
        <v>4912231.5840000007</v>
      </c>
      <c r="F88" s="2">
        <v>3834795.432</v>
      </c>
      <c r="G88" s="2">
        <v>3617711.3439999996</v>
      </c>
      <c r="H88" s="2">
        <v>3822796.8480000002</v>
      </c>
      <c r="I88" s="2">
        <v>3365867.1279999996</v>
      </c>
      <c r="J88" s="2">
        <v>5369273.9359999998</v>
      </c>
      <c r="K88" s="2">
        <v>3745485.9519999996</v>
      </c>
      <c r="L88" s="2">
        <v>3876556.5175999994</v>
      </c>
      <c r="M88" s="2">
        <v>4704744.8760000002</v>
      </c>
      <c r="N88" s="2">
        <v>7012362.1623999998</v>
      </c>
      <c r="O88" s="6">
        <f t="shared" si="11"/>
        <v>51612948.000000007</v>
      </c>
      <c r="P88" s="1"/>
      <c r="Q88" s="3"/>
    </row>
    <row r="89" spans="1:17" x14ac:dyDescent="0.25">
      <c r="A89" s="48" t="s">
        <v>59</v>
      </c>
      <c r="B89" s="6">
        <v>31516289</v>
      </c>
      <c r="C89" s="2">
        <v>2570304.1120000002</v>
      </c>
      <c r="D89" s="2">
        <v>1943875.7</v>
      </c>
      <c r="E89" s="2">
        <v>2150591.6</v>
      </c>
      <c r="F89" s="2">
        <v>1975271.4160000002</v>
      </c>
      <c r="G89" s="2">
        <v>2740899.1340000001</v>
      </c>
      <c r="H89" s="2">
        <v>2167605.3420000002</v>
      </c>
      <c r="I89" s="2">
        <v>2849432.852</v>
      </c>
      <c r="J89" s="2">
        <v>2851587.8320000004</v>
      </c>
      <c r="K89" s="2">
        <v>2974147.5759999994</v>
      </c>
      <c r="L89" s="2">
        <v>2816791</v>
      </c>
      <c r="M89" s="2">
        <v>2631433.4639999997</v>
      </c>
      <c r="N89" s="2">
        <v>3844348.9719999954</v>
      </c>
      <c r="O89" s="6">
        <f t="shared" si="11"/>
        <v>31516289</v>
      </c>
      <c r="P89" s="1"/>
      <c r="Q89" s="3"/>
    </row>
    <row r="90" spans="1:17" x14ac:dyDescent="0.25">
      <c r="A90" s="48" t="s">
        <v>60</v>
      </c>
      <c r="B90" s="6">
        <v>16496370</v>
      </c>
      <c r="C90" s="2">
        <v>1144591.294</v>
      </c>
      <c r="D90" s="2">
        <v>1015103.3354000001</v>
      </c>
      <c r="E90" s="2">
        <v>1196568.4654000001</v>
      </c>
      <c r="F90" s="2">
        <v>983090.61620000005</v>
      </c>
      <c r="G90" s="2">
        <v>1151226.2762</v>
      </c>
      <c r="H90" s="2">
        <v>2045664.9752000002</v>
      </c>
      <c r="I90" s="2">
        <v>1314613.54024</v>
      </c>
      <c r="J90" s="2">
        <v>1483923.9183999998</v>
      </c>
      <c r="K90" s="2">
        <v>1345253.6635999999</v>
      </c>
      <c r="L90" s="2">
        <v>1395765.9731400001</v>
      </c>
      <c r="M90" s="2">
        <v>1176695.3198000002</v>
      </c>
      <c r="N90" s="2">
        <v>2243872.6224199971</v>
      </c>
      <c r="O90" s="6">
        <f t="shared" si="11"/>
        <v>16496370</v>
      </c>
      <c r="P90" s="1"/>
      <c r="Q90" s="3"/>
    </row>
    <row r="91" spans="1:17" x14ac:dyDescent="0.25">
      <c r="A91" s="48" t="s">
        <v>61</v>
      </c>
      <c r="B91" s="6">
        <v>29816967</v>
      </c>
      <c r="C91" s="2">
        <v>3253318.3450000002</v>
      </c>
      <c r="D91" s="2">
        <v>2134455.1140000001</v>
      </c>
      <c r="E91" s="2">
        <v>2861767.2239999999</v>
      </c>
      <c r="F91" s="2">
        <v>2377487.9920000001</v>
      </c>
      <c r="G91" s="2">
        <v>2201219.3200000003</v>
      </c>
      <c r="H91" s="2">
        <v>2796537.3679999998</v>
      </c>
      <c r="I91" s="2">
        <v>2621576.9480000003</v>
      </c>
      <c r="J91" s="2">
        <v>2328195.8720000004</v>
      </c>
      <c r="K91" s="2">
        <v>2336668.7170000002</v>
      </c>
      <c r="L91" s="2">
        <v>2169905.86</v>
      </c>
      <c r="M91" s="2">
        <v>2077217.446</v>
      </c>
      <c r="N91" s="2">
        <v>2658616.7939999998</v>
      </c>
      <c r="O91" s="6">
        <f t="shared" si="11"/>
        <v>29816967</v>
      </c>
      <c r="P91" s="1"/>
      <c r="Q91" s="3"/>
    </row>
    <row r="92" spans="1:17" x14ac:dyDescent="0.25">
      <c r="A92" s="48" t="s">
        <v>62</v>
      </c>
      <c r="B92" s="6">
        <v>50345268</v>
      </c>
      <c r="C92" s="2">
        <v>3579048.0959999999</v>
      </c>
      <c r="D92" s="2">
        <v>3235334.0759999999</v>
      </c>
      <c r="E92" s="2">
        <v>3725365.2591999993</v>
      </c>
      <c r="F92" s="2">
        <v>4171288.8360000001</v>
      </c>
      <c r="G92" s="2">
        <v>4137465.6959999995</v>
      </c>
      <c r="H92" s="2">
        <v>4164589.3119999999</v>
      </c>
      <c r="I92" s="2">
        <v>4258646.2256000005</v>
      </c>
      <c r="J92" s="2">
        <v>5026331.5855999989</v>
      </c>
      <c r="K92" s="2">
        <v>4735648.5696</v>
      </c>
      <c r="L92" s="2">
        <v>3537577.8775999993</v>
      </c>
      <c r="M92" s="2">
        <v>4070512.42</v>
      </c>
      <c r="N92" s="2">
        <v>5703460.0464000069</v>
      </c>
      <c r="O92" s="6">
        <f t="shared" si="11"/>
        <v>50345268</v>
      </c>
      <c r="P92" s="1"/>
      <c r="Q92" s="3"/>
    </row>
    <row r="93" spans="1:17" x14ac:dyDescent="0.25">
      <c r="A93" s="48" t="s">
        <v>63</v>
      </c>
      <c r="B93" s="6">
        <v>23270186</v>
      </c>
      <c r="C93" s="2">
        <v>1480548.801</v>
      </c>
      <c r="D93" s="2">
        <v>1120926.8247</v>
      </c>
      <c r="E93" s="2">
        <v>1969975.6864</v>
      </c>
      <c r="F93" s="2">
        <v>1732975.963</v>
      </c>
      <c r="G93" s="2">
        <v>1817377.7014000001</v>
      </c>
      <c r="H93" s="2">
        <v>2386070.2642000006</v>
      </c>
      <c r="I93" s="2">
        <v>2422135.98184</v>
      </c>
      <c r="J93" s="2">
        <v>2634827.33</v>
      </c>
      <c r="K93" s="2">
        <v>1722677.2851999998</v>
      </c>
      <c r="L93" s="2">
        <v>1615268.9136000001</v>
      </c>
      <c r="M93" s="2">
        <v>1934689.8523000001</v>
      </c>
      <c r="N93" s="2">
        <v>2432711.3963599992</v>
      </c>
      <c r="O93" s="6">
        <f t="shared" si="11"/>
        <v>23270186</v>
      </c>
      <c r="P93" s="1"/>
      <c r="Q93" s="3"/>
    </row>
    <row r="94" spans="1:17" x14ac:dyDescent="0.25">
      <c r="A94" s="48" t="s">
        <v>64</v>
      </c>
      <c r="B94" s="6">
        <v>15226189</v>
      </c>
      <c r="C94" s="2">
        <v>946809.10800000001</v>
      </c>
      <c r="D94" s="2">
        <v>819809.1540000001</v>
      </c>
      <c r="E94" s="2">
        <v>996402.49200000009</v>
      </c>
      <c r="F94" s="2">
        <v>979786.58400000003</v>
      </c>
      <c r="G94" s="2">
        <v>1042006.7879999999</v>
      </c>
      <c r="H94" s="2">
        <v>1194642.5183999999</v>
      </c>
      <c r="I94" s="2">
        <v>1291093.1603999999</v>
      </c>
      <c r="J94" s="2">
        <v>1609348.4460000002</v>
      </c>
      <c r="K94" s="2">
        <v>1227078.99</v>
      </c>
      <c r="L94" s="2">
        <v>1381277.6640000001</v>
      </c>
      <c r="M94" s="2">
        <v>1344318.2927999999</v>
      </c>
      <c r="N94" s="2">
        <v>2393615.8023999981</v>
      </c>
      <c r="O94" s="6">
        <f t="shared" si="11"/>
        <v>15226189</v>
      </c>
      <c r="P94" s="1"/>
      <c r="Q94" s="3"/>
    </row>
    <row r="95" spans="1:17" x14ac:dyDescent="0.25">
      <c r="A95" s="48" t="s">
        <v>65</v>
      </c>
      <c r="B95" s="6">
        <v>47146891</v>
      </c>
      <c r="C95" s="2">
        <v>2594653.3997499999</v>
      </c>
      <c r="D95" s="2">
        <v>3380104.5153999995</v>
      </c>
      <c r="E95" s="2">
        <v>4372004.983</v>
      </c>
      <c r="F95" s="2">
        <v>3575705.7202999997</v>
      </c>
      <c r="G95" s="2">
        <v>3933488.4872999997</v>
      </c>
      <c r="H95" s="2">
        <v>3566636.6009999998</v>
      </c>
      <c r="I95" s="2">
        <v>3565188.5466999998</v>
      </c>
      <c r="J95" s="2">
        <v>4170204.9482499999</v>
      </c>
      <c r="K95" s="2">
        <v>3886816.76315</v>
      </c>
      <c r="L95" s="2">
        <v>4135070.4879000001</v>
      </c>
      <c r="M95" s="2">
        <v>3791453.5508000003</v>
      </c>
      <c r="N95" s="2">
        <v>6175562.9964499995</v>
      </c>
      <c r="O95" s="6">
        <f t="shared" si="11"/>
        <v>47146891</v>
      </c>
      <c r="P95" s="1"/>
      <c r="Q95" s="3"/>
    </row>
    <row r="96" spans="1:17" x14ac:dyDescent="0.25">
      <c r="A96" s="48" t="s">
        <v>66</v>
      </c>
      <c r="B96" s="6">
        <v>12000000</v>
      </c>
      <c r="C96" s="2">
        <v>1004313.1375</v>
      </c>
      <c r="D96" s="2">
        <v>1004313.1375</v>
      </c>
      <c r="E96" s="2">
        <v>1004313.1375</v>
      </c>
      <c r="F96" s="2">
        <v>1004313.1375</v>
      </c>
      <c r="G96" s="2">
        <v>1004313.1375</v>
      </c>
      <c r="H96" s="2">
        <v>1004313.1375</v>
      </c>
      <c r="I96" s="2">
        <v>1004313.1375</v>
      </c>
      <c r="J96" s="2">
        <v>1004313.1375</v>
      </c>
      <c r="K96" s="2">
        <v>1004313.1375</v>
      </c>
      <c r="L96" s="2">
        <v>1004313.1375</v>
      </c>
      <c r="M96" s="2">
        <v>674687.9</v>
      </c>
      <c r="N96" s="2">
        <v>1282180.7249999996</v>
      </c>
      <c r="O96" s="6">
        <f t="shared" si="11"/>
        <v>12000000</v>
      </c>
      <c r="P96" s="1"/>
      <c r="Q96" s="3"/>
    </row>
    <row r="97" spans="1:17" x14ac:dyDescent="0.25">
      <c r="A97" s="48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6"/>
      <c r="Q97" s="3"/>
    </row>
    <row r="98" spans="1:17" x14ac:dyDescent="0.25">
      <c r="A98" s="48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6"/>
    </row>
    <row r="99" spans="1:17" x14ac:dyDescent="0.25">
      <c r="A99" s="8" t="s">
        <v>11</v>
      </c>
      <c r="B99" s="12">
        <f>SUM(B84:B98)</f>
        <v>389534362</v>
      </c>
      <c r="C99" s="13">
        <f>SUM(C84:C98)</f>
        <v>30399494.42275</v>
      </c>
      <c r="D99" s="13">
        <f t="shared" ref="D99:N99" si="12">SUM(D84:D98)</f>
        <v>26960974.184999999</v>
      </c>
      <c r="E99" s="13">
        <f t="shared" si="12"/>
        <v>33543807.408099998</v>
      </c>
      <c r="F99" s="13">
        <f t="shared" si="12"/>
        <v>29567325.732999995</v>
      </c>
      <c r="G99" s="13">
        <f t="shared" si="12"/>
        <v>30540208.6866</v>
      </c>
      <c r="H99" s="13">
        <f t="shared" si="12"/>
        <v>31847626.063500002</v>
      </c>
      <c r="I99" s="13">
        <f t="shared" si="12"/>
        <v>31899074.962879997</v>
      </c>
      <c r="J99" s="13">
        <f t="shared" si="12"/>
        <v>35667280.611749999</v>
      </c>
      <c r="K99" s="13">
        <f t="shared" si="12"/>
        <v>31261048.659049995</v>
      </c>
      <c r="L99" s="13">
        <f t="shared" si="12"/>
        <v>29701417.081239998</v>
      </c>
      <c r="M99" s="13">
        <f t="shared" si="12"/>
        <v>30717459.304699991</v>
      </c>
      <c r="N99" s="13">
        <f t="shared" si="12"/>
        <v>47428644.88143</v>
      </c>
      <c r="O99" s="12">
        <f t="shared" ref="O99" si="13">SUM(O84:O96)</f>
        <v>389534362</v>
      </c>
    </row>
    <row r="100" spans="1:17" ht="15.75" thickBot="1" x14ac:dyDescent="0.3"/>
    <row r="101" spans="1:17" ht="16.5" thickBot="1" x14ac:dyDescent="0.3">
      <c r="A101" s="53" t="s">
        <v>67</v>
      </c>
      <c r="B101" s="14">
        <f>B99+B81+B59+B40+B21</f>
        <v>2380216860.3754997</v>
      </c>
      <c r="C101" s="14">
        <f t="shared" ref="C101:O101" si="14">C99+C81+C59+C40+C21</f>
        <v>185696796.23401204</v>
      </c>
      <c r="D101" s="14">
        <f t="shared" si="14"/>
        <v>160264021.76556948</v>
      </c>
      <c r="E101" s="14">
        <f t="shared" si="14"/>
        <v>195864186.90163201</v>
      </c>
      <c r="F101" s="14">
        <f t="shared" si="14"/>
        <v>191631092.53319201</v>
      </c>
      <c r="G101" s="14">
        <f t="shared" si="14"/>
        <v>199357918.32247305</v>
      </c>
      <c r="H101" s="14">
        <f t="shared" si="14"/>
        <v>186246274.13377309</v>
      </c>
      <c r="I101" s="14">
        <f t="shared" si="14"/>
        <v>182535740.49199742</v>
      </c>
      <c r="J101" s="14">
        <f t="shared" si="14"/>
        <v>198962159.02407083</v>
      </c>
      <c r="K101" s="14">
        <f t="shared" si="14"/>
        <v>197894152.45604914</v>
      </c>
      <c r="L101" s="14">
        <f t="shared" si="14"/>
        <v>188704061.00910023</v>
      </c>
      <c r="M101" s="14">
        <f t="shared" si="14"/>
        <v>207683663.09794688</v>
      </c>
      <c r="N101" s="14">
        <f t="shared" si="14"/>
        <v>285376794.40568376</v>
      </c>
      <c r="O101" s="14">
        <f t="shared" si="14"/>
        <v>2380216860.3754997</v>
      </c>
    </row>
    <row r="102" spans="1:17" s="7" customFormat="1" ht="15.75" x14ac:dyDescent="0.25">
      <c r="A102" s="5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7" ht="15.75" thickBot="1" x14ac:dyDescent="0.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</row>
    <row r="104" spans="1:17" x14ac:dyDescent="0.25">
      <c r="A104" s="55" t="s">
        <v>87</v>
      </c>
      <c r="B104" s="17"/>
      <c r="C104" s="18"/>
      <c r="D104" s="41"/>
      <c r="E104" s="41"/>
      <c r="F104" s="32"/>
      <c r="G104" s="42"/>
      <c r="H104" s="41"/>
      <c r="I104" s="42"/>
      <c r="J104" s="36" t="s">
        <v>88</v>
      </c>
      <c r="K104" s="37"/>
      <c r="L104" s="38" t="s">
        <v>89</v>
      </c>
      <c r="M104" s="37"/>
      <c r="N104" s="38" t="s">
        <v>90</v>
      </c>
      <c r="O104" s="18"/>
    </row>
    <row r="105" spans="1:17" x14ac:dyDescent="0.25">
      <c r="A105" s="56"/>
      <c r="B105" s="19"/>
      <c r="C105" s="21"/>
      <c r="D105" s="31"/>
      <c r="E105" s="31"/>
      <c r="F105" s="33"/>
      <c r="G105" s="43"/>
      <c r="H105" s="31"/>
      <c r="I105" s="43"/>
      <c r="J105" s="19"/>
      <c r="K105" s="35"/>
      <c r="L105" s="34"/>
      <c r="M105" s="35"/>
      <c r="N105" s="34"/>
      <c r="O105" s="21"/>
    </row>
    <row r="106" spans="1:17" x14ac:dyDescent="0.25">
      <c r="A106" s="56"/>
      <c r="B106" s="19"/>
      <c r="C106" s="21"/>
      <c r="D106" s="31"/>
      <c r="E106" s="31"/>
      <c r="F106" s="33"/>
      <c r="G106" s="43"/>
      <c r="H106" s="31"/>
      <c r="I106" s="43"/>
      <c r="J106" s="19"/>
      <c r="K106" s="35"/>
      <c r="L106" s="34"/>
      <c r="M106" s="35"/>
      <c r="N106" s="34"/>
      <c r="O106" s="21"/>
    </row>
    <row r="107" spans="1:17" x14ac:dyDescent="0.25">
      <c r="A107" s="56"/>
      <c r="B107" s="19"/>
      <c r="C107" s="21"/>
      <c r="D107" s="31"/>
      <c r="E107" s="31"/>
      <c r="F107" s="33"/>
      <c r="G107" s="43"/>
      <c r="H107" s="31"/>
      <c r="I107" s="43"/>
      <c r="J107" s="19"/>
      <c r="K107" s="35"/>
      <c r="L107" s="34"/>
      <c r="M107" s="35"/>
      <c r="N107" s="34"/>
      <c r="O107" s="21"/>
    </row>
    <row r="108" spans="1:17" x14ac:dyDescent="0.25">
      <c r="A108" s="57" t="s">
        <v>91</v>
      </c>
      <c r="B108" s="22" t="s">
        <v>98</v>
      </c>
      <c r="C108" s="24"/>
      <c r="D108" s="23" t="s">
        <v>102</v>
      </c>
      <c r="E108" s="31"/>
      <c r="F108" s="22" t="s">
        <v>92</v>
      </c>
      <c r="G108" s="43"/>
      <c r="H108" s="23" t="s">
        <v>99</v>
      </c>
      <c r="I108" s="43"/>
      <c r="J108" s="19"/>
      <c r="K108" s="35"/>
      <c r="L108" s="34"/>
      <c r="M108" s="35"/>
      <c r="N108" s="34"/>
      <c r="O108" s="21"/>
    </row>
    <row r="109" spans="1:17" ht="15.75" thickBot="1" x14ac:dyDescent="0.3">
      <c r="A109" s="58" t="s">
        <v>93</v>
      </c>
      <c r="B109" s="27" t="s">
        <v>100</v>
      </c>
      <c r="C109" s="26"/>
      <c r="D109" s="25" t="s">
        <v>103</v>
      </c>
      <c r="E109" s="44"/>
      <c r="F109" s="27" t="s">
        <v>94</v>
      </c>
      <c r="G109" s="45"/>
      <c r="H109" s="25" t="s">
        <v>101</v>
      </c>
      <c r="I109" s="45"/>
      <c r="J109" s="27" t="s">
        <v>95</v>
      </c>
      <c r="K109" s="39"/>
      <c r="L109" s="40" t="s">
        <v>96</v>
      </c>
      <c r="M109" s="39"/>
      <c r="N109" s="40" t="s">
        <v>97</v>
      </c>
      <c r="O109" s="26"/>
    </row>
    <row r="110" spans="1:17" ht="15.75" thickBot="1" x14ac:dyDescent="0.3">
      <c r="A110" s="59"/>
      <c r="B110" s="28"/>
      <c r="C110" s="28"/>
      <c r="D110" s="31"/>
      <c r="I110" s="31"/>
      <c r="J110" s="20"/>
      <c r="K110" s="20"/>
      <c r="L110" s="20"/>
      <c r="M110" s="20"/>
      <c r="N110" s="20"/>
      <c r="O110" s="20"/>
    </row>
    <row r="111" spans="1:17" ht="27" thickBot="1" x14ac:dyDescent="0.3">
      <c r="A111" s="59"/>
      <c r="B111" s="28"/>
      <c r="C111" s="28"/>
      <c r="D111" s="31"/>
      <c r="J111" s="63" t="s">
        <v>104</v>
      </c>
      <c r="K111" s="64"/>
      <c r="L111" s="64"/>
      <c r="M111" s="64"/>
      <c r="N111" s="64"/>
      <c r="O111" s="65"/>
    </row>
    <row r="112" spans="1:17" x14ac:dyDescent="0.25">
      <c r="A112" s="59"/>
      <c r="B112" s="28"/>
      <c r="C112" s="28"/>
      <c r="D112" s="20"/>
      <c r="E112" s="30"/>
      <c r="F112" s="30"/>
      <c r="G112" s="30"/>
      <c r="H112" s="30"/>
      <c r="I112" s="29"/>
    </row>
    <row r="113" spans="1:9" x14ac:dyDescent="0.25">
      <c r="C113" s="23"/>
      <c r="D113" s="20"/>
      <c r="E113" s="30"/>
      <c r="F113" s="20"/>
      <c r="G113" s="30"/>
      <c r="H113" s="30"/>
      <c r="I113" s="29"/>
    </row>
    <row r="114" spans="1:9" x14ac:dyDescent="0.25">
      <c r="C114" s="23"/>
      <c r="D114" s="20"/>
      <c r="E114" s="30"/>
      <c r="F114" s="30"/>
      <c r="G114" s="30"/>
      <c r="H114" s="30"/>
      <c r="I114" s="29"/>
    </row>
    <row r="115" spans="1:9" x14ac:dyDescent="0.25">
      <c r="A115" s="60"/>
      <c r="B115" s="20"/>
      <c r="C115" s="20"/>
      <c r="D115" s="20"/>
      <c r="E115" s="29"/>
      <c r="F115" s="29"/>
      <c r="G115" s="29"/>
      <c r="H115" s="29"/>
    </row>
    <row r="116" spans="1:9" x14ac:dyDescent="0.25">
      <c r="A116" s="60"/>
      <c r="B116" s="20"/>
      <c r="C116" s="20"/>
      <c r="D116" s="20"/>
      <c r="E116" s="29"/>
      <c r="F116" s="29"/>
      <c r="G116" s="29"/>
      <c r="H116" s="29"/>
      <c r="I116" s="29"/>
    </row>
    <row r="117" spans="1:9" x14ac:dyDescent="0.25">
      <c r="A117" s="60"/>
      <c r="B117" s="20"/>
      <c r="C117" s="20"/>
      <c r="D117" s="20"/>
      <c r="E117" s="29"/>
      <c r="F117" s="29"/>
      <c r="G117" s="29"/>
      <c r="H117" s="29"/>
      <c r="I117" s="29"/>
    </row>
    <row r="118" spans="1:9" x14ac:dyDescent="0.25">
      <c r="A118" s="60"/>
      <c r="B118" s="20"/>
      <c r="C118" s="20"/>
      <c r="D118" s="20"/>
      <c r="E118" s="29"/>
      <c r="G118" s="1"/>
      <c r="H118" s="29"/>
    </row>
    <row r="119" spans="1:9" x14ac:dyDescent="0.25">
      <c r="B119" s="20"/>
      <c r="C119" s="20"/>
      <c r="D119" s="20"/>
      <c r="E119" s="29"/>
      <c r="G119" s="1"/>
      <c r="H119" s="29"/>
      <c r="I119" s="29"/>
    </row>
    <row r="120" spans="1:9" x14ac:dyDescent="0.25">
      <c r="B120" s="20"/>
      <c r="C120" s="20"/>
      <c r="D120" s="20"/>
      <c r="E120" s="29"/>
      <c r="G120" s="1"/>
      <c r="H120" s="29"/>
      <c r="I120" s="29"/>
    </row>
    <row r="121" spans="1:9" x14ac:dyDescent="0.25">
      <c r="A121" s="61"/>
      <c r="B121" s="31"/>
      <c r="C121" s="31"/>
      <c r="D121" s="31"/>
    </row>
  </sheetData>
  <mergeCells count="15">
    <mergeCell ref="B4:B5"/>
    <mergeCell ref="C4:C5"/>
    <mergeCell ref="D4:D5"/>
    <mergeCell ref="E4:E5"/>
    <mergeCell ref="F4:F5"/>
    <mergeCell ref="G4:G5"/>
    <mergeCell ref="J111:O111"/>
    <mergeCell ref="N4:N5"/>
    <mergeCell ref="O4:O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pageSetup paperSize="5" scale="6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 Goal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nortan</dc:creator>
  <cp:lastModifiedBy>Michael Cuison</cp:lastModifiedBy>
  <cp:lastPrinted>2019-01-23T09:33:29Z</cp:lastPrinted>
  <dcterms:created xsi:type="dcterms:W3CDTF">2018-12-18T07:50:45Z</dcterms:created>
  <dcterms:modified xsi:type="dcterms:W3CDTF">2019-04-11T08:37:11Z</dcterms:modified>
</cp:coreProperties>
</file>