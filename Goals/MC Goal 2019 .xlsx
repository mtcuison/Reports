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15" windowWidth="19440" windowHeight="7395"/>
  </bookViews>
  <sheets>
    <sheet name="GM" sheetId="12" r:id="rId1"/>
    <sheet name="A1" sheetId="1" r:id="rId2"/>
    <sheet name="A2" sheetId="9" r:id="rId3"/>
    <sheet name="A3" sheetId="15" r:id="rId4"/>
    <sheet name="A4" sheetId="5" r:id="rId5"/>
    <sheet name="A5" sheetId="6" r:id="rId6"/>
    <sheet name="A6" sheetId="7" r:id="rId7"/>
    <sheet name="A7" sheetId="8" r:id="rId8"/>
    <sheet name="A8" sheetId="3" r:id="rId9"/>
    <sheet name="A9" sheetId="4" r:id="rId10"/>
    <sheet name="A10" sheetId="2" r:id="rId11"/>
    <sheet name="A11" sheetId="11" r:id="rId12"/>
    <sheet name="A12" sheetId="10" r:id="rId13"/>
    <sheet name="A13" sheetId="13" r:id="rId14"/>
    <sheet name="Daet CN" sheetId="16" r:id="rId15"/>
  </sheets>
  <calcPr calcId="144525"/>
</workbook>
</file>

<file path=xl/calcChain.xml><?xml version="1.0" encoding="utf-8"?>
<calcChain xmlns="http://schemas.openxmlformats.org/spreadsheetml/2006/main">
  <c r="M19" i="6" l="1"/>
  <c r="R18" i="6"/>
  <c r="S18" i="6"/>
  <c r="O18" i="6"/>
  <c r="L19" i="6"/>
  <c r="K19" i="6"/>
  <c r="J19" i="6"/>
  <c r="Q18" i="6"/>
  <c r="I19" i="6"/>
  <c r="H19" i="6"/>
  <c r="G19" i="6"/>
  <c r="P18" i="6"/>
  <c r="F19" i="6"/>
  <c r="E19" i="6"/>
  <c r="D19" i="6"/>
  <c r="C19" i="6"/>
  <c r="B19" i="6"/>
  <c r="M27" i="5"/>
  <c r="R26" i="5"/>
  <c r="S26" i="5"/>
  <c r="O26" i="5"/>
  <c r="L27" i="5"/>
  <c r="K27" i="5"/>
  <c r="J27" i="5"/>
  <c r="Q26" i="5"/>
  <c r="I27" i="5"/>
  <c r="H27" i="5"/>
  <c r="G27" i="5"/>
  <c r="P26" i="5"/>
  <c r="F27" i="5"/>
  <c r="E27" i="5"/>
  <c r="D27" i="5"/>
  <c r="C27" i="5"/>
  <c r="B27" i="5"/>
  <c r="M19" i="15"/>
  <c r="R18" i="15"/>
  <c r="R19" i="15"/>
  <c r="S18" i="15"/>
  <c r="S19" i="15" s="1"/>
  <c r="L19" i="15"/>
  <c r="K19" i="15"/>
  <c r="J19" i="15"/>
  <c r="Q18" i="15"/>
  <c r="Q19" i="15"/>
  <c r="I19" i="15"/>
  <c r="H19" i="15"/>
  <c r="G19" i="15"/>
  <c r="P18" i="15"/>
  <c r="P19" i="15"/>
  <c r="F19" i="15"/>
  <c r="E19" i="15"/>
  <c r="D19" i="15"/>
  <c r="O18" i="15"/>
  <c r="O19" i="15"/>
  <c r="C19" i="15"/>
  <c r="B19" i="15"/>
  <c r="C28" i="5" l="1"/>
  <c r="D28" i="5"/>
  <c r="E28" i="5"/>
  <c r="F28" i="5"/>
  <c r="G28" i="5"/>
  <c r="H28" i="5"/>
  <c r="I28" i="5"/>
  <c r="J28" i="5"/>
  <c r="K28" i="5"/>
  <c r="L28" i="5"/>
  <c r="M28" i="5"/>
  <c r="B28" i="5"/>
  <c r="R20" i="5"/>
  <c r="R21" i="5"/>
  <c r="R22" i="5"/>
  <c r="R23" i="5"/>
  <c r="R24" i="5"/>
  <c r="R25" i="5"/>
  <c r="Q20" i="5"/>
  <c r="Q21" i="5"/>
  <c r="Q22" i="5"/>
  <c r="Q23" i="5"/>
  <c r="Q24" i="5"/>
  <c r="Q25" i="5"/>
  <c r="P20" i="5"/>
  <c r="P21" i="5"/>
  <c r="P22" i="5"/>
  <c r="P23" i="5"/>
  <c r="P24" i="5"/>
  <c r="P25" i="5"/>
  <c r="O20" i="5"/>
  <c r="O21" i="5"/>
  <c r="S21" i="5" s="1"/>
  <c r="O22" i="5"/>
  <c r="O23" i="5"/>
  <c r="O24" i="5"/>
  <c r="O25" i="5"/>
  <c r="S24" i="5" l="1"/>
  <c r="S23" i="5"/>
  <c r="S25" i="5"/>
  <c r="S20" i="5"/>
  <c r="S22" i="5"/>
  <c r="R17" i="6" l="1"/>
  <c r="Q17" i="6"/>
  <c r="P17" i="6"/>
  <c r="O17" i="6"/>
  <c r="S17" i="6" l="1"/>
  <c r="R7" i="6" l="1"/>
  <c r="R8" i="6"/>
  <c r="R9" i="6"/>
  <c r="R10" i="6"/>
  <c r="R11" i="6"/>
  <c r="R12" i="6"/>
  <c r="R13" i="6"/>
  <c r="R14" i="6"/>
  <c r="R15" i="6"/>
  <c r="R16" i="6"/>
  <c r="Q7" i="6"/>
  <c r="Q8" i="6"/>
  <c r="Q9" i="6"/>
  <c r="Q10" i="6"/>
  <c r="Q11" i="6"/>
  <c r="Q12" i="6"/>
  <c r="Q13" i="6"/>
  <c r="Q14" i="6"/>
  <c r="Q15" i="6"/>
  <c r="Q16" i="6"/>
  <c r="P7" i="6"/>
  <c r="P8" i="6"/>
  <c r="P9" i="6"/>
  <c r="P10" i="6"/>
  <c r="P11" i="6"/>
  <c r="P12" i="6"/>
  <c r="P13" i="6"/>
  <c r="P14" i="6"/>
  <c r="P15" i="6"/>
  <c r="P16" i="6"/>
  <c r="O7" i="6"/>
  <c r="O8" i="6"/>
  <c r="O9" i="6"/>
  <c r="S9" i="6" s="1"/>
  <c r="O10" i="6"/>
  <c r="S10" i="6" s="1"/>
  <c r="O11" i="6"/>
  <c r="O12" i="6"/>
  <c r="O13" i="6"/>
  <c r="O14" i="6"/>
  <c r="S14" i="6" s="1"/>
  <c r="O15" i="6"/>
  <c r="O16" i="6"/>
  <c r="R6" i="6"/>
  <c r="Q6" i="6"/>
  <c r="P6" i="6"/>
  <c r="O6" i="6"/>
  <c r="S13" i="6" l="1"/>
  <c r="S16" i="6"/>
  <c r="S12" i="6"/>
  <c r="S8" i="6"/>
  <c r="S15" i="6"/>
  <c r="S11" i="6"/>
  <c r="S7" i="6"/>
  <c r="S6" i="6"/>
  <c r="R14" i="7" l="1"/>
  <c r="Q14" i="7"/>
  <c r="P14" i="7"/>
  <c r="O14" i="7"/>
  <c r="S14" i="7" l="1"/>
  <c r="R19" i="8" l="1"/>
  <c r="S19" i="8" s="1"/>
  <c r="Q19" i="8"/>
  <c r="P19" i="8"/>
  <c r="O19" i="8"/>
  <c r="M12" i="12" l="1"/>
  <c r="J12" i="12"/>
  <c r="G12" i="12"/>
  <c r="F12" i="12"/>
  <c r="E12" i="12"/>
  <c r="D12" i="12"/>
  <c r="B12" i="12"/>
  <c r="R7" i="15" l="1"/>
  <c r="R8" i="15"/>
  <c r="R9" i="15"/>
  <c r="R10" i="15"/>
  <c r="R11" i="15"/>
  <c r="R12" i="15"/>
  <c r="R13" i="15"/>
  <c r="R14" i="15"/>
  <c r="R15" i="15"/>
  <c r="R16" i="15"/>
  <c r="R17" i="15"/>
  <c r="Q7" i="15"/>
  <c r="Q8" i="15"/>
  <c r="Q9" i="15"/>
  <c r="Q10" i="15"/>
  <c r="Q11" i="15"/>
  <c r="Q12" i="15"/>
  <c r="Q13" i="15"/>
  <c r="Q14" i="15"/>
  <c r="Q15" i="15"/>
  <c r="Q16" i="15"/>
  <c r="Q17" i="15"/>
  <c r="P7" i="15"/>
  <c r="P8" i="15"/>
  <c r="P9" i="15"/>
  <c r="P10" i="15"/>
  <c r="P11" i="15"/>
  <c r="P12" i="15"/>
  <c r="P13" i="15"/>
  <c r="P14" i="15"/>
  <c r="P15" i="15"/>
  <c r="P16" i="15"/>
  <c r="P17" i="15"/>
  <c r="O7" i="15"/>
  <c r="O8" i="15"/>
  <c r="O9" i="15"/>
  <c r="O10" i="15"/>
  <c r="O11" i="15"/>
  <c r="O12" i="15"/>
  <c r="O13" i="15"/>
  <c r="O14" i="15"/>
  <c r="O15" i="15"/>
  <c r="O16" i="15"/>
  <c r="O17" i="15"/>
  <c r="R6" i="15"/>
  <c r="Q6" i="15"/>
  <c r="P6" i="15"/>
  <c r="O6" i="15"/>
  <c r="R23" i="12" l="1"/>
  <c r="Q23" i="12"/>
  <c r="P23" i="12"/>
  <c r="O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M16" i="16"/>
  <c r="M17" i="16" s="1"/>
  <c r="L16" i="16"/>
  <c r="L17" i="16" s="1"/>
  <c r="K16" i="16"/>
  <c r="K17" i="16" s="1"/>
  <c r="J16" i="16"/>
  <c r="J17" i="16" s="1"/>
  <c r="I16" i="16"/>
  <c r="I17" i="16" s="1"/>
  <c r="H16" i="16"/>
  <c r="G16" i="16"/>
  <c r="G17" i="16" s="1"/>
  <c r="F16" i="16"/>
  <c r="F17" i="16" s="1"/>
  <c r="E16" i="16"/>
  <c r="E17" i="16" s="1"/>
  <c r="D16" i="16"/>
  <c r="D17" i="16" s="1"/>
  <c r="C16" i="16"/>
  <c r="C17" i="16" s="1"/>
  <c r="B16" i="16"/>
  <c r="B17" i="16" s="1"/>
  <c r="R11" i="16"/>
  <c r="Q11" i="16"/>
  <c r="P11" i="16"/>
  <c r="O11" i="16"/>
  <c r="S11" i="16" s="1"/>
  <c r="R10" i="16"/>
  <c r="Q10" i="16"/>
  <c r="P10" i="16"/>
  <c r="O10" i="16"/>
  <c r="S10" i="16" s="1"/>
  <c r="R9" i="16"/>
  <c r="Q9" i="16"/>
  <c r="P9" i="16"/>
  <c r="O9" i="16"/>
  <c r="S9" i="16" s="1"/>
  <c r="R8" i="16"/>
  <c r="Q8" i="16"/>
  <c r="P8" i="16"/>
  <c r="O8" i="16"/>
  <c r="S8" i="16" s="1"/>
  <c r="R7" i="16"/>
  <c r="Q7" i="16"/>
  <c r="P7" i="16"/>
  <c r="O7" i="16"/>
  <c r="R6" i="16"/>
  <c r="Q6" i="16"/>
  <c r="P6" i="16"/>
  <c r="O6" i="16"/>
  <c r="S23" i="12" l="1"/>
  <c r="Q16" i="16"/>
  <c r="S7" i="16"/>
  <c r="P17" i="16"/>
  <c r="H17" i="16"/>
  <c r="Q17" i="16" s="1"/>
  <c r="O17" i="16"/>
  <c r="S6" i="16"/>
  <c r="R17" i="16"/>
  <c r="R16" i="16"/>
  <c r="O16" i="16"/>
  <c r="P16" i="16"/>
  <c r="R11" i="13"/>
  <c r="S11" i="13" s="1"/>
  <c r="Q11" i="13"/>
  <c r="P11" i="13"/>
  <c r="O11" i="13"/>
  <c r="R10" i="13"/>
  <c r="S10" i="13" s="1"/>
  <c r="Q10" i="13"/>
  <c r="P10" i="13"/>
  <c r="O10" i="13"/>
  <c r="S9" i="13"/>
  <c r="R9" i="13"/>
  <c r="Q9" i="13"/>
  <c r="P9" i="13"/>
  <c r="O9" i="13"/>
  <c r="M17" i="13"/>
  <c r="L17" i="13"/>
  <c r="K17" i="13"/>
  <c r="J17" i="13"/>
  <c r="I17" i="13"/>
  <c r="H17" i="13"/>
  <c r="G17" i="13"/>
  <c r="F17" i="13"/>
  <c r="E17" i="13"/>
  <c r="D17" i="13"/>
  <c r="C17" i="13"/>
  <c r="R8" i="13"/>
  <c r="Q8" i="13"/>
  <c r="P8" i="13"/>
  <c r="O8" i="13"/>
  <c r="S8" i="13" s="1"/>
  <c r="R7" i="13"/>
  <c r="Q7" i="13"/>
  <c r="P7" i="13"/>
  <c r="O7" i="13"/>
  <c r="S7" i="13" s="1"/>
  <c r="R18" i="1"/>
  <c r="S18" i="1" s="1"/>
  <c r="Q18" i="1"/>
  <c r="P18" i="1"/>
  <c r="O18" i="1"/>
  <c r="S17" i="16" l="1"/>
  <c r="O19" i="16" s="1"/>
  <c r="S16" i="16"/>
  <c r="O18" i="16" s="1"/>
  <c r="R18" i="16"/>
  <c r="Q19" i="16"/>
  <c r="R19" i="16"/>
  <c r="P19" i="16"/>
  <c r="P18" i="16"/>
  <c r="S19" i="16" l="1"/>
  <c r="Q18" i="16"/>
  <c r="S18" i="16" s="1"/>
  <c r="U18" i="16" s="1"/>
  <c r="R23" i="3" l="1"/>
  <c r="S23" i="3" s="1"/>
  <c r="Q23" i="3"/>
  <c r="P23" i="3"/>
  <c r="O23" i="3"/>
  <c r="M24" i="3"/>
  <c r="L24" i="3"/>
  <c r="K24" i="3"/>
  <c r="J24" i="3"/>
  <c r="I24" i="3"/>
  <c r="H24" i="3"/>
  <c r="G24" i="3"/>
  <c r="F24" i="3"/>
  <c r="E24" i="3"/>
  <c r="D24" i="3"/>
  <c r="C24" i="3"/>
  <c r="B24" i="3"/>
  <c r="J18" i="12" l="1"/>
  <c r="M21" i="4"/>
  <c r="L21" i="4"/>
  <c r="K21" i="4"/>
  <c r="J21" i="4"/>
  <c r="I21" i="4"/>
  <c r="H21" i="4"/>
  <c r="G21" i="4"/>
  <c r="F21" i="4"/>
  <c r="E21" i="4"/>
  <c r="D21" i="4"/>
  <c r="C21" i="4"/>
  <c r="R17" i="4" l="1"/>
  <c r="Q17" i="4"/>
  <c r="P17" i="4"/>
  <c r="O17" i="4"/>
  <c r="S17" i="4" l="1"/>
  <c r="M23" i="9"/>
  <c r="L23" i="9"/>
  <c r="K23" i="9"/>
  <c r="J23" i="9"/>
  <c r="I23" i="9"/>
  <c r="H23" i="9"/>
  <c r="G23" i="9"/>
  <c r="F23" i="9"/>
  <c r="D23" i="9"/>
  <c r="C23" i="9"/>
  <c r="R18" i="9"/>
  <c r="Q18" i="9"/>
  <c r="P18" i="9"/>
  <c r="S18" i="9" s="1"/>
  <c r="O18" i="9"/>
  <c r="R22" i="3" l="1"/>
  <c r="Q22" i="3"/>
  <c r="P22" i="3"/>
  <c r="O22" i="3"/>
  <c r="S22" i="3" l="1"/>
  <c r="Q15" i="10"/>
  <c r="P15" i="10"/>
  <c r="O15" i="10"/>
  <c r="R15" i="10"/>
  <c r="S15" i="10" l="1"/>
  <c r="H16" i="12"/>
  <c r="R18" i="8"/>
  <c r="Q18" i="8"/>
  <c r="P18" i="8"/>
  <c r="O18" i="8"/>
  <c r="S18" i="8" l="1"/>
  <c r="C19" i="12"/>
  <c r="D19" i="12"/>
  <c r="E19" i="12"/>
  <c r="F19" i="12"/>
  <c r="G19" i="12"/>
  <c r="H19" i="12"/>
  <c r="I19" i="12"/>
  <c r="J19" i="12"/>
  <c r="K19" i="12"/>
  <c r="L19" i="12"/>
  <c r="M19" i="12"/>
  <c r="B19" i="12"/>
  <c r="C18" i="12"/>
  <c r="D18" i="12"/>
  <c r="E18" i="12"/>
  <c r="F18" i="12"/>
  <c r="G18" i="12"/>
  <c r="H18" i="12"/>
  <c r="I18" i="12"/>
  <c r="K18" i="12"/>
  <c r="L18" i="12"/>
  <c r="M18" i="12"/>
  <c r="C17" i="12"/>
  <c r="D17" i="12"/>
  <c r="E17" i="12"/>
  <c r="F17" i="12"/>
  <c r="G17" i="12"/>
  <c r="H17" i="12"/>
  <c r="I17" i="12"/>
  <c r="J17" i="12"/>
  <c r="K17" i="12"/>
  <c r="L17" i="12"/>
  <c r="M17" i="12"/>
  <c r="B17" i="12"/>
  <c r="K16" i="12"/>
  <c r="L16" i="12"/>
  <c r="M16" i="12"/>
  <c r="B16" i="12"/>
  <c r="C15" i="12"/>
  <c r="D15" i="12"/>
  <c r="E15" i="12"/>
  <c r="F15" i="12"/>
  <c r="G15" i="12"/>
  <c r="H15" i="12"/>
  <c r="I15" i="12"/>
  <c r="J15" i="12"/>
  <c r="K15" i="12"/>
  <c r="L15" i="12"/>
  <c r="M15" i="12"/>
  <c r="B15" i="12"/>
  <c r="C11" i="12"/>
  <c r="D11" i="12"/>
  <c r="F11" i="12"/>
  <c r="G11" i="12"/>
  <c r="H11" i="12"/>
  <c r="I11" i="12"/>
  <c r="J11" i="12"/>
  <c r="K11" i="12"/>
  <c r="L11" i="12"/>
  <c r="M11" i="12"/>
  <c r="C10" i="12"/>
  <c r="D10" i="12"/>
  <c r="E10" i="12"/>
  <c r="F10" i="12"/>
  <c r="G10" i="12"/>
  <c r="H10" i="12"/>
  <c r="I10" i="12"/>
  <c r="J10" i="12"/>
  <c r="K10" i="12"/>
  <c r="L10" i="12"/>
  <c r="M10" i="12"/>
  <c r="B10" i="12"/>
  <c r="P17" i="12" l="1"/>
  <c r="C14" i="12"/>
  <c r="D14" i="12"/>
  <c r="E14" i="12"/>
  <c r="F14" i="12"/>
  <c r="G14" i="12"/>
  <c r="H14" i="12"/>
  <c r="I14" i="12"/>
  <c r="J14" i="12"/>
  <c r="K14" i="12"/>
  <c r="L14" i="12"/>
  <c r="M14" i="12"/>
  <c r="B14" i="12"/>
  <c r="C20" i="12" l="1"/>
  <c r="D20" i="12"/>
  <c r="E20" i="12"/>
  <c r="F20" i="12"/>
  <c r="G20" i="12"/>
  <c r="H20" i="12"/>
  <c r="I20" i="12"/>
  <c r="J20" i="12"/>
  <c r="K20" i="12"/>
  <c r="L20" i="12"/>
  <c r="M20" i="12"/>
  <c r="B20" i="12"/>
  <c r="C13" i="12"/>
  <c r="D13" i="12"/>
  <c r="E13" i="12"/>
  <c r="F13" i="12"/>
  <c r="G13" i="12"/>
  <c r="H13" i="12"/>
  <c r="I13" i="12"/>
  <c r="J13" i="12"/>
  <c r="K13" i="12"/>
  <c r="L13" i="12"/>
  <c r="M13" i="12"/>
  <c r="B13" i="12"/>
  <c r="R20" i="12" l="1"/>
  <c r="Q20" i="12"/>
  <c r="P20" i="12"/>
  <c r="O20" i="12"/>
  <c r="S7" i="15"/>
  <c r="S8" i="15"/>
  <c r="S9" i="15"/>
  <c r="S10" i="15"/>
  <c r="S11" i="15"/>
  <c r="S12" i="15"/>
  <c r="S13" i="15"/>
  <c r="S14" i="15"/>
  <c r="S15" i="15"/>
  <c r="S16" i="15"/>
  <c r="S17" i="15"/>
  <c r="S6" i="15"/>
  <c r="I20" i="15" l="1"/>
  <c r="I12" i="12" s="1"/>
  <c r="L20" i="15"/>
  <c r="L12" i="12" s="1"/>
  <c r="H20" i="15"/>
  <c r="H12" i="12" s="1"/>
  <c r="C20" i="15"/>
  <c r="C12" i="12" s="1"/>
  <c r="K20" i="15"/>
  <c r="K12" i="12" s="1"/>
  <c r="P20" i="15"/>
  <c r="S20" i="12"/>
  <c r="R20" i="15" l="1"/>
  <c r="O20" i="15"/>
  <c r="Q20" i="15"/>
  <c r="R17" i="13"/>
  <c r="Q17" i="13"/>
  <c r="P17" i="13"/>
  <c r="M16" i="13"/>
  <c r="M22" i="12" s="1"/>
  <c r="L16" i="13"/>
  <c r="L22" i="12" s="1"/>
  <c r="K16" i="13"/>
  <c r="K22" i="12" s="1"/>
  <c r="J16" i="13"/>
  <c r="J22" i="12" s="1"/>
  <c r="I16" i="13"/>
  <c r="I22" i="12" s="1"/>
  <c r="H16" i="13"/>
  <c r="H22" i="12" s="1"/>
  <c r="G16" i="13"/>
  <c r="G22" i="12" s="1"/>
  <c r="F16" i="13"/>
  <c r="F22" i="12" s="1"/>
  <c r="E16" i="13"/>
  <c r="E22" i="12" s="1"/>
  <c r="D16" i="13"/>
  <c r="D22" i="12" s="1"/>
  <c r="C16" i="13"/>
  <c r="C22" i="12" s="1"/>
  <c r="B16" i="13"/>
  <c r="R6" i="13"/>
  <c r="Q6" i="13"/>
  <c r="P6" i="13"/>
  <c r="O6" i="13"/>
  <c r="S20" i="15" l="1"/>
  <c r="Q22" i="15" s="1"/>
  <c r="B22" i="12"/>
  <c r="B17" i="13"/>
  <c r="O17" i="13" s="1"/>
  <c r="S17" i="13" s="1"/>
  <c r="Q19" i="13" s="1"/>
  <c r="S6" i="13"/>
  <c r="P16" i="13"/>
  <c r="R16" i="13"/>
  <c r="O16" i="13"/>
  <c r="Q16" i="13"/>
  <c r="O19" i="5"/>
  <c r="R19" i="5"/>
  <c r="Q19" i="5"/>
  <c r="P19" i="5"/>
  <c r="P22" i="15" l="1"/>
  <c r="O22" i="15"/>
  <c r="R22" i="15"/>
  <c r="S16" i="13"/>
  <c r="P19" i="13"/>
  <c r="O19" i="13"/>
  <c r="R19" i="13"/>
  <c r="S19" i="5"/>
  <c r="R21" i="3"/>
  <c r="Q21" i="3"/>
  <c r="P21" i="3"/>
  <c r="O21" i="3"/>
  <c r="R20" i="3"/>
  <c r="Q20" i="3"/>
  <c r="P20" i="3"/>
  <c r="O20" i="3"/>
  <c r="O16" i="4"/>
  <c r="R16" i="4"/>
  <c r="Q16" i="4"/>
  <c r="P16" i="4"/>
  <c r="S22" i="15" l="1"/>
  <c r="S21" i="3"/>
  <c r="O18" i="13"/>
  <c r="Q18" i="13"/>
  <c r="P18" i="13"/>
  <c r="R18" i="13"/>
  <c r="S19" i="13"/>
  <c r="S16" i="4"/>
  <c r="S20" i="3"/>
  <c r="P17" i="9"/>
  <c r="O17" i="9"/>
  <c r="R17" i="9"/>
  <c r="Q17" i="9"/>
  <c r="S18" i="13" l="1"/>
  <c r="U18" i="13" s="1"/>
  <c r="S17" i="9"/>
  <c r="R13" i="7" l="1"/>
  <c r="Q13" i="7"/>
  <c r="P13" i="7"/>
  <c r="S13" i="7" s="1"/>
  <c r="O13" i="7"/>
  <c r="R12" i="7"/>
  <c r="Q12" i="7"/>
  <c r="P12" i="7"/>
  <c r="O12" i="7"/>
  <c r="S12" i="7" s="1"/>
  <c r="R8" i="11"/>
  <c r="Q8" i="11"/>
  <c r="P8" i="11"/>
  <c r="O8" i="11"/>
  <c r="S8" i="11" l="1"/>
  <c r="R16" i="8"/>
  <c r="Q16" i="8"/>
  <c r="P16" i="8"/>
  <c r="O16" i="8"/>
  <c r="R15" i="8"/>
  <c r="Q15" i="8"/>
  <c r="P15" i="8"/>
  <c r="O15" i="8"/>
  <c r="R17" i="8"/>
  <c r="Q17" i="8"/>
  <c r="P17" i="8"/>
  <c r="O17" i="8"/>
  <c r="R19" i="3"/>
  <c r="Q19" i="3"/>
  <c r="P19" i="3"/>
  <c r="O19" i="3"/>
  <c r="S19" i="3" l="1"/>
  <c r="S17" i="8"/>
  <c r="S16" i="8"/>
  <c r="S15" i="8"/>
  <c r="H19" i="10"/>
  <c r="H20" i="10" s="1"/>
  <c r="H21" i="12" s="1"/>
  <c r="Q14" i="10"/>
  <c r="I19" i="10"/>
  <c r="I20" i="10" s="1"/>
  <c r="I21" i="12" s="1"/>
  <c r="P14" i="10"/>
  <c r="O14" i="10"/>
  <c r="R14" i="10"/>
  <c r="Q15" i="2"/>
  <c r="P15" i="2"/>
  <c r="O15" i="2"/>
  <c r="R15" i="2"/>
  <c r="S14" i="10" l="1"/>
  <c r="S15" i="2"/>
  <c r="O18" i="3"/>
  <c r="R18" i="3"/>
  <c r="Q18" i="3"/>
  <c r="P18" i="3"/>
  <c r="S18" i="3" l="1"/>
  <c r="R13" i="10"/>
  <c r="Q13" i="10"/>
  <c r="P13" i="10"/>
  <c r="O13" i="10"/>
  <c r="S13" i="10" l="1"/>
  <c r="O5" i="12"/>
  <c r="O17" i="12" l="1"/>
  <c r="O15" i="4"/>
  <c r="O14" i="4"/>
  <c r="O13" i="4"/>
  <c r="O12" i="4"/>
  <c r="O11" i="4"/>
  <c r="O10" i="4"/>
  <c r="O7" i="4"/>
  <c r="O9" i="4"/>
  <c r="O14" i="12" l="1"/>
  <c r="O10" i="12" l="1"/>
  <c r="O15" i="12" l="1"/>
  <c r="O13" i="12" l="1"/>
  <c r="O20" i="6"/>
  <c r="R14" i="2" l="1"/>
  <c r="Q14" i="2"/>
  <c r="P14" i="2"/>
  <c r="O14" i="2"/>
  <c r="S14" i="2" l="1"/>
  <c r="R17" i="3"/>
  <c r="Q17" i="3"/>
  <c r="P17" i="3"/>
  <c r="O17" i="3"/>
  <c r="S17" i="3" l="1"/>
  <c r="O28" i="5"/>
  <c r="O19" i="12" l="1"/>
  <c r="O12" i="12" l="1"/>
  <c r="O22" i="12" l="1"/>
  <c r="Q5" i="12" l="1"/>
  <c r="P5" i="12"/>
  <c r="S28" i="12" l="1"/>
  <c r="O13" i="2" l="1"/>
  <c r="O12" i="2"/>
  <c r="O11" i="2"/>
  <c r="O10" i="2"/>
  <c r="O9" i="2"/>
  <c r="O8" i="2"/>
  <c r="O7" i="2"/>
  <c r="O6" i="2"/>
  <c r="R12" i="1" l="1"/>
  <c r="Q12" i="1"/>
  <c r="P12" i="1"/>
  <c r="O12" i="1"/>
  <c r="R16" i="9" l="1"/>
  <c r="Q16" i="9"/>
  <c r="P16" i="9"/>
  <c r="O16" i="9" l="1"/>
  <c r="S16" i="9" s="1"/>
  <c r="R12" i="10" l="1"/>
  <c r="Q12" i="10"/>
  <c r="P12" i="10"/>
  <c r="O12" i="10"/>
  <c r="R16" i="3"/>
  <c r="Q16" i="3"/>
  <c r="P16" i="3"/>
  <c r="O16" i="3"/>
  <c r="R15" i="4"/>
  <c r="Q15" i="4"/>
  <c r="P15" i="4"/>
  <c r="S15" i="4" l="1"/>
  <c r="S16" i="3"/>
  <c r="S12" i="10"/>
  <c r="R18" i="5" l="1"/>
  <c r="Q18" i="5"/>
  <c r="P18" i="5"/>
  <c r="O18" i="5"/>
  <c r="R11" i="5"/>
  <c r="Q11" i="5"/>
  <c r="P11" i="5"/>
  <c r="O11" i="5"/>
  <c r="R13" i="9"/>
  <c r="Q13" i="9"/>
  <c r="P13" i="9"/>
  <c r="O13" i="9"/>
  <c r="S12" i="1"/>
  <c r="S11" i="5" l="1"/>
  <c r="S18" i="5"/>
  <c r="S13" i="9"/>
  <c r="R15" i="3"/>
  <c r="Q15" i="3"/>
  <c r="P15" i="3"/>
  <c r="O15" i="3"/>
  <c r="R14" i="3"/>
  <c r="Q14" i="3"/>
  <c r="P14" i="3"/>
  <c r="O14" i="3"/>
  <c r="R13" i="3"/>
  <c r="Q13" i="3"/>
  <c r="P13" i="3"/>
  <c r="O13" i="3"/>
  <c r="R12" i="3"/>
  <c r="Q12" i="3"/>
  <c r="P12" i="3"/>
  <c r="O12" i="3"/>
  <c r="R11" i="3"/>
  <c r="Q11" i="3"/>
  <c r="P11" i="3"/>
  <c r="O11" i="3"/>
  <c r="R10" i="3"/>
  <c r="Q10" i="3"/>
  <c r="P10" i="3"/>
  <c r="O10" i="3"/>
  <c r="R14" i="8"/>
  <c r="Q14" i="8"/>
  <c r="P14" i="8"/>
  <c r="O14" i="8"/>
  <c r="R13" i="8"/>
  <c r="Q13" i="8"/>
  <c r="P13" i="8"/>
  <c r="O13" i="8"/>
  <c r="R12" i="8"/>
  <c r="Q12" i="8"/>
  <c r="P12" i="8"/>
  <c r="O12" i="8"/>
  <c r="R11" i="8"/>
  <c r="Q11" i="8"/>
  <c r="P11" i="8"/>
  <c r="O11" i="8"/>
  <c r="R10" i="8"/>
  <c r="Q10" i="8"/>
  <c r="P10" i="8"/>
  <c r="O10" i="8"/>
  <c r="R9" i="8"/>
  <c r="Q9" i="8"/>
  <c r="P9" i="8"/>
  <c r="O9" i="8"/>
  <c r="R8" i="8"/>
  <c r="Q8" i="8"/>
  <c r="P8" i="8"/>
  <c r="O8" i="8"/>
  <c r="R7" i="8"/>
  <c r="Q7" i="8"/>
  <c r="P7" i="8"/>
  <c r="O7" i="8"/>
  <c r="R17" i="5"/>
  <c r="Q17" i="5"/>
  <c r="P17" i="5"/>
  <c r="O17" i="5"/>
  <c r="R5" i="12"/>
  <c r="S11" i="3" l="1"/>
  <c r="S12" i="3"/>
  <c r="S7" i="8"/>
  <c r="S8" i="8"/>
  <c r="S9" i="8"/>
  <c r="S10" i="8"/>
  <c r="S12" i="8"/>
  <c r="S13" i="8"/>
  <c r="S14" i="8"/>
  <c r="S11" i="8"/>
  <c r="S17" i="5"/>
  <c r="S13" i="3"/>
  <c r="S14" i="3"/>
  <c r="S15" i="3"/>
  <c r="S10" i="3"/>
  <c r="R11" i="12"/>
  <c r="Q13" i="12"/>
  <c r="R12" i="12"/>
  <c r="Q19" i="12"/>
  <c r="P18" i="12"/>
  <c r="Q15" i="12"/>
  <c r="R17" i="12"/>
  <c r="R13" i="12"/>
  <c r="S5" i="12"/>
  <c r="R19" i="11"/>
  <c r="Q19" i="11"/>
  <c r="P19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O19" i="11" s="1"/>
  <c r="R7" i="11"/>
  <c r="Q7" i="11"/>
  <c r="P7" i="11"/>
  <c r="O7" i="11"/>
  <c r="R6" i="11"/>
  <c r="Q6" i="11"/>
  <c r="P6" i="11"/>
  <c r="O6" i="11"/>
  <c r="M19" i="10"/>
  <c r="M20" i="10" s="1"/>
  <c r="M21" i="12" s="1"/>
  <c r="M24" i="12" s="1"/>
  <c r="L19" i="10"/>
  <c r="L20" i="10" s="1"/>
  <c r="L21" i="12" s="1"/>
  <c r="L24" i="12" s="1"/>
  <c r="K19" i="10"/>
  <c r="K20" i="10" s="1"/>
  <c r="K21" i="12" s="1"/>
  <c r="J19" i="10"/>
  <c r="J20" i="10" s="1"/>
  <c r="J21" i="12" s="1"/>
  <c r="Q21" i="12" s="1"/>
  <c r="G19" i="10"/>
  <c r="G20" i="10" s="1"/>
  <c r="G21" i="12" s="1"/>
  <c r="F19" i="10"/>
  <c r="F20" i="10" s="1"/>
  <c r="F21" i="12" s="1"/>
  <c r="E19" i="10"/>
  <c r="E20" i="10" s="1"/>
  <c r="E21" i="12" s="1"/>
  <c r="D19" i="10"/>
  <c r="D20" i="10" s="1"/>
  <c r="D21" i="12" s="1"/>
  <c r="C19" i="10"/>
  <c r="C20" i="10" s="1"/>
  <c r="C21" i="12" s="1"/>
  <c r="B19" i="10"/>
  <c r="R11" i="10"/>
  <c r="Q11" i="10"/>
  <c r="P11" i="10"/>
  <c r="O11" i="10"/>
  <c r="R10" i="10"/>
  <c r="Q10" i="10"/>
  <c r="P10" i="10"/>
  <c r="O10" i="10"/>
  <c r="R9" i="10"/>
  <c r="Q9" i="10"/>
  <c r="P9" i="10"/>
  <c r="O9" i="10"/>
  <c r="R8" i="10"/>
  <c r="Q8" i="10"/>
  <c r="P8" i="10"/>
  <c r="O8" i="10"/>
  <c r="R7" i="10"/>
  <c r="Q7" i="10"/>
  <c r="P7" i="10"/>
  <c r="O7" i="10"/>
  <c r="R6" i="10"/>
  <c r="Q6" i="10"/>
  <c r="P6" i="10"/>
  <c r="O6" i="10"/>
  <c r="R16" i="5"/>
  <c r="Q16" i="5"/>
  <c r="P16" i="5"/>
  <c r="O16" i="5"/>
  <c r="R28" i="5"/>
  <c r="Q28" i="5"/>
  <c r="P28" i="5"/>
  <c r="R15" i="5"/>
  <c r="Q15" i="5"/>
  <c r="P15" i="5"/>
  <c r="R14" i="5"/>
  <c r="Q14" i="5"/>
  <c r="P14" i="5"/>
  <c r="R13" i="5"/>
  <c r="Q13" i="5"/>
  <c r="P13" i="5"/>
  <c r="R12" i="5"/>
  <c r="Q12" i="5"/>
  <c r="P12" i="5"/>
  <c r="R10" i="5"/>
  <c r="Q10" i="5"/>
  <c r="P10" i="5"/>
  <c r="R9" i="5"/>
  <c r="Q9" i="5"/>
  <c r="P9" i="5"/>
  <c r="M22" i="9"/>
  <c r="L22" i="9"/>
  <c r="K22" i="9"/>
  <c r="J22" i="9"/>
  <c r="I22" i="9"/>
  <c r="H22" i="9"/>
  <c r="G22" i="9"/>
  <c r="F22" i="9"/>
  <c r="E22" i="9"/>
  <c r="E23" i="9" s="1"/>
  <c r="E11" i="12" s="1"/>
  <c r="D22" i="9"/>
  <c r="C22" i="9"/>
  <c r="B22" i="9"/>
  <c r="B23" i="9" s="1"/>
  <c r="B11" i="12" s="1"/>
  <c r="R15" i="9"/>
  <c r="Q15" i="9"/>
  <c r="P15" i="9"/>
  <c r="O15" i="9"/>
  <c r="R14" i="9"/>
  <c r="Q14" i="9"/>
  <c r="P14" i="9"/>
  <c r="O14" i="9"/>
  <c r="R12" i="9"/>
  <c r="Q12" i="9"/>
  <c r="P12" i="9"/>
  <c r="O12" i="9"/>
  <c r="R11" i="9"/>
  <c r="Q11" i="9"/>
  <c r="P11" i="9"/>
  <c r="O11" i="9"/>
  <c r="R10" i="9"/>
  <c r="Q10" i="9"/>
  <c r="P10" i="9"/>
  <c r="O10" i="9"/>
  <c r="R9" i="9"/>
  <c r="Q9" i="9"/>
  <c r="P9" i="9"/>
  <c r="O9" i="9"/>
  <c r="R8" i="9"/>
  <c r="Q8" i="9"/>
  <c r="P8" i="9"/>
  <c r="O8" i="9"/>
  <c r="R7" i="9"/>
  <c r="Q7" i="9"/>
  <c r="P7" i="9"/>
  <c r="O7" i="9"/>
  <c r="R6" i="9"/>
  <c r="Q6" i="9"/>
  <c r="P6" i="9"/>
  <c r="O6" i="9"/>
  <c r="M20" i="8"/>
  <c r="L20" i="8"/>
  <c r="K20" i="8"/>
  <c r="R21" i="8" s="1"/>
  <c r="J20" i="8"/>
  <c r="J16" i="12" s="1"/>
  <c r="I20" i="8"/>
  <c r="I16" i="12" s="1"/>
  <c r="I24" i="12" s="1"/>
  <c r="H20" i="8"/>
  <c r="H24" i="12" s="1"/>
  <c r="G20" i="8"/>
  <c r="G16" i="12" s="1"/>
  <c r="F20" i="8"/>
  <c r="F21" i="8" s="1"/>
  <c r="F16" i="12" s="1"/>
  <c r="E20" i="8"/>
  <c r="E21" i="8" s="1"/>
  <c r="E16" i="12" s="1"/>
  <c r="D20" i="8"/>
  <c r="D21" i="8" s="1"/>
  <c r="D16" i="12" s="1"/>
  <c r="C20" i="8"/>
  <c r="C21" i="8" s="1"/>
  <c r="C16" i="12" s="1"/>
  <c r="B20" i="8"/>
  <c r="R6" i="8"/>
  <c r="Q6" i="8"/>
  <c r="P6" i="8"/>
  <c r="O6" i="8"/>
  <c r="R22" i="7"/>
  <c r="Q22" i="7"/>
  <c r="P22" i="7"/>
  <c r="M21" i="7"/>
  <c r="L21" i="7"/>
  <c r="K21" i="7"/>
  <c r="J21" i="7"/>
  <c r="I21" i="7"/>
  <c r="H21" i="7"/>
  <c r="G21" i="7"/>
  <c r="F21" i="7"/>
  <c r="E21" i="7"/>
  <c r="D21" i="7"/>
  <c r="C21" i="7"/>
  <c r="B21" i="7"/>
  <c r="O22" i="7" s="1"/>
  <c r="R11" i="7"/>
  <c r="Q11" i="7"/>
  <c r="P11" i="7"/>
  <c r="O11" i="7"/>
  <c r="R10" i="7"/>
  <c r="Q10" i="7"/>
  <c r="P10" i="7"/>
  <c r="O10" i="7"/>
  <c r="R9" i="7"/>
  <c r="Q9" i="7"/>
  <c r="P9" i="7"/>
  <c r="O9" i="7"/>
  <c r="R8" i="7"/>
  <c r="Q8" i="7"/>
  <c r="P8" i="7"/>
  <c r="O8" i="7"/>
  <c r="R7" i="7"/>
  <c r="Q7" i="7"/>
  <c r="P7" i="7"/>
  <c r="O7" i="7"/>
  <c r="R6" i="7"/>
  <c r="Q6" i="7"/>
  <c r="P6" i="7"/>
  <c r="O6" i="7"/>
  <c r="R20" i="6"/>
  <c r="Q20" i="6"/>
  <c r="P20" i="6"/>
  <c r="O15" i="5"/>
  <c r="O14" i="5"/>
  <c r="O13" i="5"/>
  <c r="O12" i="5"/>
  <c r="O10" i="5"/>
  <c r="O9" i="5"/>
  <c r="R8" i="5"/>
  <c r="Q8" i="5"/>
  <c r="P8" i="5"/>
  <c r="O8" i="5"/>
  <c r="R7" i="5"/>
  <c r="Q7" i="5"/>
  <c r="P7" i="5"/>
  <c r="O7" i="5"/>
  <c r="R6" i="5"/>
  <c r="Q6" i="5"/>
  <c r="P6" i="5"/>
  <c r="O6" i="5"/>
  <c r="R21" i="4"/>
  <c r="Q21" i="4"/>
  <c r="P21" i="4"/>
  <c r="M20" i="4"/>
  <c r="L20" i="4"/>
  <c r="K20" i="4"/>
  <c r="J20" i="4"/>
  <c r="I20" i="4"/>
  <c r="H20" i="4"/>
  <c r="G20" i="4"/>
  <c r="F20" i="4"/>
  <c r="E20" i="4"/>
  <c r="D20" i="4"/>
  <c r="C20" i="4"/>
  <c r="B20" i="4"/>
  <c r="B21" i="4" s="1"/>
  <c r="R14" i="4"/>
  <c r="Q14" i="4"/>
  <c r="P14" i="4"/>
  <c r="R13" i="4"/>
  <c r="Q13" i="4"/>
  <c r="P13" i="4"/>
  <c r="R12" i="4"/>
  <c r="Q12" i="4"/>
  <c r="P12" i="4"/>
  <c r="R11" i="4"/>
  <c r="Q11" i="4"/>
  <c r="P11" i="4"/>
  <c r="R10" i="4"/>
  <c r="Q10" i="4"/>
  <c r="P10" i="4"/>
  <c r="R9" i="4"/>
  <c r="Q9" i="4"/>
  <c r="P9" i="4"/>
  <c r="R8" i="4"/>
  <c r="Q8" i="4"/>
  <c r="P8" i="4"/>
  <c r="O8" i="4"/>
  <c r="R7" i="4"/>
  <c r="Q7" i="4"/>
  <c r="P7" i="4"/>
  <c r="R6" i="4"/>
  <c r="Q6" i="4"/>
  <c r="P6" i="4"/>
  <c r="O6" i="4"/>
  <c r="R25" i="3"/>
  <c r="Q25" i="3"/>
  <c r="P25" i="3"/>
  <c r="O25" i="3"/>
  <c r="R9" i="3"/>
  <c r="Q9" i="3"/>
  <c r="P9" i="3"/>
  <c r="O9" i="3"/>
  <c r="R8" i="3"/>
  <c r="Q8" i="3"/>
  <c r="P8" i="3"/>
  <c r="O8" i="3"/>
  <c r="R7" i="3"/>
  <c r="Q7" i="3"/>
  <c r="P7" i="3"/>
  <c r="O7" i="3"/>
  <c r="R6" i="3"/>
  <c r="Q6" i="3"/>
  <c r="P6" i="3"/>
  <c r="O6" i="3"/>
  <c r="R20" i="2"/>
  <c r="Q20" i="2"/>
  <c r="P20" i="2"/>
  <c r="M19" i="2"/>
  <c r="L19" i="2"/>
  <c r="K19" i="2"/>
  <c r="J19" i="2"/>
  <c r="I19" i="2"/>
  <c r="H19" i="2"/>
  <c r="G19" i="2"/>
  <c r="F19" i="2"/>
  <c r="E19" i="2"/>
  <c r="D19" i="2"/>
  <c r="C19" i="2"/>
  <c r="B19" i="2"/>
  <c r="O20" i="2" s="1"/>
  <c r="R13" i="2"/>
  <c r="Q13" i="2"/>
  <c r="P13" i="2"/>
  <c r="R12" i="2"/>
  <c r="Q12" i="2"/>
  <c r="P12" i="2"/>
  <c r="R11" i="2"/>
  <c r="Q11" i="2"/>
  <c r="P11" i="2"/>
  <c r="R10" i="2"/>
  <c r="Q10" i="2"/>
  <c r="P10" i="2"/>
  <c r="R9" i="2"/>
  <c r="Q9" i="2"/>
  <c r="P9" i="2"/>
  <c r="R8" i="2"/>
  <c r="Q8" i="2"/>
  <c r="P8" i="2"/>
  <c r="R7" i="2"/>
  <c r="Q7" i="2"/>
  <c r="P7" i="2"/>
  <c r="R6" i="2"/>
  <c r="Q6" i="2"/>
  <c r="P6" i="2"/>
  <c r="R23" i="1"/>
  <c r="Q23" i="1"/>
  <c r="P23" i="1"/>
  <c r="R17" i="1"/>
  <c r="Q17" i="1"/>
  <c r="P17" i="1"/>
  <c r="R16" i="1"/>
  <c r="Q16" i="1"/>
  <c r="P16" i="1"/>
  <c r="R15" i="1"/>
  <c r="Q15" i="1"/>
  <c r="P15" i="1"/>
  <c r="Q13" i="1"/>
  <c r="Q11" i="1"/>
  <c r="P11" i="1"/>
  <c r="Q10" i="1"/>
  <c r="I22" i="1"/>
  <c r="Q9" i="1"/>
  <c r="R8" i="1"/>
  <c r="Q8" i="1"/>
  <c r="P8" i="1"/>
  <c r="R7" i="1"/>
  <c r="H22" i="1"/>
  <c r="G22" i="1"/>
  <c r="D22" i="1"/>
  <c r="O7" i="1"/>
  <c r="L22" i="1"/>
  <c r="R6" i="1"/>
  <c r="E22" i="1"/>
  <c r="O6" i="1"/>
  <c r="P6" i="1"/>
  <c r="Q6" i="1"/>
  <c r="P7" i="1"/>
  <c r="Q7" i="1"/>
  <c r="O8" i="1"/>
  <c r="O9" i="1"/>
  <c r="P9" i="1"/>
  <c r="R9" i="1"/>
  <c r="O10" i="1"/>
  <c r="P10" i="1"/>
  <c r="R10" i="1"/>
  <c r="O11" i="1"/>
  <c r="R11" i="1"/>
  <c r="O13" i="1"/>
  <c r="P13" i="1"/>
  <c r="R13" i="1"/>
  <c r="O14" i="1"/>
  <c r="P14" i="1"/>
  <c r="Q14" i="1"/>
  <c r="R14" i="1"/>
  <c r="O15" i="1"/>
  <c r="O16" i="1"/>
  <c r="O17" i="1"/>
  <c r="B22" i="1"/>
  <c r="F22" i="1"/>
  <c r="J22" i="1"/>
  <c r="J24" i="12" l="1"/>
  <c r="F24" i="12"/>
  <c r="R21" i="12"/>
  <c r="K24" i="12"/>
  <c r="R20" i="10"/>
  <c r="Q20" i="10"/>
  <c r="P21" i="12"/>
  <c r="G24" i="12"/>
  <c r="E24" i="12"/>
  <c r="P20" i="10"/>
  <c r="D24" i="12"/>
  <c r="B20" i="10"/>
  <c r="B21" i="12" s="1"/>
  <c r="O21" i="12" s="1"/>
  <c r="C24" i="12"/>
  <c r="O16" i="12"/>
  <c r="P16" i="12"/>
  <c r="O21" i="4"/>
  <c r="S21" i="4" s="1"/>
  <c r="B18" i="12"/>
  <c r="O18" i="12" s="1"/>
  <c r="O11" i="12"/>
  <c r="S8" i="3"/>
  <c r="Q16" i="12"/>
  <c r="P21" i="8"/>
  <c r="R23" i="9"/>
  <c r="Q23" i="9"/>
  <c r="P23" i="9"/>
  <c r="O21" i="8"/>
  <c r="Q21" i="8"/>
  <c r="O23" i="9"/>
  <c r="Q7" i="12"/>
  <c r="P7" i="12"/>
  <c r="R7" i="12"/>
  <c r="O7" i="12"/>
  <c r="R18" i="11"/>
  <c r="P18" i="11"/>
  <c r="S25" i="3"/>
  <c r="O27" i="3" s="1"/>
  <c r="R24" i="3"/>
  <c r="S6" i="8"/>
  <c r="Q22" i="12"/>
  <c r="R16" i="12"/>
  <c r="R22" i="12"/>
  <c r="Q14" i="12"/>
  <c r="P22" i="12"/>
  <c r="P13" i="12"/>
  <c r="R18" i="12"/>
  <c r="P11" i="12"/>
  <c r="Q12" i="12"/>
  <c r="P15" i="12"/>
  <c r="P19" i="12"/>
  <c r="P12" i="12"/>
  <c r="Q17" i="12"/>
  <c r="Q11" i="12"/>
  <c r="Q10" i="12"/>
  <c r="R10" i="12"/>
  <c r="P10" i="12"/>
  <c r="R19" i="12"/>
  <c r="R15" i="12"/>
  <c r="Q18" i="12"/>
  <c r="P14" i="12"/>
  <c r="R14" i="12"/>
  <c r="P24" i="3"/>
  <c r="S6" i="11"/>
  <c r="S7" i="11"/>
  <c r="Q18" i="11"/>
  <c r="O18" i="11"/>
  <c r="S19" i="11"/>
  <c r="P19" i="10"/>
  <c r="R19" i="10"/>
  <c r="Q19" i="10"/>
  <c r="S6" i="10"/>
  <c r="S7" i="10"/>
  <c r="S8" i="10"/>
  <c r="S9" i="10"/>
  <c r="S10" i="10"/>
  <c r="S11" i="10"/>
  <c r="O19" i="10"/>
  <c r="S20" i="2"/>
  <c r="Q19" i="2"/>
  <c r="S6" i="2"/>
  <c r="S7" i="2"/>
  <c r="S8" i="2"/>
  <c r="S9" i="2"/>
  <c r="S10" i="2"/>
  <c r="S11" i="2"/>
  <c r="S12" i="2"/>
  <c r="S13" i="2"/>
  <c r="O19" i="2"/>
  <c r="P19" i="2"/>
  <c r="R19" i="2"/>
  <c r="S7" i="4"/>
  <c r="S9" i="4"/>
  <c r="S11" i="4"/>
  <c r="S14" i="4"/>
  <c r="O20" i="4"/>
  <c r="P20" i="4"/>
  <c r="R20" i="4"/>
  <c r="S6" i="4"/>
  <c r="S8" i="4"/>
  <c r="S10" i="4"/>
  <c r="S12" i="4"/>
  <c r="S13" i="4"/>
  <c r="Q20" i="4"/>
  <c r="S6" i="3"/>
  <c r="S7" i="3"/>
  <c r="S9" i="3"/>
  <c r="Q24" i="3"/>
  <c r="O20" i="8"/>
  <c r="P20" i="8"/>
  <c r="R20" i="8"/>
  <c r="Q20" i="8"/>
  <c r="S6" i="7"/>
  <c r="S7" i="7"/>
  <c r="S8" i="7"/>
  <c r="S22" i="7"/>
  <c r="O24" i="7" s="1"/>
  <c r="P21" i="7"/>
  <c r="R21" i="7"/>
  <c r="Q21" i="7"/>
  <c r="S9" i="7"/>
  <c r="S10" i="7"/>
  <c r="S11" i="7"/>
  <c r="O21" i="7"/>
  <c r="Q19" i="6"/>
  <c r="R19" i="6"/>
  <c r="Q22" i="1"/>
  <c r="P22" i="1"/>
  <c r="S20" i="6"/>
  <c r="R22" i="6" s="1"/>
  <c r="S6" i="9"/>
  <c r="S7" i="9"/>
  <c r="P22" i="9"/>
  <c r="R22" i="9"/>
  <c r="S8" i="9"/>
  <c r="S6" i="5"/>
  <c r="S7" i="5"/>
  <c r="S8" i="5"/>
  <c r="S16" i="5"/>
  <c r="R27" i="5"/>
  <c r="P27" i="5"/>
  <c r="O27" i="5"/>
  <c r="S13" i="5"/>
  <c r="S15" i="5"/>
  <c r="S9" i="5"/>
  <c r="S10" i="5"/>
  <c r="S12" i="5"/>
  <c r="S14" i="5"/>
  <c r="S28" i="5"/>
  <c r="Q22" i="9"/>
  <c r="S9" i="9"/>
  <c r="S10" i="9"/>
  <c r="S11" i="9"/>
  <c r="S12" i="9"/>
  <c r="S14" i="9"/>
  <c r="S15" i="9"/>
  <c r="O22" i="9"/>
  <c r="S7" i="1"/>
  <c r="S11" i="1"/>
  <c r="K22" i="1"/>
  <c r="C22" i="1"/>
  <c r="S14" i="1"/>
  <c r="S13" i="1"/>
  <c r="S16" i="1"/>
  <c r="M22" i="1"/>
  <c r="S9" i="1"/>
  <c r="S6" i="1"/>
  <c r="S17" i="1"/>
  <c r="S8" i="1"/>
  <c r="S15" i="1"/>
  <c r="S10" i="1"/>
  <c r="O30" i="5" l="1"/>
  <c r="R30" i="5"/>
  <c r="Q30" i="5"/>
  <c r="P30" i="5"/>
  <c r="O20" i="10"/>
  <c r="S20" i="10" s="1"/>
  <c r="S21" i="12"/>
  <c r="O24" i="12"/>
  <c r="R24" i="12"/>
  <c r="Q24" i="12"/>
  <c r="S16" i="12"/>
  <c r="S13" i="12"/>
  <c r="P24" i="12"/>
  <c r="S19" i="10"/>
  <c r="R21" i="10" s="1"/>
  <c r="B24" i="12"/>
  <c r="S21" i="8"/>
  <c r="S23" i="9"/>
  <c r="Q25" i="9" s="1"/>
  <c r="R27" i="3"/>
  <c r="Q27" i="3"/>
  <c r="P27" i="3"/>
  <c r="Q21" i="11"/>
  <c r="P21" i="11"/>
  <c r="R21" i="11"/>
  <c r="O21" i="11"/>
  <c r="R22" i="2"/>
  <c r="P22" i="2"/>
  <c r="Q22" i="2"/>
  <c r="O22" i="2"/>
  <c r="R23" i="4"/>
  <c r="Q23" i="4"/>
  <c r="P23" i="4"/>
  <c r="O23" i="4"/>
  <c r="P24" i="7"/>
  <c r="R24" i="7"/>
  <c r="Q24" i="7"/>
  <c r="Q22" i="6"/>
  <c r="P22" i="6"/>
  <c r="O22" i="6"/>
  <c r="O22" i="1"/>
  <c r="O23" i="1"/>
  <c r="S17" i="12"/>
  <c r="S15" i="12"/>
  <c r="S18" i="11"/>
  <c r="S20" i="8"/>
  <c r="S12" i="12"/>
  <c r="S22" i="12"/>
  <c r="S11" i="12"/>
  <c r="S19" i="12"/>
  <c r="S18" i="12"/>
  <c r="S10" i="12"/>
  <c r="S14" i="12"/>
  <c r="S19" i="2"/>
  <c r="S20" i="4"/>
  <c r="Q22" i="4" s="1"/>
  <c r="S21" i="7"/>
  <c r="S22" i="9"/>
  <c r="R22" i="1"/>
  <c r="R22" i="10" l="1"/>
  <c r="P22" i="10"/>
  <c r="Q22" i="10"/>
  <c r="O22" i="10"/>
  <c r="P23" i="8"/>
  <c r="Q23" i="8"/>
  <c r="R23" i="8"/>
  <c r="O23" i="8"/>
  <c r="P25" i="9"/>
  <c r="R25" i="9"/>
  <c r="O25" i="9"/>
  <c r="S22" i="1"/>
  <c r="P24" i="1" s="1"/>
  <c r="S27" i="3"/>
  <c r="S24" i="7"/>
  <c r="S22" i="6"/>
  <c r="S21" i="11"/>
  <c r="S22" i="2"/>
  <c r="S23" i="4"/>
  <c r="S23" i="1"/>
  <c r="O25" i="1" s="1"/>
  <c r="R24" i="9"/>
  <c r="Q24" i="9"/>
  <c r="R20" i="11"/>
  <c r="Q20" i="11"/>
  <c r="P20" i="11"/>
  <c r="O20" i="11"/>
  <c r="Q22" i="8"/>
  <c r="R22" i="8"/>
  <c r="P22" i="8"/>
  <c r="S24" i="12"/>
  <c r="O26" i="12" s="1"/>
  <c r="O21" i="10"/>
  <c r="Q21" i="10"/>
  <c r="P21" i="10"/>
  <c r="R21" i="2"/>
  <c r="Q21" i="2"/>
  <c r="O21" i="2"/>
  <c r="P21" i="2"/>
  <c r="O22" i="4"/>
  <c r="R22" i="4"/>
  <c r="P22" i="4"/>
  <c r="Q23" i="7"/>
  <c r="R23" i="7"/>
  <c r="P23" i="7"/>
  <c r="O23" i="7"/>
  <c r="O24" i="9"/>
  <c r="P24" i="9"/>
  <c r="S22" i="10" l="1"/>
  <c r="S23" i="8"/>
  <c r="S25" i="9"/>
  <c r="Q24" i="1"/>
  <c r="R24" i="1"/>
  <c r="O24" i="1"/>
  <c r="R25" i="1"/>
  <c r="Q25" i="1"/>
  <c r="P25" i="1"/>
  <c r="Q26" i="12"/>
  <c r="P26" i="12"/>
  <c r="R26" i="12"/>
  <c r="S20" i="11"/>
  <c r="U20" i="11" s="1"/>
  <c r="S24" i="9"/>
  <c r="U24" i="9" s="1"/>
  <c r="S21" i="2"/>
  <c r="U21" i="2" s="1"/>
  <c r="S22" i="8"/>
  <c r="U22" i="8" s="1"/>
  <c r="S21" i="10"/>
  <c r="U21" i="10" s="1"/>
  <c r="S22" i="4"/>
  <c r="U22" i="4" s="1"/>
  <c r="S23" i="7"/>
  <c r="U23" i="7" s="1"/>
  <c r="S24" i="1" l="1"/>
  <c r="U24" i="1" s="1"/>
  <c r="S25" i="1"/>
  <c r="S26" i="12"/>
  <c r="O19" i="6"/>
  <c r="O24" i="3" l="1"/>
  <c r="S24" i="3" l="1"/>
  <c r="O26" i="3" s="1"/>
  <c r="Q26" i="3" l="1"/>
  <c r="R26" i="3"/>
  <c r="P26" i="3"/>
  <c r="Q27" i="5"/>
  <c r="S26" i="3" l="1"/>
  <c r="U26" i="3" s="1"/>
  <c r="S27" i="5"/>
  <c r="Q29" i="5" s="1"/>
  <c r="P29" i="5" l="1"/>
  <c r="O29" i="5"/>
  <c r="R29" i="5"/>
  <c r="S29" i="5" l="1"/>
  <c r="U29" i="5" s="1"/>
  <c r="S30" i="5" l="1"/>
  <c r="P19" i="6" l="1"/>
  <c r="S19" i="6" l="1"/>
  <c r="R21" i="6" l="1"/>
  <c r="Q21" i="6"/>
  <c r="O21" i="6"/>
  <c r="P21" i="6"/>
  <c r="S21" i="6" l="1"/>
  <c r="U21" i="6" s="1"/>
</calcChain>
</file>

<file path=xl/sharedStrings.xml><?xml version="1.0" encoding="utf-8"?>
<sst xmlns="http://schemas.openxmlformats.org/spreadsheetml/2006/main" count="602" uniqueCount="228">
  <si>
    <t>GUANSON Y. LO</t>
  </si>
  <si>
    <t>APPROVED BY:</t>
  </si>
  <si>
    <t>NOTED BY:</t>
  </si>
  <si>
    <t>TOTAL</t>
  </si>
  <si>
    <t>GRAND TOTAL</t>
  </si>
  <si>
    <t>TTL</t>
  </si>
  <si>
    <t>4Q</t>
  </si>
  <si>
    <t>3Q</t>
  </si>
  <si>
    <t>2Q</t>
  </si>
  <si>
    <t>1Q</t>
  </si>
  <si>
    <t>DEC</t>
  </si>
  <si>
    <t>NOV</t>
  </si>
  <si>
    <t>OCT</t>
  </si>
  <si>
    <t>SEP</t>
  </si>
  <si>
    <t>AUG</t>
  </si>
  <si>
    <t>JUL</t>
  </si>
  <si>
    <t>JUNE</t>
  </si>
  <si>
    <t>MAY</t>
  </si>
  <si>
    <t>APR</t>
  </si>
  <si>
    <t>MAR</t>
  </si>
  <si>
    <t>FEB</t>
  </si>
  <si>
    <t>JAN</t>
  </si>
  <si>
    <t>4TH QUARTER</t>
  </si>
  <si>
    <t>3RD QUARTER</t>
  </si>
  <si>
    <t>2ND QUARTER</t>
  </si>
  <si>
    <t>1ST QUARTER</t>
  </si>
  <si>
    <t>BRANCHES</t>
  </si>
  <si>
    <t>ARNULFO GUILLEN</t>
  </si>
  <si>
    <t>GMC Pasuquin - Multi</t>
  </si>
  <si>
    <t>GMC Vigan - Honda</t>
  </si>
  <si>
    <t>LGK San Nicolas - Honda</t>
  </si>
  <si>
    <t>MCC Batac - Honda</t>
  </si>
  <si>
    <t>UEMI Bangued - Multi</t>
  </si>
  <si>
    <t>UEMI Bangued - Yamaha</t>
  </si>
  <si>
    <t>UEMI Cabugao - Multi</t>
  </si>
  <si>
    <t>UEMI Dingras - Multi</t>
  </si>
  <si>
    <t>UEMI Laoag - Multi</t>
  </si>
  <si>
    <t>UEMI Laoag - Yamaha</t>
  </si>
  <si>
    <t>UEMI Vigan - Multi</t>
  </si>
  <si>
    <t>AH Goal</t>
  </si>
  <si>
    <t>GMC Agoo - Honda</t>
  </si>
  <si>
    <t>GMC Baguio - Honda</t>
  </si>
  <si>
    <t>GMC San Fernando - Honda</t>
  </si>
  <si>
    <t>LGK Candon - Honda</t>
  </si>
  <si>
    <t>MCC Tagudin - Honda</t>
  </si>
  <si>
    <t>UEMI Bacnotan - Multi</t>
  </si>
  <si>
    <t>UEMI Candon - Multi</t>
  </si>
  <si>
    <t>UEMI Narvacan - Multi</t>
  </si>
  <si>
    <t>UEMI San Fernando - Yamaha</t>
  </si>
  <si>
    <t>GMC Bayambang - Honda</t>
  </si>
  <si>
    <t>GMC Manaoag - Honda</t>
  </si>
  <si>
    <t>GMC San Fabian - Honda</t>
  </si>
  <si>
    <t>LGK Pozorrubio - Honda</t>
  </si>
  <si>
    <t>LGK Tayug - Multi</t>
  </si>
  <si>
    <t>LGK Urdaneta - Honda</t>
  </si>
  <si>
    <t>MCC San Carlos - Honda</t>
  </si>
  <si>
    <t>UEMI Bayambang - Yamaha</t>
  </si>
  <si>
    <t>UEMI Binalonan - Multi</t>
  </si>
  <si>
    <t>UEMI Carmen - Multi</t>
  </si>
  <si>
    <t>UEMI Malasiqui - Multi</t>
  </si>
  <si>
    <t>UEMI Mangaldan - Multi</t>
  </si>
  <si>
    <t>UEMI Urdaneta - Yamaha</t>
  </si>
  <si>
    <t>GMC Bolinao - Multi</t>
  </si>
  <si>
    <t>GMC Dagupan - Honda</t>
  </si>
  <si>
    <t>GMC Lingayen - Honda</t>
  </si>
  <si>
    <t>LGK Alaminos - Honda</t>
  </si>
  <si>
    <t>MCC Dagupan - Honda</t>
  </si>
  <si>
    <t>UEMI Alaminos - Yamaha</t>
  </si>
  <si>
    <t>UEMI Calasiao - Multi</t>
  </si>
  <si>
    <t>UEMI Calasiao - Yamaha</t>
  </si>
  <si>
    <t>UEMI Dagupan - Suzuki</t>
  </si>
  <si>
    <t>UEMI Dagupan - Yamaha</t>
  </si>
  <si>
    <t>UEMI Iba, Zambales - Multi</t>
  </si>
  <si>
    <t>UEMI Lingayen - Yamaha</t>
  </si>
  <si>
    <t>UEMI Sta Cruz, Zambales - Multi</t>
  </si>
  <si>
    <t>GMC Paniqui - Honda</t>
  </si>
  <si>
    <t>GMC Sta. Ignacia - Honda</t>
  </si>
  <si>
    <t>LGK Tarlac - Honda</t>
  </si>
  <si>
    <t>UEMI Capas - Multi</t>
  </si>
  <si>
    <t>UEMI Concepcion - Multi</t>
  </si>
  <si>
    <t>UEMI Tarlac - Yamaha</t>
  </si>
  <si>
    <t>GMC Olongapo - Honda</t>
  </si>
  <si>
    <t>GMC Orani - Honda</t>
  </si>
  <si>
    <t>MCC Dau - Honda</t>
  </si>
  <si>
    <t>UEMI Angeles - Multi</t>
  </si>
  <si>
    <t>UEMI Balanga - Yamaha</t>
  </si>
  <si>
    <t>UEMI Lubao - Multi</t>
  </si>
  <si>
    <t>UEMI Mabalacat - Yamaha</t>
  </si>
  <si>
    <t>UEMI Cabanatuan - Multi</t>
  </si>
  <si>
    <t>UEMI Cauayan - Multi</t>
  </si>
  <si>
    <t>UEMI Gapan - Multi</t>
  </si>
  <si>
    <t>UEMI Guimba - Multi</t>
  </si>
  <si>
    <t>UEMI San Jose - Multi</t>
  </si>
  <si>
    <t>UEMI Santiago - Multi</t>
  </si>
  <si>
    <t>UEMI Solano - Multi</t>
  </si>
  <si>
    <t>UEMI Tuguegarao - Multi</t>
  </si>
  <si>
    <t>UEMI Tuguegarao - Yamaha</t>
  </si>
  <si>
    <t>GMC E.Rodriguez - Honda</t>
  </si>
  <si>
    <t>MCC Marilao - Honda</t>
  </si>
  <si>
    <t>UEMI Balagtas - Yamaha</t>
  </si>
  <si>
    <t>UEMI Baliuag - Multi</t>
  </si>
  <si>
    <t>UEMI Cainta - Yamaha</t>
  </si>
  <si>
    <t>UEMI Malolos - Multi</t>
  </si>
  <si>
    <t>UEMI Roosevelt - Suzuki</t>
  </si>
  <si>
    <t>UEMI Taytay - Suzuki</t>
  </si>
  <si>
    <t>UEMI Valenzuela - Multi</t>
  </si>
  <si>
    <t>UEMI Alabang - Multi</t>
  </si>
  <si>
    <t>UEMI Calamba - Multi</t>
  </si>
  <si>
    <t>UEMI Carmona - Multi</t>
  </si>
  <si>
    <t>UEMI Imus - Multi</t>
  </si>
  <si>
    <t>UEMI Makati - Multi</t>
  </si>
  <si>
    <t>UEMI Sta Cruz - Multi</t>
  </si>
  <si>
    <t>UEMI Sta. Rosa - Multi</t>
  </si>
  <si>
    <t>LGK Iloilo - Honda</t>
  </si>
  <si>
    <t>UEMI Iloilo - Multi</t>
  </si>
  <si>
    <t>UEMI Iloilo - Yamaha</t>
  </si>
  <si>
    <t>UEMI Passi - Multi</t>
  </si>
  <si>
    <t>UEMI Roxas - Kawasaki</t>
  </si>
  <si>
    <t>UEMI Palawan - Yamaha</t>
  </si>
  <si>
    <t>Area 10 (MC)</t>
  </si>
  <si>
    <t>Area 9 (MC)</t>
  </si>
  <si>
    <t>Area 8 (MC)</t>
  </si>
  <si>
    <t>Area 7 (MC)</t>
  </si>
  <si>
    <t>Area 6 (MC)</t>
  </si>
  <si>
    <t>Area 5 (MC)</t>
  </si>
  <si>
    <t>Area 4 (MC)</t>
  </si>
  <si>
    <t>Area 3 (MC)</t>
  </si>
  <si>
    <t>Area 2 (MC)</t>
  </si>
  <si>
    <t>Area 1 (MC)</t>
  </si>
  <si>
    <t>Total</t>
  </si>
  <si>
    <t>Q4</t>
  </si>
  <si>
    <t>Q3</t>
  </si>
  <si>
    <t>Q2</t>
  </si>
  <si>
    <t>Q1</t>
  </si>
  <si>
    <t>Area</t>
  </si>
  <si>
    <t>AGM Goal</t>
  </si>
  <si>
    <t>UEMI Batac - Yamaha</t>
  </si>
  <si>
    <t>UEMI La Trinidad - Yamaha</t>
  </si>
  <si>
    <t>MCC Sta. Barbara - Honda</t>
  </si>
  <si>
    <t>UEMI Tayug - Yamaha</t>
  </si>
  <si>
    <t>UEMI Binalonan - Yamaha</t>
  </si>
  <si>
    <t>UEMI Roxas - Multi</t>
  </si>
  <si>
    <t>MCC Caloocan - Honda</t>
  </si>
  <si>
    <t>UEMI Mambusao - Multi</t>
  </si>
  <si>
    <t>UEMI San Jose, Ant - Multi</t>
  </si>
  <si>
    <t>UEMI Tumauini - Multi</t>
  </si>
  <si>
    <t>PREPARED BY:</t>
  </si>
  <si>
    <t>MCC Camiling - Multi</t>
  </si>
  <si>
    <t>UEMI Brookespoint - Multi</t>
  </si>
  <si>
    <t>UEMI Rosario LU - Multi</t>
  </si>
  <si>
    <t>LGK Dagupan - Multi</t>
  </si>
  <si>
    <t>UEMI San Fernando - Multi</t>
  </si>
  <si>
    <t>MCC San Fernando - Multi</t>
  </si>
  <si>
    <t>UEMI Subic - Yamaha</t>
  </si>
  <si>
    <t>MCC Alicia - Multi</t>
  </si>
  <si>
    <t>MCC Naic - Multi</t>
  </si>
  <si>
    <t>UEMI Balasan - Multi</t>
  </si>
  <si>
    <t>MCC Bolinao - Honda</t>
  </si>
  <si>
    <t>MCC San Mateo - Multi</t>
  </si>
  <si>
    <t>UEMI San Pablo - Y3S</t>
  </si>
  <si>
    <t>UEMI Naic - Y3S</t>
  </si>
  <si>
    <t>MCC Kalibo - Multi</t>
  </si>
  <si>
    <t>MCC Calasiao - Honda Wing Shop</t>
  </si>
  <si>
    <t>UEMI Cabagan - Yamaha</t>
  </si>
  <si>
    <t>UEMI Floridablanca - Yamaha</t>
  </si>
  <si>
    <t>MCC Roxas Palawan - MB</t>
  </si>
  <si>
    <t>MCC Tagbilaran - MB</t>
  </si>
  <si>
    <t>UEMI Victoria - Y3S</t>
  </si>
  <si>
    <t>MCC Dagupan - Kawasaki</t>
  </si>
  <si>
    <t>UEMI Mangatarem - Yamaha</t>
  </si>
  <si>
    <t>MCC Mangatarem - Honda</t>
  </si>
  <si>
    <t>UEMI Binmaley - Yamaha</t>
  </si>
  <si>
    <t>UEMI Agoo - Yamaha</t>
  </si>
  <si>
    <t>MCC Roosevelt - Honda</t>
  </si>
  <si>
    <t>MCC Zaragosa - Multi</t>
  </si>
  <si>
    <t>UEMI Pozorrubio - Yamaha</t>
  </si>
  <si>
    <t>Area 12 (MC)</t>
  </si>
  <si>
    <t>Area 13 (MC)</t>
  </si>
  <si>
    <t>Area 11 (MC)</t>
  </si>
  <si>
    <t>MCC Mabalacat - Multi</t>
  </si>
  <si>
    <t>MCC Cabatuan - Multi</t>
  </si>
  <si>
    <t xml:space="preserve">MCC Cordon - Multi </t>
  </si>
  <si>
    <t>Daet, Cam N.</t>
  </si>
  <si>
    <t>UEMI Narvacan - Yamaha</t>
  </si>
  <si>
    <t>MCC Tondo - Honda</t>
  </si>
  <si>
    <t>MCC Santiago - Honda WS</t>
  </si>
  <si>
    <t>MCC Talavera - Multi</t>
  </si>
  <si>
    <t>Puerto Princesa - MB</t>
  </si>
  <si>
    <t>UEMI San Nicolas - Yamaha</t>
  </si>
  <si>
    <t>MCC Tubigon - MB</t>
  </si>
  <si>
    <t>MCC Talibon - MB</t>
  </si>
  <si>
    <t>MCC Carmen - MB</t>
  </si>
  <si>
    <t>MCC Inabanga - MB</t>
  </si>
  <si>
    <t>MCC Loon - MB</t>
  </si>
  <si>
    <t>2019  BRANCH HEAD GOAL: AREA 1</t>
  </si>
  <si>
    <t>2019  BRANCH HEAD GOAL: AREA 2</t>
  </si>
  <si>
    <t>2019  BRANCH HEAD GOAL: AREA 3</t>
  </si>
  <si>
    <t>2019  BRANCH HEAD GOAL: AREA 4</t>
  </si>
  <si>
    <t>2019  BRANCH HEAD GOAL: AREA 5</t>
  </si>
  <si>
    <t>2019  BRANCH HEAD GOAL: AREA 6</t>
  </si>
  <si>
    <t>2019  BRANCH HEAD GOAL: AREA 7</t>
  </si>
  <si>
    <t>2019  BRANCH HEAD GOAL: AREA 8</t>
  </si>
  <si>
    <t>2019  BRANCH HEAD GOAL: AREA 9</t>
  </si>
  <si>
    <t>2019  BRANCH HEAD GOAL: AREA 10</t>
  </si>
  <si>
    <t>2019  BRANCH HEAD GOAL: AREA 11</t>
  </si>
  <si>
    <t>2019  BRANCH HEAD GOAL: AREA 12</t>
  </si>
  <si>
    <t>2019  BRANCH HEAD GOAL: AREA 13</t>
  </si>
  <si>
    <t>2019  BRANCH HEAD GOAL: AREA 14</t>
  </si>
  <si>
    <t>MCC Naga - MB</t>
  </si>
  <si>
    <t>MCC Daet - MB</t>
  </si>
  <si>
    <t xml:space="preserve">Bicol Area </t>
  </si>
  <si>
    <t>UEMI Alcala - Yamaha</t>
  </si>
  <si>
    <t>MCC Alcala - Honda</t>
  </si>
  <si>
    <t>MCC Asingan - Multi</t>
  </si>
  <si>
    <t>MCC Manaoag - Multi</t>
  </si>
  <si>
    <t xml:space="preserve">UEMI Villasis - Yamaha </t>
  </si>
  <si>
    <t>UEMI Umingan - Yamaha</t>
  </si>
  <si>
    <t>MCC Balanga - Kawasaki</t>
  </si>
  <si>
    <t>MCC Sta. Ignacia - Multi</t>
  </si>
  <si>
    <t>2019 MC Sales Target</t>
  </si>
  <si>
    <t>MCC Bani - Multi</t>
  </si>
  <si>
    <t>Guanzon Festival</t>
  </si>
  <si>
    <t>GM-MC</t>
  </si>
  <si>
    <t>PRESIDENT</t>
  </si>
  <si>
    <t>GENERAL MANAGER-MC</t>
  </si>
  <si>
    <t>GENERAL MANAGER-ADMIN</t>
  </si>
  <si>
    <t>ARNOLD L. GUILLEN</t>
  </si>
  <si>
    <t>REX S. ADVERSALO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</si>
</sst>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mmm"/>
    <numFmt numFmtId="167" formatCode="0.0%"/>
    <numFmt numFmtId="168" formatCode="[$-3409]General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  <charset val="134"/>
    </font>
    <font>
      <sz val="11"/>
      <color indexed="8"/>
      <name val="Calibri"/>
      <family val="2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164" fontId="17" fillId="0" borderId="0" applyFont="0" applyFill="0" applyBorder="0" applyAlignment="0" applyProtection="0">
      <alignment vertical="top"/>
    </xf>
    <xf numFmtId="164" fontId="17" fillId="0" borderId="0" applyFont="0" applyFill="0" applyBorder="0" applyAlignment="0" applyProtection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8" fillId="0" borderId="0">
      <alignment vertical="center"/>
    </xf>
    <xf numFmtId="0" fontId="9" fillId="0" borderId="0"/>
    <xf numFmtId="0" fontId="9" fillId="0" borderId="0"/>
    <xf numFmtId="0" fontId="19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168" fontId="28" fillId="0" borderId="0"/>
    <xf numFmtId="0" fontId="30" fillId="0" borderId="0" applyNumberFormat="0" applyFill="0" applyBorder="0" applyProtection="0"/>
  </cellStyleXfs>
  <cellXfs count="763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0" borderId="1" xfId="0" applyFont="1" applyBorder="1"/>
    <xf numFmtId="0" fontId="5" fillId="0" borderId="0" xfId="0" applyFont="1" applyFill="1" applyBorder="1"/>
    <xf numFmtId="9" fontId="5" fillId="0" borderId="0" xfId="2" applyFont="1" applyFill="1" applyBorder="1"/>
    <xf numFmtId="10" fontId="5" fillId="0" borderId="0" xfId="2" applyNumberFormat="1" applyFont="1" applyFill="1"/>
    <xf numFmtId="9" fontId="2" fillId="0" borderId="0" xfId="0" applyNumberFormat="1" applyFont="1"/>
    <xf numFmtId="0" fontId="4" fillId="0" borderId="0" xfId="0" applyFont="1"/>
    <xf numFmtId="9" fontId="2" fillId="0" borderId="0" xfId="2" applyNumberFormat="1" applyFont="1"/>
    <xf numFmtId="10" fontId="2" fillId="0" borderId="0" xfId="2" applyNumberFormat="1" applyFont="1"/>
    <xf numFmtId="0" fontId="7" fillId="0" borderId="0" xfId="0" applyFont="1"/>
    <xf numFmtId="0" fontId="7" fillId="0" borderId="0" xfId="0" applyFont="1" applyFill="1"/>
    <xf numFmtId="0" fontId="6" fillId="0" borderId="3" xfId="0" applyFont="1" applyBorder="1"/>
    <xf numFmtId="0" fontId="6" fillId="0" borderId="0" xfId="0" applyFont="1"/>
    <xf numFmtId="0" fontId="6" fillId="2" borderId="4" xfId="0" applyFont="1" applyFill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2" borderId="10" xfId="0" applyFont="1" applyFill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7" fillId="2" borderId="10" xfId="0" applyFont="1" applyFill="1" applyBorder="1"/>
    <xf numFmtId="0" fontId="8" fillId="0" borderId="8" xfId="0" applyFont="1" applyBorder="1"/>
    <xf numFmtId="0" fontId="8" fillId="0" borderId="3" xfId="0" applyFont="1" applyBorder="1"/>
    <xf numFmtId="0" fontId="8" fillId="0" borderId="14" xfId="0" applyFont="1" applyBorder="1"/>
    <xf numFmtId="0" fontId="11" fillId="0" borderId="0" xfId="3" applyFont="1" applyFill="1" applyAlignment="1">
      <alignment horizontal="center"/>
    </xf>
    <xf numFmtId="0" fontId="13" fillId="0" borderId="0" xfId="3" applyFont="1" applyFill="1" applyAlignment="1">
      <alignment horizontal="center"/>
    </xf>
    <xf numFmtId="0" fontId="6" fillId="2" borderId="8" xfId="0" applyFont="1" applyFill="1" applyBorder="1"/>
    <xf numFmtId="0" fontId="6" fillId="2" borderId="7" xfId="0" applyFont="1" applyFill="1" applyBorder="1"/>
    <xf numFmtId="0" fontId="6" fillId="0" borderId="0" xfId="0" applyFont="1" applyBorder="1"/>
    <xf numFmtId="165" fontId="0" fillId="0" borderId="0" xfId="0" applyNumberFormat="1"/>
    <xf numFmtId="0" fontId="7" fillId="2" borderId="20" xfId="0" applyFont="1" applyFill="1" applyBorder="1"/>
    <xf numFmtId="0" fontId="7" fillId="2" borderId="21" xfId="0" applyFont="1" applyFill="1" applyBorder="1"/>
    <xf numFmtId="0" fontId="7" fillId="2" borderId="22" xfId="0" applyFont="1" applyFill="1" applyBorder="1"/>
    <xf numFmtId="0" fontId="7" fillId="2" borderId="7" xfId="0" applyFont="1" applyFill="1" applyBorder="1"/>
    <xf numFmtId="0" fontId="7" fillId="2" borderId="23" xfId="0" applyFont="1" applyFill="1" applyBorder="1"/>
    <xf numFmtId="1" fontId="6" fillId="0" borderId="7" xfId="0" applyNumberFormat="1" applyFont="1" applyBorder="1"/>
    <xf numFmtId="1" fontId="6" fillId="0" borderId="8" xfId="0" applyNumberFormat="1" applyFont="1" applyBorder="1"/>
    <xf numFmtId="1" fontId="6" fillId="0" borderId="0" xfId="0" applyNumberFormat="1" applyFont="1"/>
    <xf numFmtId="1" fontId="7" fillId="2" borderId="10" xfId="0" applyNumberFormat="1" applyFont="1" applyFill="1" applyBorder="1"/>
    <xf numFmtId="1" fontId="6" fillId="0" borderId="6" xfId="0" applyNumberFormat="1" applyFont="1" applyBorder="1"/>
    <xf numFmtId="1" fontId="6" fillId="0" borderId="5" xfId="0" applyNumberFormat="1" applyFont="1" applyBorder="1"/>
    <xf numFmtId="1" fontId="7" fillId="2" borderId="21" xfId="0" applyNumberFormat="1" applyFont="1" applyFill="1" applyBorder="1"/>
    <xf numFmtId="1" fontId="7" fillId="2" borderId="22" xfId="0" applyNumberFormat="1" applyFont="1" applyFill="1" applyBorder="1"/>
    <xf numFmtId="1" fontId="7" fillId="0" borderId="0" xfId="0" applyNumberFormat="1" applyFont="1" applyFill="1"/>
    <xf numFmtId="1" fontId="7" fillId="2" borderId="7" xfId="0" applyNumberFormat="1" applyFont="1" applyFill="1" applyBorder="1"/>
    <xf numFmtId="1" fontId="0" fillId="0" borderId="0" xfId="0" applyNumberFormat="1"/>
    <xf numFmtId="165" fontId="0" fillId="0" borderId="0" xfId="1" applyNumberFormat="1" applyFont="1"/>
    <xf numFmtId="1" fontId="3" fillId="0" borderId="7" xfId="0" applyNumberFormat="1" applyFont="1" applyBorder="1"/>
    <xf numFmtId="1" fontId="0" fillId="2" borderId="7" xfId="0" applyNumberFormat="1" applyFill="1" applyBorder="1"/>
    <xf numFmtId="165" fontId="0" fillId="0" borderId="7" xfId="1" applyNumberFormat="1" applyFont="1" applyBorder="1"/>
    <xf numFmtId="0" fontId="0" fillId="0" borderId="7" xfId="0" applyBorder="1"/>
    <xf numFmtId="1" fontId="3" fillId="3" borderId="7" xfId="0" applyNumberFormat="1" applyFont="1" applyFill="1" applyBorder="1"/>
    <xf numFmtId="1" fontId="3" fillId="3" borderId="7" xfId="0" applyNumberFormat="1" applyFont="1" applyFill="1" applyBorder="1" applyAlignment="1">
      <alignment horizontal="center"/>
    </xf>
    <xf numFmtId="166" fontId="3" fillId="3" borderId="7" xfId="0" applyNumberFormat="1" applyFont="1" applyFill="1" applyBorder="1" applyAlignment="1">
      <alignment horizontal="center"/>
    </xf>
    <xf numFmtId="166" fontId="3" fillId="3" borderId="0" xfId="0" applyNumberFormat="1" applyFont="1" applyFill="1" applyBorder="1" applyAlignment="1">
      <alignment horizontal="center"/>
    </xf>
    <xf numFmtId="166" fontId="3" fillId="3" borderId="7" xfId="0" applyNumberFormat="1" applyFont="1" applyFill="1" applyBorder="1"/>
    <xf numFmtId="0" fontId="0" fillId="0" borderId="0" xfId="0" applyAlignment="1">
      <alignment horizontal="left"/>
    </xf>
    <xf numFmtId="0" fontId="0" fillId="0" borderId="27" xfId="0" applyBorder="1"/>
    <xf numFmtId="0" fontId="3" fillId="0" borderId="7" xfId="0" applyFont="1" applyBorder="1"/>
    <xf numFmtId="9" fontId="0" fillId="0" borderId="0" xfId="2" applyFont="1"/>
    <xf numFmtId="10" fontId="3" fillId="0" borderId="0" xfId="2" applyNumberFormat="1" applyFont="1" applyAlignment="1">
      <alignment horizontal="center"/>
    </xf>
    <xf numFmtId="0" fontId="7" fillId="2" borderId="24" xfId="0" applyFont="1" applyFill="1" applyBorder="1"/>
    <xf numFmtId="0" fontId="7" fillId="2" borderId="25" xfId="0" applyFont="1" applyFill="1" applyBorder="1"/>
    <xf numFmtId="0" fontId="6" fillId="0" borderId="29" xfId="0" applyFont="1" applyBorder="1"/>
    <xf numFmtId="0" fontId="6" fillId="0" borderId="30" xfId="0" applyFont="1" applyBorder="1"/>
    <xf numFmtId="0" fontId="6" fillId="0" borderId="31" xfId="0" applyFont="1" applyBorder="1"/>
    <xf numFmtId="0" fontId="6" fillId="2" borderId="24" xfId="0" applyFont="1" applyFill="1" applyBorder="1"/>
    <xf numFmtId="0" fontId="6" fillId="2" borderId="25" xfId="0" applyFont="1" applyFill="1" applyBorder="1"/>
    <xf numFmtId="1" fontId="7" fillId="2" borderId="24" xfId="0" applyNumberFormat="1" applyFont="1" applyFill="1" applyBorder="1"/>
    <xf numFmtId="1" fontId="7" fillId="2" borderId="25" xfId="0" applyNumberFormat="1" applyFont="1" applyFill="1" applyBorder="1"/>
    <xf numFmtId="1" fontId="6" fillId="0" borderId="29" xfId="0" applyNumberFormat="1" applyFont="1" applyBorder="1"/>
    <xf numFmtId="1" fontId="6" fillId="0" borderId="30" xfId="0" applyNumberFormat="1" applyFont="1" applyBorder="1"/>
    <xf numFmtId="1" fontId="6" fillId="0" borderId="31" xfId="0" applyNumberFormat="1" applyFont="1" applyBorder="1"/>
    <xf numFmtId="1" fontId="7" fillId="2" borderId="26" xfId="0" applyNumberFormat="1" applyFont="1" applyFill="1" applyBorder="1"/>
    <xf numFmtId="1" fontId="7" fillId="2" borderId="31" xfId="0" applyNumberFormat="1" applyFont="1" applyFill="1" applyBorder="1"/>
    <xf numFmtId="0" fontId="8" fillId="0" borderId="0" xfId="0" applyFont="1" applyBorder="1"/>
    <xf numFmtId="9" fontId="5" fillId="0" borderId="0" xfId="2" applyNumberFormat="1" applyFont="1" applyFill="1" applyBorder="1"/>
    <xf numFmtId="167" fontId="5" fillId="0" borderId="0" xfId="2" applyNumberFormat="1" applyFont="1" applyFill="1" applyBorder="1"/>
    <xf numFmtId="0" fontId="0" fillId="0" borderId="0" xfId="0" applyFill="1" applyBorder="1"/>
    <xf numFmtId="9" fontId="0" fillId="0" borderId="0" xfId="2" applyNumberFormat="1" applyFont="1" applyFill="1" applyBorder="1"/>
    <xf numFmtId="10" fontId="0" fillId="0" borderId="0" xfId="2" applyNumberFormat="1" applyFont="1" applyFill="1" applyBorder="1"/>
    <xf numFmtId="10" fontId="0" fillId="0" borderId="0" xfId="0" applyNumberFormat="1" applyFill="1" applyBorder="1"/>
    <xf numFmtId="0" fontId="7" fillId="2" borderId="7" xfId="0" applyFont="1" applyFill="1" applyBorder="1"/>
    <xf numFmtId="0" fontId="0" fillId="0" borderId="8" xfId="0" applyFont="1" applyBorder="1"/>
    <xf numFmtId="1" fontId="7" fillId="0" borderId="0" xfId="0" applyNumberFormat="1" applyFont="1" applyFill="1" applyBorder="1"/>
    <xf numFmtId="1" fontId="7" fillId="2" borderId="8" xfId="0" applyNumberFormat="1" applyFont="1" applyFill="1" applyBorder="1"/>
    <xf numFmtId="0" fontId="7" fillId="2" borderId="8" xfId="0" applyFont="1" applyFill="1" applyBorder="1"/>
    <xf numFmtId="1" fontId="0" fillId="0" borderId="7" xfId="1" applyNumberFormat="1" applyFont="1" applyBorder="1"/>
    <xf numFmtId="0" fontId="0" fillId="0" borderId="7" xfId="0" applyFill="1" applyBorder="1"/>
    <xf numFmtId="0" fontId="0" fillId="0" borderId="0" xfId="0"/>
    <xf numFmtId="0" fontId="3" fillId="0" borderId="0" xfId="0" applyFont="1"/>
    <xf numFmtId="0" fontId="3" fillId="0" borderId="0" xfId="0" applyFont="1" applyBorder="1"/>
    <xf numFmtId="0" fontId="5" fillId="0" borderId="0" xfId="0" applyFont="1" applyFill="1" applyBorder="1"/>
    <xf numFmtId="9" fontId="5" fillId="0" borderId="0" xfId="2" applyFont="1" applyFill="1" applyBorder="1"/>
    <xf numFmtId="10" fontId="5" fillId="0" borderId="0" xfId="2" applyNumberFormat="1" applyFont="1" applyFill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11" xfId="0" applyFont="1" applyBorder="1"/>
    <xf numFmtId="0" fontId="6" fillId="0" borderId="12" xfId="0" applyFont="1" applyBorder="1"/>
    <xf numFmtId="0" fontId="7" fillId="2" borderId="10" xfId="0" applyFont="1" applyFill="1" applyBorder="1"/>
    <xf numFmtId="0" fontId="8" fillId="0" borderId="8" xfId="0" applyFont="1" applyBorder="1"/>
    <xf numFmtId="0" fontId="6" fillId="0" borderId="15" xfId="0" applyFont="1" applyBorder="1"/>
    <xf numFmtId="0" fontId="8" fillId="0" borderId="16" xfId="0" applyFont="1" applyBorder="1"/>
    <xf numFmtId="0" fontId="7" fillId="2" borderId="21" xfId="0" applyFont="1" applyFill="1" applyBorder="1"/>
    <xf numFmtId="0" fontId="7" fillId="2" borderId="22" xfId="0" applyFont="1" applyFill="1" applyBorder="1"/>
    <xf numFmtId="0" fontId="7" fillId="2" borderId="7" xfId="0" applyFont="1" applyFill="1" applyBorder="1"/>
    <xf numFmtId="0" fontId="7" fillId="2" borderId="23" xfId="0" applyFont="1" applyFill="1" applyBorder="1"/>
    <xf numFmtId="1" fontId="6" fillId="0" borderId="7" xfId="0" applyNumberFormat="1" applyFont="1" applyBorder="1"/>
    <xf numFmtId="1" fontId="6" fillId="0" borderId="8" xfId="0" applyNumberFormat="1" applyFont="1" applyBorder="1"/>
    <xf numFmtId="1" fontId="7" fillId="2" borderId="10" xfId="0" applyNumberFormat="1" applyFont="1" applyFill="1" applyBorder="1"/>
    <xf numFmtId="1" fontId="6" fillId="0" borderId="6" xfId="0" applyNumberFormat="1" applyFont="1" applyBorder="1"/>
    <xf numFmtId="1" fontId="6" fillId="0" borderId="5" xfId="0" applyNumberFormat="1" applyFont="1" applyBorder="1"/>
    <xf numFmtId="1" fontId="7" fillId="2" borderId="21" xfId="0" applyNumberFormat="1" applyFont="1" applyFill="1" applyBorder="1"/>
    <xf numFmtId="1" fontId="7" fillId="2" borderId="22" xfId="0" applyNumberFormat="1" applyFont="1" applyFill="1" applyBorder="1"/>
    <xf numFmtId="1" fontId="7" fillId="2" borderId="7" xfId="0" applyNumberFormat="1" applyFont="1" applyFill="1" applyBorder="1"/>
    <xf numFmtId="1" fontId="3" fillId="0" borderId="7" xfId="0" applyNumberFormat="1" applyFont="1" applyBorder="1"/>
    <xf numFmtId="1" fontId="0" fillId="2" borderId="7" xfId="0" applyNumberFormat="1" applyFill="1" applyBorder="1"/>
    <xf numFmtId="165" fontId="0" fillId="0" borderId="7" xfId="1" applyNumberFormat="1" applyFont="1" applyBorder="1"/>
    <xf numFmtId="0" fontId="6" fillId="0" borderId="16" xfId="0" applyFont="1" applyBorder="1"/>
    <xf numFmtId="0" fontId="6" fillId="0" borderId="10" xfId="0" applyFont="1" applyBorder="1"/>
    <xf numFmtId="9" fontId="0" fillId="0" borderId="0" xfId="2" applyFont="1"/>
    <xf numFmtId="10" fontId="3" fillId="0" borderId="0" xfId="2" applyNumberFormat="1" applyFont="1" applyAlignment="1">
      <alignment horizontal="center"/>
    </xf>
    <xf numFmtId="0" fontId="6" fillId="0" borderId="29" xfId="0" applyFont="1" applyBorder="1"/>
    <xf numFmtId="0" fontId="6" fillId="0" borderId="30" xfId="0" applyFont="1" applyBorder="1"/>
    <xf numFmtId="0" fontId="6" fillId="0" borderId="31" xfId="0" applyFont="1" applyBorder="1"/>
    <xf numFmtId="0" fontId="0" fillId="0" borderId="7" xfId="0" applyFont="1" applyBorder="1"/>
    <xf numFmtId="0" fontId="3" fillId="0" borderId="0" xfId="0" applyFont="1" applyFill="1" applyAlignment="1">
      <alignment horizontal="center"/>
    </xf>
    <xf numFmtId="9" fontId="3" fillId="0" borderId="0" xfId="2" applyFont="1"/>
    <xf numFmtId="167" fontId="3" fillId="0" borderId="0" xfId="2" applyNumberFormat="1" applyFont="1"/>
    <xf numFmtId="0" fontId="3" fillId="5" borderId="0" xfId="0" applyFont="1" applyFill="1" applyAlignment="1">
      <alignment horizontal="center"/>
    </xf>
    <xf numFmtId="1" fontId="3" fillId="2" borderId="0" xfId="0" applyNumberFormat="1" applyFont="1" applyFill="1" applyBorder="1" applyAlignment="1">
      <alignment horizontal="center"/>
    </xf>
    <xf numFmtId="10" fontId="3" fillId="0" borderId="0" xfId="2" applyNumberFormat="1" applyFont="1"/>
    <xf numFmtId="10" fontId="0" fillId="0" borderId="0" xfId="1" applyNumberFormat="1" applyFont="1"/>
    <xf numFmtId="10" fontId="0" fillId="0" borderId="0" xfId="0" applyNumberFormat="1"/>
    <xf numFmtId="0" fontId="7" fillId="2" borderId="28" xfId="0" applyFont="1" applyFill="1" applyBorder="1"/>
    <xf numFmtId="0" fontId="7" fillId="2" borderId="33" xfId="0" applyFont="1" applyFill="1" applyBorder="1"/>
    <xf numFmtId="1" fontId="7" fillId="2" borderId="33" xfId="0" applyNumberFormat="1" applyFont="1" applyFill="1" applyBorder="1"/>
    <xf numFmtId="1" fontId="7" fillId="2" borderId="28" xfId="0" applyNumberFormat="1" applyFont="1" applyFill="1" applyBorder="1"/>
    <xf numFmtId="1" fontId="6" fillId="0" borderId="10" xfId="0" applyNumberFormat="1" applyFont="1" applyBorder="1"/>
    <xf numFmtId="1" fontId="6" fillId="0" borderId="4" xfId="0" applyNumberFormat="1" applyFont="1" applyBorder="1"/>
    <xf numFmtId="1" fontId="7" fillId="2" borderId="23" xfId="0" applyNumberFormat="1" applyFont="1" applyFill="1" applyBorder="1"/>
    <xf numFmtId="0" fontId="7" fillId="2" borderId="39" xfId="0" applyFont="1" applyFill="1" applyBorder="1"/>
    <xf numFmtId="0" fontId="0" fillId="0" borderId="0" xfId="0" applyBorder="1"/>
    <xf numFmtId="1" fontId="3" fillId="0" borderId="0" xfId="0" applyNumberFormat="1" applyFont="1" applyBorder="1"/>
    <xf numFmtId="1" fontId="0" fillId="0" borderId="0" xfId="0" applyNumberFormat="1" applyFill="1" applyBorder="1"/>
    <xf numFmtId="0" fontId="6" fillId="0" borderId="4" xfId="0" applyFont="1" applyBorder="1"/>
    <xf numFmtId="0" fontId="7" fillId="2" borderId="17" xfId="0" applyFont="1" applyFill="1" applyBorder="1"/>
    <xf numFmtId="0" fontId="0" fillId="0" borderId="0" xfId="0" applyFont="1" applyAlignment="1">
      <alignment horizontal="left"/>
    </xf>
    <xf numFmtId="0" fontId="0" fillId="0" borderId="0" xfId="0" applyFont="1"/>
    <xf numFmtId="0" fontId="0" fillId="0" borderId="14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7" fillId="2" borderId="16" xfId="0" applyFont="1" applyFill="1" applyBorder="1"/>
    <xf numFmtId="0" fontId="7" fillId="2" borderId="15" xfId="0" applyFont="1" applyFill="1" applyBorder="1"/>
    <xf numFmtId="0" fontId="7" fillId="2" borderId="10" xfId="0" applyFont="1" applyFill="1" applyBorder="1"/>
    <xf numFmtId="0" fontId="7" fillId="2" borderId="7" xfId="0" applyFont="1" applyFill="1" applyBorder="1"/>
    <xf numFmtId="0" fontId="7" fillId="2" borderId="8" xfId="0" applyFont="1" applyFill="1" applyBorder="1"/>
    <xf numFmtId="0" fontId="7" fillId="2" borderId="28" xfId="0" applyFont="1" applyFill="1" applyBorder="1"/>
    <xf numFmtId="0" fontId="7" fillId="2" borderId="33" xfId="0" applyFont="1" applyFill="1" applyBorder="1"/>
    <xf numFmtId="0" fontId="7" fillId="2" borderId="40" xfId="0" applyFont="1" applyFill="1" applyBorder="1"/>
    <xf numFmtId="0" fontId="7" fillId="2" borderId="12" xfId="0" applyFont="1" applyFill="1" applyBorder="1"/>
    <xf numFmtId="0" fontId="0" fillId="0" borderId="42" xfId="0" applyBorder="1"/>
    <xf numFmtId="0" fontId="7" fillId="0" borderId="0" xfId="0" applyFont="1" applyFill="1" applyBorder="1"/>
    <xf numFmtId="0" fontId="7" fillId="0" borderId="42" xfId="0" applyFont="1" applyFill="1" applyBorder="1"/>
    <xf numFmtId="0" fontId="20" fillId="0" borderId="3" xfId="0" applyFont="1" applyBorder="1"/>
    <xf numFmtId="0" fontId="3" fillId="2" borderId="10" xfId="0" applyFont="1" applyFill="1" applyBorder="1"/>
    <xf numFmtId="0" fontId="0" fillId="0" borderId="3" xfId="0" applyFont="1" applyBorder="1"/>
    <xf numFmtId="0" fontId="0" fillId="0" borderId="6" xfId="0" applyFont="1" applyBorder="1"/>
    <xf numFmtId="0" fontId="0" fillId="0" borderId="5" xfId="0" applyFont="1" applyBorder="1"/>
    <xf numFmtId="0" fontId="3" fillId="2" borderId="24" xfId="0" applyFont="1" applyFill="1" applyBorder="1"/>
    <xf numFmtId="0" fontId="3" fillId="2" borderId="25" xfId="0" applyFont="1" applyFill="1" applyBorder="1"/>
    <xf numFmtId="0" fontId="3" fillId="0" borderId="0" xfId="0" applyFont="1" applyFill="1"/>
    <xf numFmtId="0" fontId="3" fillId="2" borderId="2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0" fillId="0" borderId="0" xfId="0" applyFont="1" applyBorder="1"/>
    <xf numFmtId="0" fontId="0" fillId="0" borderId="9" xfId="0" applyFont="1" applyBorder="1"/>
    <xf numFmtId="0" fontId="3" fillId="2" borderId="31" xfId="0" applyFont="1" applyFill="1" applyBorder="1"/>
    <xf numFmtId="165" fontId="1" fillId="0" borderId="7" xfId="1" applyNumberFormat="1" applyFont="1" applyBorder="1"/>
    <xf numFmtId="1" fontId="0" fillId="2" borderId="7" xfId="0" applyNumberFormat="1" applyFont="1" applyFill="1" applyBorder="1"/>
    <xf numFmtId="0" fontId="0" fillId="0" borderId="13" xfId="0" applyFont="1" applyBorder="1"/>
    <xf numFmtId="0" fontId="0" fillId="2" borderId="7" xfId="0" applyFont="1" applyFill="1" applyBorder="1"/>
    <xf numFmtId="0" fontId="0" fillId="0" borderId="29" xfId="0" applyFont="1" applyBorder="1"/>
    <xf numFmtId="0" fontId="0" fillId="0" borderId="30" xfId="0" applyFont="1" applyBorder="1"/>
    <xf numFmtId="0" fontId="0" fillId="0" borderId="10" xfId="0" applyFont="1" applyBorder="1"/>
    <xf numFmtId="0" fontId="0" fillId="2" borderId="10" xfId="0" applyFont="1" applyFill="1" applyBorder="1"/>
    <xf numFmtId="0" fontId="0" fillId="0" borderId="8" xfId="0" applyBorder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12" xfId="0" applyFont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8" fillId="4" borderId="8" xfId="0" applyFont="1" applyFill="1" applyBorder="1" applyAlignment="1">
      <alignment horizontal="right"/>
    </xf>
    <xf numFmtId="0" fontId="20" fillId="4" borderId="8" xfId="0" applyFont="1" applyFill="1" applyBorder="1" applyAlignment="1">
      <alignment horizontal="right"/>
    </xf>
    <xf numFmtId="0" fontId="0" fillId="0" borderId="7" xfId="0" applyFont="1" applyBorder="1" applyAlignment="1">
      <alignment horizontal="right"/>
    </xf>
    <xf numFmtId="0" fontId="0" fillId="0" borderId="33" xfId="0" applyFont="1" applyBorder="1" applyAlignment="1">
      <alignment horizontal="right"/>
    </xf>
    <xf numFmtId="0" fontId="0" fillId="0" borderId="11" xfId="0" applyFont="1" applyBorder="1"/>
    <xf numFmtId="0" fontId="0" fillId="0" borderId="12" xfId="0" applyFont="1" applyBorder="1"/>
    <xf numFmtId="0" fontId="0" fillId="0" borderId="7" xfId="0" applyFont="1" applyFill="1" applyBorder="1"/>
    <xf numFmtId="0" fontId="20" fillId="0" borderId="8" xfId="0" applyFont="1" applyBorder="1"/>
    <xf numFmtId="0" fontId="3" fillId="2" borderId="39" xfId="0" applyFont="1" applyFill="1" applyBorder="1"/>
    <xf numFmtId="0" fontId="0" fillId="2" borderId="4" xfId="0" applyFont="1" applyFill="1" applyBorder="1"/>
    <xf numFmtId="0" fontId="0" fillId="2" borderId="24" xfId="0" applyFont="1" applyFill="1" applyBorder="1"/>
    <xf numFmtId="0" fontId="0" fillId="2" borderId="25" xfId="0" applyFont="1" applyFill="1" applyBorder="1"/>
    <xf numFmtId="0" fontId="3" fillId="2" borderId="23" xfId="0" applyFont="1" applyFill="1" applyBorder="1"/>
    <xf numFmtId="0" fontId="0" fillId="2" borderId="8" xfId="0" applyFont="1" applyFill="1" applyBorder="1"/>
    <xf numFmtId="0" fontId="1" fillId="0" borderId="0" xfId="0" applyFont="1"/>
    <xf numFmtId="0" fontId="1" fillId="0" borderId="12" xfId="0" applyFont="1" applyBorder="1"/>
    <xf numFmtId="0" fontId="1" fillId="0" borderId="11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10" xfId="0" applyFont="1" applyBorder="1"/>
    <xf numFmtId="0" fontId="1" fillId="2" borderId="10" xfId="0" applyFont="1" applyFill="1" applyBorder="1"/>
    <xf numFmtId="0" fontId="1" fillId="0" borderId="6" xfId="0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29" xfId="0" applyFont="1" applyBorder="1"/>
    <xf numFmtId="0" fontId="1" fillId="0" borderId="30" xfId="0" applyFont="1" applyBorder="1"/>
    <xf numFmtId="0" fontId="1" fillId="2" borderId="4" xfId="0" applyFont="1" applyFill="1" applyBorder="1"/>
    <xf numFmtId="0" fontId="3" fillId="2" borderId="21" xfId="0" applyFont="1" applyFill="1" applyBorder="1"/>
    <xf numFmtId="0" fontId="3" fillId="2" borderId="22" xfId="0" applyFont="1" applyFill="1" applyBorder="1"/>
    <xf numFmtId="0" fontId="3" fillId="2" borderId="16" xfId="0" applyFont="1" applyFill="1" applyBorder="1"/>
    <xf numFmtId="0" fontId="3" fillId="2" borderId="15" xfId="0" applyFont="1" applyFill="1" applyBorder="1"/>
    <xf numFmtId="0" fontId="3" fillId="2" borderId="17" xfId="0" applyFont="1" applyFill="1" applyBorder="1"/>
    <xf numFmtId="0" fontId="3" fillId="2" borderId="36" xfId="0" applyFont="1" applyFill="1" applyBorder="1" applyAlignment="1">
      <alignment horizontal="right"/>
    </xf>
    <xf numFmtId="0" fontId="3" fillId="2" borderId="30" xfId="0" applyFont="1" applyFill="1" applyBorder="1" applyAlignment="1">
      <alignment horizontal="right"/>
    </xf>
    <xf numFmtId="0" fontId="3" fillId="2" borderId="37" xfId="0" applyFont="1" applyFill="1" applyBorder="1" applyAlignment="1">
      <alignment horizontal="right"/>
    </xf>
    <xf numFmtId="0" fontId="3" fillId="2" borderId="29" xfId="0" applyFont="1" applyFill="1" applyBorder="1" applyAlignment="1">
      <alignment horizontal="right"/>
    </xf>
    <xf numFmtId="0" fontId="3" fillId="2" borderId="31" xfId="0" applyFont="1" applyFill="1" applyBorder="1" applyAlignment="1">
      <alignment horizontal="right"/>
    </xf>
    <xf numFmtId="0" fontId="1" fillId="0" borderId="0" xfId="0" applyFont="1" applyBorder="1"/>
    <xf numFmtId="0" fontId="0" fillId="0" borderId="31" xfId="0" applyFont="1" applyBorder="1"/>
    <xf numFmtId="0" fontId="0" fillId="0" borderId="4" xfId="0" applyFont="1" applyBorder="1"/>
    <xf numFmtId="0" fontId="6" fillId="0" borderId="0" xfId="0" applyFont="1" applyAlignment="1">
      <alignment horizontal="right"/>
    </xf>
    <xf numFmtId="0" fontId="6" fillId="0" borderId="6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7" fillId="2" borderId="4" xfId="0" applyFont="1" applyFill="1" applyBorder="1"/>
    <xf numFmtId="0" fontId="7" fillId="2" borderId="26" xfId="0" applyFont="1" applyFill="1" applyBorder="1"/>
    <xf numFmtId="0" fontId="6" fillId="0" borderId="27" xfId="0" applyFont="1" applyBorder="1"/>
    <xf numFmtId="0" fontId="3" fillId="2" borderId="7" xfId="0" applyFont="1" applyFill="1" applyBorder="1" applyAlignment="1">
      <alignment horizontal="right"/>
    </xf>
    <xf numFmtId="0" fontId="20" fillId="0" borderId="0" xfId="0" applyFont="1"/>
    <xf numFmtId="0" fontId="20" fillId="0" borderId="3" xfId="0" applyFont="1" applyBorder="1" applyAlignment="1">
      <alignment horizontal="left"/>
    </xf>
    <xf numFmtId="0" fontId="8" fillId="0" borderId="0" xfId="0" applyFont="1"/>
    <xf numFmtId="0" fontId="8" fillId="0" borderId="7" xfId="0" applyFont="1" applyBorder="1"/>
    <xf numFmtId="0" fontId="23" fillId="2" borderId="10" xfId="0" applyFont="1" applyFill="1" applyBorder="1"/>
    <xf numFmtId="0" fontId="20" fillId="0" borderId="42" xfId="0" applyFont="1" applyBorder="1"/>
    <xf numFmtId="0" fontId="20" fillId="0" borderId="0" xfId="0" applyFont="1" applyBorder="1"/>
    <xf numFmtId="0" fontId="20" fillId="0" borderId="9" xfId="0" applyFont="1" applyBorder="1" applyAlignment="1">
      <alignment horizontal="left"/>
    </xf>
    <xf numFmtId="0" fontId="23" fillId="2" borderId="20" xfId="0" applyFont="1" applyFill="1" applyBorder="1"/>
    <xf numFmtId="0" fontId="21" fillId="0" borderId="0" xfId="0" applyFont="1" applyFill="1"/>
    <xf numFmtId="0" fontId="21" fillId="0" borderId="0" xfId="0" applyFont="1"/>
    <xf numFmtId="0" fontId="21" fillId="2" borderId="33" xfId="0" applyFont="1" applyFill="1" applyBorder="1" applyAlignment="1">
      <alignment horizontal="right"/>
    </xf>
    <xf numFmtId="0" fontId="21" fillId="2" borderId="8" xfId="0" applyFont="1" applyFill="1" applyBorder="1"/>
    <xf numFmtId="0" fontId="21" fillId="2" borderId="7" xfId="0" applyFont="1" applyFill="1" applyBorder="1"/>
    <xf numFmtId="0" fontId="21" fillId="2" borderId="10" xfId="0" applyFont="1" applyFill="1" applyBorder="1"/>
    <xf numFmtId="10" fontId="21" fillId="0" borderId="0" xfId="2" applyNumberFormat="1" applyFont="1"/>
    <xf numFmtId="9" fontId="21" fillId="0" borderId="0" xfId="2" applyNumberFormat="1" applyFont="1"/>
    <xf numFmtId="9" fontId="21" fillId="0" borderId="0" xfId="0" applyNumberFormat="1" applyFont="1"/>
    <xf numFmtId="10" fontId="21" fillId="0" borderId="0" xfId="2" applyNumberFormat="1" applyFont="1" applyFill="1"/>
    <xf numFmtId="0" fontId="21" fillId="0" borderId="0" xfId="0" applyFont="1" applyFill="1" applyBorder="1"/>
    <xf numFmtId="0" fontId="21" fillId="0" borderId="1" xfId="0" applyFont="1" applyBorder="1"/>
    <xf numFmtId="0" fontId="21" fillId="0" borderId="0" xfId="0" applyFont="1" applyBorder="1"/>
    <xf numFmtId="0" fontId="0" fillId="0" borderId="14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5" fillId="0" borderId="0" xfId="0" applyFont="1"/>
    <xf numFmtId="0" fontId="4" fillId="0" borderId="0" xfId="0" applyFont="1" applyFill="1" applyBorder="1"/>
    <xf numFmtId="0" fontId="2" fillId="0" borderId="0" xfId="0" applyFont="1" applyFill="1" applyBorder="1"/>
    <xf numFmtId="0" fontId="3" fillId="2" borderId="30" xfId="0" applyFont="1" applyFill="1" applyBorder="1"/>
    <xf numFmtId="0" fontId="21" fillId="2" borderId="16" xfId="0" applyFont="1" applyFill="1" applyBorder="1"/>
    <xf numFmtId="0" fontId="23" fillId="2" borderId="4" xfId="0" applyFont="1" applyFill="1" applyBorder="1"/>
    <xf numFmtId="0" fontId="21" fillId="2" borderId="15" xfId="0" applyFont="1" applyFill="1" applyBorder="1"/>
    <xf numFmtId="0" fontId="21" fillId="2" borderId="17" xfId="0" applyFont="1" applyFill="1" applyBorder="1"/>
    <xf numFmtId="0" fontId="21" fillId="2" borderId="10" xfId="0" applyFont="1" applyFill="1" applyBorder="1" applyAlignment="1">
      <alignment horizontal="right"/>
    </xf>
    <xf numFmtId="0" fontId="21" fillId="2" borderId="21" xfId="0" applyFont="1" applyFill="1" applyBorder="1"/>
    <xf numFmtId="0" fontId="21" fillId="2" borderId="22" xfId="0" applyFont="1" applyFill="1" applyBorder="1"/>
    <xf numFmtId="0" fontId="21" fillId="2" borderId="23" xfId="0" applyFont="1" applyFill="1" applyBorder="1"/>
    <xf numFmtId="0" fontId="21" fillId="2" borderId="8" xfId="0" applyFont="1" applyFill="1" applyBorder="1" applyAlignment="1">
      <alignment horizontal="right"/>
    </xf>
    <xf numFmtId="0" fontId="21" fillId="2" borderId="7" xfId="0" applyFont="1" applyFill="1" applyBorder="1" applyAlignment="1">
      <alignment horizontal="right"/>
    </xf>
    <xf numFmtId="0" fontId="7" fillId="2" borderId="44" xfId="0" applyFont="1" applyFill="1" applyBorder="1"/>
    <xf numFmtId="0" fontId="7" fillId="2" borderId="45" xfId="0" applyFont="1" applyFill="1" applyBorder="1"/>
    <xf numFmtId="0" fontId="8" fillId="0" borderId="15" xfId="0" applyFont="1" applyBorder="1"/>
    <xf numFmtId="0" fontId="8" fillId="0" borderId="17" xfId="0" applyFont="1" applyBorder="1"/>
    <xf numFmtId="0" fontId="8" fillId="0" borderId="10" xfId="0" applyFont="1" applyBorder="1"/>
    <xf numFmtId="0" fontId="6" fillId="0" borderId="38" xfId="0" applyFont="1" applyBorder="1"/>
    <xf numFmtId="0" fontId="25" fillId="0" borderId="0" xfId="0" applyFont="1"/>
    <xf numFmtId="0" fontId="7" fillId="2" borderId="46" xfId="0" applyFont="1" applyFill="1" applyBorder="1"/>
    <xf numFmtId="0" fontId="6" fillId="0" borderId="42" xfId="0" applyFont="1" applyBorder="1"/>
    <xf numFmtId="0" fontId="26" fillId="0" borderId="48" xfId="0" applyFont="1" applyBorder="1"/>
    <xf numFmtId="165" fontId="1" fillId="0" borderId="7" xfId="1" applyNumberFormat="1" applyFont="1" applyFill="1" applyBorder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/>
    <xf numFmtId="1" fontId="8" fillId="0" borderId="34" xfId="0" applyNumberFormat="1" applyFont="1" applyBorder="1"/>
    <xf numFmtId="0" fontId="8" fillId="0" borderId="33" xfId="0" applyFont="1" applyBorder="1"/>
    <xf numFmtId="0" fontId="6" fillId="0" borderId="8" xfId="0" applyFont="1" applyBorder="1"/>
    <xf numFmtId="0" fontId="6" fillId="0" borderId="7" xfId="0" applyFont="1" applyBorder="1"/>
    <xf numFmtId="0" fontId="6" fillId="0" borderId="10" xfId="0" applyFont="1" applyBorder="1"/>
    <xf numFmtId="0" fontId="8" fillId="0" borderId="33" xfId="0" applyFont="1" applyBorder="1"/>
    <xf numFmtId="0" fontId="6" fillId="0" borderId="8" xfId="0" applyFont="1" applyBorder="1"/>
    <xf numFmtId="0" fontId="6" fillId="0" borderId="7" xfId="0" applyFont="1" applyBorder="1"/>
    <xf numFmtId="0" fontId="6" fillId="0" borderId="10" xfId="0" applyFont="1" applyBorder="1"/>
    <xf numFmtId="1" fontId="8" fillId="0" borderId="33" xfId="0" applyNumberFormat="1" applyFont="1" applyBorder="1"/>
    <xf numFmtId="1" fontId="6" fillId="0" borderId="7" xfId="0" applyNumberFormat="1" applyFont="1" applyBorder="1"/>
    <xf numFmtId="1" fontId="6" fillId="0" borderId="8" xfId="0" applyNumberFormat="1" applyFont="1" applyBorder="1"/>
    <xf numFmtId="1" fontId="6" fillId="0" borderId="10" xfId="0" applyNumberFormat="1" applyFont="1" applyBorder="1"/>
    <xf numFmtId="1" fontId="8" fillId="0" borderId="33" xfId="0" applyNumberFormat="1" applyFont="1" applyBorder="1"/>
    <xf numFmtId="1" fontId="6" fillId="0" borderId="7" xfId="0" applyNumberFormat="1" applyFont="1" applyBorder="1"/>
    <xf numFmtId="1" fontId="6" fillId="0" borderId="8" xfId="0" applyNumberFormat="1" applyFont="1" applyBorder="1"/>
    <xf numFmtId="1" fontId="6" fillId="0" borderId="10" xfId="0" applyNumberFormat="1" applyFont="1" applyBorder="1"/>
    <xf numFmtId="1" fontId="8" fillId="0" borderId="33" xfId="0" applyNumberFormat="1" applyFont="1" applyBorder="1"/>
    <xf numFmtId="1" fontId="6" fillId="0" borderId="7" xfId="0" applyNumberFormat="1" applyFont="1" applyBorder="1"/>
    <xf numFmtId="1" fontId="6" fillId="0" borderId="8" xfId="0" applyNumberFormat="1" applyFont="1" applyBorder="1"/>
    <xf numFmtId="1" fontId="6" fillId="0" borderId="10" xfId="0" applyNumberFormat="1" applyFont="1" applyBorder="1"/>
    <xf numFmtId="1" fontId="8" fillId="0" borderId="33" xfId="0" applyNumberFormat="1" applyFont="1" applyBorder="1"/>
    <xf numFmtId="1" fontId="6" fillId="0" borderId="7" xfId="0" applyNumberFormat="1" applyFont="1" applyBorder="1"/>
    <xf numFmtId="1" fontId="6" fillId="0" borderId="8" xfId="0" applyNumberFormat="1" applyFont="1" applyBorder="1"/>
    <xf numFmtId="1" fontId="6" fillId="0" borderId="10" xfId="0" applyNumberFormat="1" applyFont="1" applyBorder="1"/>
    <xf numFmtId="1" fontId="8" fillId="0" borderId="33" xfId="0" applyNumberFormat="1" applyFont="1" applyBorder="1"/>
    <xf numFmtId="1" fontId="6" fillId="0" borderId="7" xfId="0" applyNumberFormat="1" applyFont="1" applyBorder="1"/>
    <xf numFmtId="1" fontId="6" fillId="0" borderId="8" xfId="0" applyNumberFormat="1" applyFont="1" applyBorder="1"/>
    <xf numFmtId="1" fontId="6" fillId="0" borderId="10" xfId="0" applyNumberFormat="1" applyFont="1" applyBorder="1"/>
    <xf numFmtId="0" fontId="6" fillId="0" borderId="8" xfId="0" applyFont="1" applyBorder="1"/>
    <xf numFmtId="0" fontId="6" fillId="0" borderId="7" xfId="0" applyFont="1" applyBorder="1"/>
    <xf numFmtId="0" fontId="6" fillId="0" borderId="10" xfId="0" applyFont="1" applyBorder="1"/>
    <xf numFmtId="1" fontId="6" fillId="0" borderId="5" xfId="0" applyNumberFormat="1" applyFont="1" applyBorder="1"/>
    <xf numFmtId="1" fontId="6" fillId="0" borderId="6" xfId="0" applyNumberFormat="1" applyFont="1" applyBorder="1"/>
    <xf numFmtId="1" fontId="6" fillId="0" borderId="4" xfId="0" applyNumberFormat="1" applyFont="1" applyBorder="1"/>
    <xf numFmtId="1" fontId="8" fillId="0" borderId="33" xfId="0" applyNumberFormat="1" applyFont="1" applyBorder="1"/>
    <xf numFmtId="1" fontId="6" fillId="0" borderId="7" xfId="0" applyNumberFormat="1" applyFont="1" applyBorder="1"/>
    <xf numFmtId="1" fontId="6" fillId="0" borderId="8" xfId="0" applyNumberFormat="1" applyFont="1" applyBorder="1"/>
    <xf numFmtId="1" fontId="6" fillId="0" borderId="10" xfId="0" applyNumberFormat="1" applyFont="1" applyBorder="1"/>
    <xf numFmtId="1" fontId="8" fillId="0" borderId="33" xfId="0" applyNumberFormat="1" applyFont="1" applyBorder="1"/>
    <xf numFmtId="1" fontId="6" fillId="0" borderId="7" xfId="0" applyNumberFormat="1" applyFont="1" applyBorder="1"/>
    <xf numFmtId="1" fontId="6" fillId="0" borderId="8" xfId="0" applyNumberFormat="1" applyFont="1" applyBorder="1"/>
    <xf numFmtId="1" fontId="6" fillId="0" borderId="10" xfId="0" applyNumberFormat="1" applyFont="1" applyBorder="1"/>
    <xf numFmtId="1" fontId="6" fillId="0" borderId="7" xfId="0" applyNumberFormat="1" applyFont="1" applyBorder="1"/>
    <xf numFmtId="1" fontId="6" fillId="0" borderId="8" xfId="0" applyNumberFormat="1" applyFont="1" applyBorder="1"/>
    <xf numFmtId="1" fontId="6" fillId="0" borderId="10" xfId="0" applyNumberFormat="1" applyFont="1" applyBorder="1"/>
    <xf numFmtId="1" fontId="6" fillId="0" borderId="33" xfId="0" applyNumberFormat="1" applyFont="1" applyBorder="1"/>
    <xf numFmtId="1" fontId="6" fillId="0" borderId="7" xfId="0" applyNumberFormat="1" applyFont="1" applyBorder="1"/>
    <xf numFmtId="1" fontId="6" fillId="0" borderId="8" xfId="0" applyNumberFormat="1" applyFont="1" applyBorder="1"/>
    <xf numFmtId="1" fontId="6" fillId="0" borderId="10" xfId="0" applyNumberFormat="1" applyFont="1" applyBorder="1"/>
    <xf numFmtId="1" fontId="6" fillId="0" borderId="38" xfId="0" applyNumberFormat="1" applyFont="1" applyBorder="1"/>
    <xf numFmtId="1" fontId="6" fillId="0" borderId="11" xfId="0" applyNumberFormat="1" applyFont="1" applyBorder="1"/>
    <xf numFmtId="0" fontId="0" fillId="0" borderId="3" xfId="0" applyFont="1" applyFill="1" applyBorder="1"/>
    <xf numFmtId="0" fontId="6" fillId="0" borderId="13" xfId="0" applyFont="1" applyFill="1" applyBorder="1"/>
    <xf numFmtId="1" fontId="0" fillId="0" borderId="4" xfId="0" applyNumberFormat="1" applyFont="1" applyBorder="1"/>
    <xf numFmtId="1" fontId="0" fillId="0" borderId="6" xfId="0" applyNumberFormat="1" applyFont="1" applyBorder="1"/>
    <xf numFmtId="1" fontId="0" fillId="0" borderId="8" xfId="0" applyNumberFormat="1" applyFont="1" applyBorder="1"/>
    <xf numFmtId="1" fontId="0" fillId="0" borderId="7" xfId="0" applyNumberFormat="1" applyFont="1" applyBorder="1"/>
    <xf numFmtId="1" fontId="0" fillId="0" borderId="10" xfId="0" applyNumberFormat="1" applyFont="1" applyBorder="1"/>
    <xf numFmtId="1" fontId="0" fillId="0" borderId="8" xfId="0" applyNumberFormat="1" applyFont="1" applyBorder="1"/>
    <xf numFmtId="1" fontId="0" fillId="0" borderId="7" xfId="0" applyNumberFormat="1" applyFont="1" applyBorder="1"/>
    <xf numFmtId="1" fontId="0" fillId="0" borderId="10" xfId="0" applyNumberFormat="1" applyFont="1" applyBorder="1"/>
    <xf numFmtId="1" fontId="0" fillId="0" borderId="8" xfId="0" applyNumberFormat="1" applyFont="1" applyBorder="1"/>
    <xf numFmtId="1" fontId="0" fillId="0" borderId="7" xfId="0" applyNumberFormat="1" applyFont="1" applyBorder="1"/>
    <xf numFmtId="1" fontId="0" fillId="0" borderId="10" xfId="0" applyNumberFormat="1" applyFont="1" applyBorder="1"/>
    <xf numFmtId="1" fontId="0" fillId="0" borderId="8" xfId="0" applyNumberFormat="1" applyFont="1" applyBorder="1"/>
    <xf numFmtId="1" fontId="0" fillId="0" borderId="7" xfId="0" applyNumberFormat="1" applyFont="1" applyBorder="1"/>
    <xf numFmtId="1" fontId="0" fillId="0" borderId="10" xfId="0" applyNumberFormat="1" applyFont="1" applyBorder="1"/>
    <xf numFmtId="1" fontId="0" fillId="0" borderId="5" xfId="0" applyNumberFormat="1" applyFont="1" applyBorder="1"/>
    <xf numFmtId="1" fontId="0" fillId="0" borderId="8" xfId="0" applyNumberFormat="1" applyFont="1" applyBorder="1"/>
    <xf numFmtId="1" fontId="0" fillId="0" borderId="7" xfId="0" applyNumberFormat="1" applyFont="1" applyBorder="1"/>
    <xf numFmtId="1" fontId="0" fillId="0" borderId="10" xfId="0" applyNumberFormat="1" applyFont="1" applyBorder="1"/>
    <xf numFmtId="1" fontId="0" fillId="0" borderId="8" xfId="0" applyNumberFormat="1" applyFont="1" applyBorder="1"/>
    <xf numFmtId="1" fontId="0" fillId="0" borderId="7" xfId="0" applyNumberFormat="1" applyFont="1" applyBorder="1"/>
    <xf numFmtId="1" fontId="0" fillId="0" borderId="10" xfId="0" applyNumberFormat="1" applyFont="1" applyBorder="1"/>
    <xf numFmtId="1" fontId="0" fillId="0" borderId="8" xfId="0" applyNumberFormat="1" applyFont="1" applyBorder="1"/>
    <xf numFmtId="1" fontId="0" fillId="0" borderId="7" xfId="0" applyNumberFormat="1" applyFont="1" applyBorder="1"/>
    <xf numFmtId="1" fontId="0" fillId="0" borderId="10" xfId="0" applyNumberFormat="1" applyFont="1" applyBorder="1"/>
    <xf numFmtId="1" fontId="0" fillId="0" borderId="8" xfId="0" applyNumberFormat="1" applyFont="1" applyBorder="1"/>
    <xf numFmtId="1" fontId="0" fillId="0" borderId="7" xfId="0" applyNumberFormat="1" applyFont="1" applyBorder="1"/>
    <xf numFmtId="1" fontId="0" fillId="0" borderId="10" xfId="0" applyNumberFormat="1" applyFont="1" applyBorder="1"/>
    <xf numFmtId="1" fontId="0" fillId="0" borderId="8" xfId="0" applyNumberFormat="1" applyFont="1" applyBorder="1"/>
    <xf numFmtId="1" fontId="0" fillId="0" borderId="7" xfId="0" applyNumberFormat="1" applyFont="1" applyBorder="1"/>
    <xf numFmtId="1" fontId="0" fillId="0" borderId="10" xfId="0" applyNumberFormat="1" applyFont="1" applyBorder="1"/>
    <xf numFmtId="1" fontId="0" fillId="0" borderId="8" xfId="0" applyNumberFormat="1" applyFont="1" applyBorder="1"/>
    <xf numFmtId="1" fontId="0" fillId="0" borderId="7" xfId="0" applyNumberFormat="1" applyFont="1" applyBorder="1"/>
    <xf numFmtId="1" fontId="0" fillId="0" borderId="10" xfId="0" applyNumberFormat="1" applyFont="1" applyBorder="1"/>
    <xf numFmtId="1" fontId="0" fillId="0" borderId="8" xfId="0" applyNumberFormat="1" applyFont="1" applyBorder="1"/>
    <xf numFmtId="1" fontId="0" fillId="0" borderId="7" xfId="0" applyNumberFormat="1" applyFont="1" applyBorder="1"/>
    <xf numFmtId="1" fontId="0" fillId="0" borderId="10" xfId="0" applyNumberFormat="1" applyFont="1" applyBorder="1"/>
    <xf numFmtId="0" fontId="0" fillId="4" borderId="14" xfId="0" applyFont="1" applyFill="1" applyBorder="1" applyAlignment="1">
      <alignment horizontal="left"/>
    </xf>
    <xf numFmtId="0" fontId="0" fillId="4" borderId="3" xfId="0" applyFont="1" applyFill="1" applyBorder="1" applyAlignment="1">
      <alignment horizontal="left"/>
    </xf>
    <xf numFmtId="0" fontId="0" fillId="4" borderId="13" xfId="0" applyFont="1" applyFill="1" applyBorder="1"/>
    <xf numFmtId="0" fontId="6" fillId="4" borderId="3" xfId="0" applyFont="1" applyFill="1" applyBorder="1"/>
    <xf numFmtId="1" fontId="6" fillId="0" borderId="27" xfId="0" applyNumberFormat="1" applyFont="1" applyBorder="1"/>
    <xf numFmtId="1" fontId="8" fillId="0" borderId="33" xfId="0" applyNumberFormat="1" applyFont="1" applyBorder="1"/>
    <xf numFmtId="1" fontId="8" fillId="0" borderId="7" xfId="0" applyNumberFormat="1" applyFont="1" applyBorder="1"/>
    <xf numFmtId="1" fontId="8" fillId="0" borderId="10" xfId="0" applyNumberFormat="1" applyFont="1" applyBorder="1"/>
    <xf numFmtId="1" fontId="8" fillId="0" borderId="8" xfId="0" applyNumberFormat="1" applyFont="1" applyBorder="1"/>
    <xf numFmtId="0" fontId="0" fillId="0" borderId="8" xfId="0" applyFont="1" applyBorder="1"/>
    <xf numFmtId="0" fontId="0" fillId="0" borderId="7" xfId="0" applyFont="1" applyBorder="1"/>
    <xf numFmtId="0" fontId="0" fillId="0" borderId="10" xfId="0" applyFont="1" applyBorder="1"/>
    <xf numFmtId="0" fontId="0" fillId="0" borderId="44" xfId="0" applyFont="1" applyBorder="1"/>
    <xf numFmtId="0" fontId="0" fillId="0" borderId="25" xfId="0" applyFont="1" applyBorder="1"/>
    <xf numFmtId="0" fontId="26" fillId="0" borderId="0" xfId="0" applyFont="1" applyBorder="1"/>
    <xf numFmtId="0" fontId="0" fillId="0" borderId="0" xfId="0"/>
    <xf numFmtId="0" fontId="6" fillId="0" borderId="0" xfId="0" applyFont="1"/>
    <xf numFmtId="1" fontId="0" fillId="0" borderId="33" xfId="0" applyNumberFormat="1" applyFont="1" applyFill="1" applyBorder="1"/>
    <xf numFmtId="1" fontId="0" fillId="0" borderId="7" xfId="0" applyNumberFormat="1" applyFont="1" applyFill="1" applyBorder="1"/>
    <xf numFmtId="1" fontId="0" fillId="0" borderId="10" xfId="0" applyNumberFormat="1" applyFont="1" applyFill="1" applyBorder="1"/>
    <xf numFmtId="1" fontId="0" fillId="0" borderId="8" xfId="0" applyNumberFormat="1" applyFont="1" applyFill="1" applyBorder="1"/>
    <xf numFmtId="168" fontId="29" fillId="0" borderId="50" xfId="16" applyFont="1" applyBorder="1"/>
    <xf numFmtId="168" fontId="29" fillId="0" borderId="51" xfId="16" applyFont="1" applyBorder="1"/>
    <xf numFmtId="168" fontId="29" fillId="0" borderId="53" xfId="16" applyFont="1" applyBorder="1"/>
    <xf numFmtId="168" fontId="29" fillId="0" borderId="52" xfId="16" applyFont="1" applyBorder="1"/>
    <xf numFmtId="0" fontId="6" fillId="0" borderId="5" xfId="0" applyFont="1" applyBorder="1"/>
    <xf numFmtId="0" fontId="6" fillId="0" borderId="6" xfId="0" applyFont="1" applyBorder="1"/>
    <xf numFmtId="0" fontId="7" fillId="2" borderId="31" xfId="0" applyFont="1" applyFill="1" applyBorder="1"/>
    <xf numFmtId="1" fontId="0" fillId="0" borderId="33" xfId="0" applyNumberFormat="1" applyFont="1" applyFill="1" applyBorder="1"/>
    <xf numFmtId="1" fontId="0" fillId="0" borderId="7" xfId="0" applyNumberFormat="1" applyFont="1" applyFill="1" applyBorder="1"/>
    <xf numFmtId="1" fontId="0" fillId="0" borderId="10" xfId="0" applyNumberFormat="1" applyFont="1" applyFill="1" applyBorder="1"/>
    <xf numFmtId="1" fontId="0" fillId="0" borderId="8" xfId="0" applyNumberFormat="1" applyFont="1" applyFill="1" applyBorder="1"/>
    <xf numFmtId="1" fontId="0" fillId="0" borderId="33" xfId="0" applyNumberFormat="1" applyFont="1" applyBorder="1"/>
    <xf numFmtId="1" fontId="0" fillId="0" borderId="7" xfId="0" applyNumberFormat="1" applyFont="1" applyBorder="1"/>
    <xf numFmtId="1" fontId="0" fillId="0" borderId="10" xfId="0" applyNumberFormat="1" applyFont="1" applyBorder="1"/>
    <xf numFmtId="1" fontId="0" fillId="0" borderId="8" xfId="0" applyNumberFormat="1" applyFont="1" applyBorder="1"/>
    <xf numFmtId="1" fontId="0" fillId="4" borderId="8" xfId="0" applyNumberFormat="1" applyFont="1" applyFill="1" applyBorder="1"/>
    <xf numFmtId="1" fontId="0" fillId="4" borderId="7" xfId="0" applyNumberFormat="1" applyFont="1" applyFill="1" applyBorder="1"/>
    <xf numFmtId="1" fontId="0" fillId="4" borderId="10" xfId="0" applyNumberFormat="1" applyFont="1" applyFill="1" applyBorder="1"/>
    <xf numFmtId="1" fontId="0" fillId="0" borderId="33" xfId="0" applyNumberFormat="1" applyFont="1" applyBorder="1"/>
    <xf numFmtId="1" fontId="0" fillId="0" borderId="7" xfId="0" applyNumberFormat="1" applyFont="1" applyBorder="1"/>
    <xf numFmtId="1" fontId="0" fillId="0" borderId="10" xfId="0" applyNumberFormat="1" applyFont="1" applyBorder="1"/>
    <xf numFmtId="1" fontId="0" fillId="0" borderId="8" xfId="0" applyNumberFormat="1" applyFont="1" applyBorder="1"/>
    <xf numFmtId="1" fontId="0" fillId="0" borderId="7" xfId="0" applyNumberFormat="1" applyFont="1" applyBorder="1"/>
    <xf numFmtId="1" fontId="0" fillId="0" borderId="10" xfId="0" applyNumberFormat="1" applyFont="1" applyBorder="1"/>
    <xf numFmtId="1" fontId="0" fillId="0" borderId="8" xfId="0" applyNumberFormat="1" applyFont="1" applyBorder="1"/>
    <xf numFmtId="1" fontId="28" fillId="0" borderId="7" xfId="15" applyNumberFormat="1" applyFont="1" applyBorder="1" applyAlignment="1"/>
    <xf numFmtId="1" fontId="28" fillId="0" borderId="10" xfId="15" applyNumberFormat="1" applyFont="1" applyBorder="1" applyAlignment="1"/>
    <xf numFmtId="1" fontId="28" fillId="0" borderId="12" xfId="15" applyNumberFormat="1" applyFont="1" applyBorder="1" applyAlignment="1"/>
    <xf numFmtId="1" fontId="28" fillId="0" borderId="11" xfId="15" applyNumberFormat="1" applyFont="1" applyBorder="1" applyAlignment="1"/>
    <xf numFmtId="1" fontId="28" fillId="0" borderId="39" xfId="15" applyNumberFormat="1" applyFont="1" applyBorder="1" applyAlignment="1"/>
    <xf numFmtId="1" fontId="28" fillId="0" borderId="8" xfId="15" applyNumberFormat="1" applyFont="1" applyBorder="1" applyAlignment="1"/>
    <xf numFmtId="0" fontId="6" fillId="0" borderId="7" xfId="0" applyFont="1" applyBorder="1"/>
    <xf numFmtId="0" fontId="6" fillId="0" borderId="33" xfId="0" applyFont="1" applyBorder="1"/>
    <xf numFmtId="0" fontId="0" fillId="0" borderId="39" xfId="0" applyFont="1" applyBorder="1"/>
    <xf numFmtId="0" fontId="0" fillId="0" borderId="8" xfId="0" applyFont="1" applyBorder="1"/>
    <xf numFmtId="0" fontId="0" fillId="0" borderId="7" xfId="0" applyFont="1" applyBorder="1"/>
    <xf numFmtId="0" fontId="0" fillId="0" borderId="10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33" xfId="0" applyFont="1" applyBorder="1"/>
    <xf numFmtId="0" fontId="6" fillId="0" borderId="10" xfId="0" applyFont="1" applyBorder="1"/>
    <xf numFmtId="0" fontId="6" fillId="0" borderId="0" xfId="0" applyFont="1"/>
    <xf numFmtId="1" fontId="8" fillId="0" borderId="33" xfId="0" applyNumberFormat="1" applyFont="1" applyBorder="1"/>
    <xf numFmtId="1" fontId="6" fillId="0" borderId="8" xfId="0" applyNumberFormat="1" applyFont="1" applyBorder="1"/>
    <xf numFmtId="0" fontId="6" fillId="0" borderId="7" xfId="0" applyFont="1" applyBorder="1"/>
    <xf numFmtId="0" fontId="6" fillId="0" borderId="28" xfId="0" applyFont="1" applyBorder="1"/>
    <xf numFmtId="0" fontId="6" fillId="0" borderId="8" xfId="0" applyFont="1" applyBorder="1"/>
    <xf numFmtId="0" fontId="6" fillId="0" borderId="11" xfId="0" applyFont="1" applyBorder="1"/>
    <xf numFmtId="0" fontId="6" fillId="0" borderId="33" xfId="0" applyFont="1" applyBorder="1"/>
    <xf numFmtId="0" fontId="6" fillId="0" borderId="10" xfId="0" applyFont="1" applyBorder="1"/>
    <xf numFmtId="0" fontId="6" fillId="0" borderId="34" xfId="0" applyFont="1" applyBorder="1"/>
    <xf numFmtId="0" fontId="6" fillId="0" borderId="5" xfId="0" applyFont="1" applyBorder="1"/>
    <xf numFmtId="0" fontId="6" fillId="0" borderId="4" xfId="0" applyFont="1" applyBorder="1"/>
    <xf numFmtId="0" fontId="6" fillId="0" borderId="6" xfId="0" applyFont="1" applyBorder="1"/>
    <xf numFmtId="0" fontId="6" fillId="0" borderId="33" xfId="0" applyFont="1" applyFill="1" applyBorder="1"/>
    <xf numFmtId="0" fontId="6" fillId="0" borderId="7" xfId="0" applyFont="1" applyFill="1" applyBorder="1"/>
    <xf numFmtId="0" fontId="6" fillId="0" borderId="10" xfId="0" applyFont="1" applyFill="1" applyBorder="1"/>
    <xf numFmtId="0" fontId="6" fillId="0" borderId="8" xfId="0" applyFont="1" applyFill="1" applyBorder="1"/>
    <xf numFmtId="0" fontId="6" fillId="0" borderId="44" xfId="0" applyFont="1" applyBorder="1"/>
    <xf numFmtId="0" fontId="6" fillId="0" borderId="25" xfId="0" applyFont="1" applyBorder="1"/>
    <xf numFmtId="0" fontId="6" fillId="0" borderId="26" xfId="0" applyFont="1" applyBorder="1"/>
    <xf numFmtId="0" fontId="6" fillId="0" borderId="12" xfId="0" applyFont="1" applyBorder="1"/>
    <xf numFmtId="0" fontId="6" fillId="0" borderId="39" xfId="0" applyFont="1" applyBorder="1"/>
    <xf numFmtId="0" fontId="6" fillId="0" borderId="24" xfId="0" applyFont="1" applyBorder="1"/>
    <xf numFmtId="1" fontId="0" fillId="0" borderId="33" xfId="0" applyNumberFormat="1" applyFont="1" applyFill="1" applyBorder="1"/>
    <xf numFmtId="1" fontId="0" fillId="0" borderId="7" xfId="0" applyNumberFormat="1" applyFont="1" applyFill="1" applyBorder="1"/>
    <xf numFmtId="1" fontId="0" fillId="0" borderId="10" xfId="0" applyNumberFormat="1" applyFont="1" applyFill="1" applyBorder="1"/>
    <xf numFmtId="1" fontId="0" fillId="0" borderId="8" xfId="0" applyNumberFormat="1" applyFont="1" applyFill="1" applyBorder="1"/>
    <xf numFmtId="1" fontId="0" fillId="0" borderId="6" xfId="0" applyNumberFormat="1" applyFont="1" applyFill="1" applyBorder="1"/>
    <xf numFmtId="1" fontId="0" fillId="0" borderId="5" xfId="0" applyNumberFormat="1" applyFont="1" applyFill="1" applyBorder="1"/>
    <xf numFmtId="1" fontId="0" fillId="0" borderId="4" xfId="0" applyNumberFormat="1" applyFont="1" applyFill="1" applyBorder="1"/>
    <xf numFmtId="0" fontId="3" fillId="2" borderId="36" xfId="0" applyFont="1" applyFill="1" applyBorder="1"/>
    <xf numFmtId="0" fontId="3" fillId="2" borderId="29" xfId="0" applyFont="1" applyFill="1" applyBorder="1"/>
    <xf numFmtId="0" fontId="7" fillId="2" borderId="47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10" xfId="0" applyFont="1" applyBorder="1"/>
    <xf numFmtId="0" fontId="20" fillId="0" borderId="33" xfId="0" applyFont="1" applyBorder="1"/>
    <xf numFmtId="0" fontId="7" fillId="2" borderId="20" xfId="0" applyFont="1" applyFill="1" applyBorder="1"/>
    <xf numFmtId="0" fontId="0" fillId="0" borderId="7" xfId="0" applyFont="1" applyBorder="1"/>
    <xf numFmtId="0" fontId="0" fillId="0" borderId="8" xfId="0" applyFont="1" applyBorder="1"/>
    <xf numFmtId="0" fontId="0" fillId="0" borderId="10" xfId="0" applyFont="1" applyBorder="1"/>
    <xf numFmtId="0" fontId="8" fillId="0" borderId="3" xfId="0" applyFont="1" applyBorder="1"/>
    <xf numFmtId="0" fontId="3" fillId="2" borderId="10" xfId="0" applyFont="1" applyFill="1" applyBorder="1"/>
    <xf numFmtId="0" fontId="6" fillId="0" borderId="13" xfId="0" applyFont="1" applyBorder="1"/>
    <xf numFmtId="0" fontId="0" fillId="0" borderId="11" xfId="0" applyFont="1" applyBorder="1"/>
    <xf numFmtId="0" fontId="3" fillId="2" borderId="21" xfId="0" applyFont="1" applyFill="1" applyBorder="1"/>
    <xf numFmtId="0" fontId="3" fillId="2" borderId="22" xfId="0" applyFont="1" applyFill="1" applyBorder="1"/>
    <xf numFmtId="0" fontId="3" fillId="2" borderId="24" xfId="0" applyFont="1" applyFill="1" applyBorder="1"/>
    <xf numFmtId="0" fontId="3" fillId="2" borderId="25" xfId="0" applyFont="1" applyFill="1" applyBorder="1"/>
    <xf numFmtId="0" fontId="3" fillId="2" borderId="23" xfId="0" applyFont="1" applyFill="1" applyBorder="1"/>
    <xf numFmtId="0" fontId="3" fillId="0" borderId="0" xfId="0" applyFont="1" applyFill="1"/>
    <xf numFmtId="0" fontId="3" fillId="2" borderId="7" xfId="0" applyFont="1" applyFill="1" applyBorder="1"/>
    <xf numFmtId="0" fontId="0" fillId="0" borderId="0" xfId="0" applyFont="1" applyBorder="1"/>
    <xf numFmtId="0" fontId="20" fillId="0" borderId="33" xfId="0" applyFont="1" applyBorder="1"/>
    <xf numFmtId="0" fontId="6" fillId="0" borderId="38" xfId="0" applyFont="1" applyBorder="1" applyAlignment="1"/>
    <xf numFmtId="0" fontId="6" fillId="0" borderId="11" xfId="0" applyFont="1" applyBorder="1" applyAlignment="1"/>
    <xf numFmtId="0" fontId="6" fillId="0" borderId="8" xfId="0" applyFont="1" applyBorder="1" applyAlignment="1"/>
    <xf numFmtId="0" fontId="6" fillId="0" borderId="7" xfId="0" applyFont="1" applyBorder="1" applyAlignment="1"/>
    <xf numFmtId="0" fontId="6" fillId="0" borderId="10" xfId="0" applyFont="1" applyBorder="1" applyAlignment="1"/>
    <xf numFmtId="0" fontId="8" fillId="0" borderId="33" xfId="0" applyFont="1" applyBorder="1" applyAlignment="1"/>
    <xf numFmtId="0" fontId="0" fillId="0" borderId="7" xfId="0" applyBorder="1" applyAlignment="1"/>
    <xf numFmtId="0" fontId="0" fillId="0" borderId="10" xfId="0" applyBorder="1" applyAlignment="1"/>
    <xf numFmtId="0" fontId="0" fillId="0" borderId="33" xfId="0" applyBorder="1" applyAlignment="1"/>
    <xf numFmtId="0" fontId="0" fillId="0" borderId="8" xfId="0" applyBorder="1" applyAlignment="1"/>
    <xf numFmtId="0" fontId="8" fillId="0" borderId="8" xfId="0" applyFont="1" applyBorder="1" applyAlignment="1"/>
    <xf numFmtId="0" fontId="6" fillId="0" borderId="33" xfId="0" applyFont="1" applyBorder="1" applyAlignment="1"/>
    <xf numFmtId="0" fontId="20" fillId="0" borderId="3" xfId="0" applyFont="1" applyFill="1" applyBorder="1"/>
    <xf numFmtId="0" fontId="0" fillId="0" borderId="12" xfId="0" applyBorder="1"/>
    <xf numFmtId="0" fontId="0" fillId="0" borderId="11" xfId="0" applyBorder="1"/>
    <xf numFmtId="0" fontId="0" fillId="0" borderId="39" xfId="0" applyBorder="1"/>
    <xf numFmtId="0" fontId="0" fillId="0" borderId="8" xfId="0" applyBorder="1"/>
    <xf numFmtId="0" fontId="0" fillId="0" borderId="7" xfId="0" applyBorder="1"/>
    <xf numFmtId="0" fontId="0" fillId="0" borderId="10" xfId="0" applyBorder="1"/>
    <xf numFmtId="0" fontId="0" fillId="0" borderId="8" xfId="0" applyBorder="1"/>
    <xf numFmtId="0" fontId="0" fillId="0" borderId="7" xfId="0" applyBorder="1"/>
    <xf numFmtId="0" fontId="0" fillId="0" borderId="10" xfId="0" applyBorder="1"/>
    <xf numFmtId="0" fontId="0" fillId="0" borderId="33" xfId="0" applyBorder="1"/>
    <xf numFmtId="0" fontId="0" fillId="0" borderId="28" xfId="0" applyBorder="1"/>
    <xf numFmtId="0" fontId="0" fillId="0" borderId="8" xfId="0" applyBorder="1"/>
    <xf numFmtId="0" fontId="0" fillId="0" borderId="7" xfId="0" applyBorder="1"/>
    <xf numFmtId="0" fontId="0" fillId="0" borderId="10" xfId="0" applyBorder="1"/>
    <xf numFmtId="0" fontId="0" fillId="0" borderId="8" xfId="0" applyBorder="1"/>
    <xf numFmtId="0" fontId="0" fillId="0" borderId="7" xfId="0" applyBorder="1"/>
    <xf numFmtId="0" fontId="0" fillId="0" borderId="10" xfId="0" applyBorder="1"/>
    <xf numFmtId="0" fontId="0" fillId="0" borderId="8" xfId="0" applyBorder="1"/>
    <xf numFmtId="0" fontId="0" fillId="0" borderId="7" xfId="0" applyBorder="1"/>
    <xf numFmtId="0" fontId="0" fillId="0" borderId="10" xfId="0" applyBorder="1"/>
    <xf numFmtId="0" fontId="0" fillId="0" borderId="8" xfId="0" applyBorder="1"/>
    <xf numFmtId="0" fontId="0" fillId="0" borderId="7" xfId="0" applyBorder="1"/>
    <xf numFmtId="0" fontId="0" fillId="0" borderId="10" xfId="0" applyBorder="1"/>
    <xf numFmtId="0" fontId="0" fillId="0" borderId="8" xfId="0" applyBorder="1"/>
    <xf numFmtId="0" fontId="0" fillId="0" borderId="7" xfId="0" applyBorder="1"/>
    <xf numFmtId="0" fontId="0" fillId="0" borderId="10" xfId="0" applyBorder="1"/>
    <xf numFmtId="0" fontId="0" fillId="0" borderId="8" xfId="0" applyBorder="1"/>
    <xf numFmtId="0" fontId="0" fillId="0" borderId="7" xfId="0" applyBorder="1"/>
    <xf numFmtId="0" fontId="0" fillId="0" borderId="10" xfId="0" applyBorder="1"/>
    <xf numFmtId="0" fontId="0" fillId="0" borderId="0" xfId="0"/>
    <xf numFmtId="0" fontId="13" fillId="0" borderId="0" xfId="3" applyFont="1" applyFill="1" applyAlignment="1">
      <alignment horizontal="center"/>
    </xf>
    <xf numFmtId="0" fontId="11" fillId="0" borderId="0" xfId="3" applyFont="1" applyFill="1" applyAlignment="1">
      <alignment horizontal="center"/>
    </xf>
    <xf numFmtId="0" fontId="6" fillId="0" borderId="3" xfId="0" applyFont="1" applyBorder="1"/>
    <xf numFmtId="0" fontId="3" fillId="0" borderId="0" xfId="0" applyFont="1"/>
    <xf numFmtId="10" fontId="2" fillId="0" borderId="0" xfId="2" applyNumberFormat="1" applyFont="1"/>
    <xf numFmtId="9" fontId="2" fillId="0" borderId="0" xfId="2" applyNumberFormat="1" applyFont="1"/>
    <xf numFmtId="0" fontId="4" fillId="0" borderId="0" xfId="0" applyFont="1"/>
    <xf numFmtId="9" fontId="2" fillId="0" borderId="0" xfId="0" applyNumberFormat="1" applyFont="1"/>
    <xf numFmtId="10" fontId="5" fillId="0" borderId="0" xfId="2" applyNumberFormat="1" applyFont="1" applyFill="1"/>
    <xf numFmtId="167" fontId="5" fillId="0" borderId="0" xfId="2" applyNumberFormat="1" applyFont="1" applyFill="1" applyBorder="1"/>
    <xf numFmtId="9" fontId="5" fillId="0" borderId="0" xfId="2" applyFont="1" applyFill="1" applyBorder="1"/>
    <xf numFmtId="0" fontId="5" fillId="0" borderId="0" xfId="0" applyFont="1" applyFill="1" applyBorder="1"/>
    <xf numFmtId="0" fontId="3" fillId="0" borderId="1" xfId="0" applyFont="1" applyBorder="1"/>
    <xf numFmtId="0" fontId="3" fillId="0" borderId="0" xfId="0" applyFont="1" applyBorder="1"/>
    <xf numFmtId="0" fontId="0" fillId="0" borderId="0" xfId="0" applyFont="1"/>
    <xf numFmtId="0" fontId="0" fillId="0" borderId="7" xfId="0" applyFont="1" applyBorder="1"/>
    <xf numFmtId="0" fontId="0" fillId="0" borderId="8" xfId="0" applyFont="1" applyBorder="1"/>
    <xf numFmtId="0" fontId="0" fillId="0" borderId="10" xfId="0" applyFont="1" applyBorder="1"/>
    <xf numFmtId="0" fontId="0" fillId="2" borderId="10" xfId="0" applyFont="1" applyFill="1" applyBorder="1"/>
    <xf numFmtId="0" fontId="0" fillId="0" borderId="5" xfId="0" applyFont="1" applyBorder="1"/>
    <xf numFmtId="0" fontId="0" fillId="0" borderId="29" xfId="0" applyFont="1" applyBorder="1"/>
    <xf numFmtId="0" fontId="0" fillId="0" borderId="30" xfId="0" applyFont="1" applyBorder="1"/>
    <xf numFmtId="0" fontId="0" fillId="0" borderId="31" xfId="0" applyFont="1" applyBorder="1"/>
    <xf numFmtId="0" fontId="0" fillId="0" borderId="6" xfId="0" applyFont="1" applyBorder="1"/>
    <xf numFmtId="0" fontId="0" fillId="0" borderId="4" xfId="0" applyFont="1" applyBorder="1"/>
    <xf numFmtId="0" fontId="0" fillId="0" borderId="8" xfId="0" applyBorder="1"/>
    <xf numFmtId="0" fontId="0" fillId="0" borderId="7" xfId="0" applyBorder="1"/>
    <xf numFmtId="0" fontId="0" fillId="0" borderId="10" xfId="0" applyBorder="1"/>
    <xf numFmtId="0" fontId="3" fillId="2" borderId="7" xfId="0" applyFont="1" applyFill="1" applyBorder="1" applyAlignment="1">
      <alignment horizontal="right"/>
    </xf>
    <xf numFmtId="0" fontId="3" fillId="2" borderId="10" xfId="0" applyFont="1" applyFill="1" applyBorder="1" applyAlignment="1">
      <alignment horizontal="right"/>
    </xf>
    <xf numFmtId="0" fontId="0" fillId="0" borderId="13" xfId="0" applyFont="1" applyFill="1" applyBorder="1"/>
    <xf numFmtId="0" fontId="3" fillId="2" borderId="33" xfId="0" applyFont="1" applyFill="1" applyBorder="1" applyAlignment="1">
      <alignment horizontal="right"/>
    </xf>
    <xf numFmtId="0" fontId="30" fillId="0" borderId="58" xfId="17" applyFont="1" applyBorder="1" applyAlignment="1"/>
    <xf numFmtId="0" fontId="30" fillId="0" borderId="59" xfId="17" applyNumberFormat="1" applyFont="1" applyBorder="1" applyAlignment="1"/>
    <xf numFmtId="0" fontId="30" fillId="0" borderId="60" xfId="17" applyNumberFormat="1" applyFont="1" applyBorder="1" applyAlignment="1"/>
    <xf numFmtId="0" fontId="30" fillId="0" borderId="58" xfId="17" applyNumberFormat="1" applyFont="1" applyBorder="1" applyAlignment="1"/>
    <xf numFmtId="0" fontId="30" fillId="0" borderId="58" xfId="17" applyFont="1" applyBorder="1" applyAlignment="1"/>
    <xf numFmtId="0" fontId="30" fillId="0" borderId="59" xfId="17" applyNumberFormat="1" applyFont="1" applyBorder="1" applyAlignment="1"/>
    <xf numFmtId="0" fontId="30" fillId="0" borderId="60" xfId="17" applyNumberFormat="1" applyFont="1" applyBorder="1" applyAlignment="1"/>
    <xf numFmtId="0" fontId="30" fillId="0" borderId="58" xfId="17" applyNumberFormat="1" applyFont="1" applyBorder="1" applyAlignment="1"/>
    <xf numFmtId="0" fontId="30" fillId="0" borderId="59" xfId="17" applyFont="1" applyBorder="1" applyAlignment="1"/>
    <xf numFmtId="0" fontId="30" fillId="0" borderId="60" xfId="17" applyFont="1" applyBorder="1" applyAlignment="1"/>
    <xf numFmtId="0" fontId="30" fillId="0" borderId="55" xfId="17" applyFont="1" applyBorder="1" applyAlignment="1"/>
    <xf numFmtId="0" fontId="30" fillId="0" borderId="56" xfId="17" applyFont="1" applyBorder="1" applyAlignment="1"/>
    <xf numFmtId="0" fontId="30" fillId="0" borderId="57" xfId="17" applyFont="1" applyBorder="1" applyAlignment="1"/>
    <xf numFmtId="0" fontId="30" fillId="0" borderId="55" xfId="17" applyNumberFormat="1" applyFont="1" applyBorder="1" applyAlignment="1"/>
    <xf numFmtId="0" fontId="30" fillId="0" borderId="56" xfId="17" applyNumberFormat="1" applyFont="1" applyBorder="1" applyAlignment="1"/>
    <xf numFmtId="0" fontId="30" fillId="0" borderId="57" xfId="17" applyNumberFormat="1" applyFont="1" applyBorder="1" applyAlignment="1"/>
    <xf numFmtId="0" fontId="0" fillId="0" borderId="9" xfId="0" applyFont="1" applyFill="1" applyBorder="1" applyAlignment="1">
      <alignment horizontal="left"/>
    </xf>
    <xf numFmtId="0" fontId="0" fillId="0" borderId="54" xfId="0" applyFont="1" applyFill="1" applyBorder="1" applyAlignment="1">
      <alignment horizontal="left"/>
    </xf>
    <xf numFmtId="0" fontId="0" fillId="0" borderId="49" xfId="0" applyFont="1" applyFill="1" applyBorder="1" applyAlignment="1">
      <alignment horizontal="left"/>
    </xf>
    <xf numFmtId="0" fontId="0" fillId="0" borderId="9" xfId="0" applyFont="1" applyFill="1" applyBorder="1"/>
    <xf numFmtId="0" fontId="0" fillId="0" borderId="2" xfId="0" applyFont="1" applyFill="1" applyBorder="1"/>
    <xf numFmtId="0" fontId="0" fillId="0" borderId="33" xfId="0" applyBorder="1" applyAlignment="1">
      <alignment horizontal="right"/>
    </xf>
    <xf numFmtId="0" fontId="6" fillId="0" borderId="5" xfId="0" applyFont="1" applyBorder="1"/>
    <xf numFmtId="0" fontId="6" fillId="0" borderId="6" xfId="0" applyFont="1" applyBorder="1"/>
    <xf numFmtId="167" fontId="5" fillId="0" borderId="0" xfId="2" applyNumberFormat="1" applyFont="1" applyFill="1" applyBorder="1"/>
    <xf numFmtId="0" fontId="7" fillId="2" borderId="4" xfId="0" applyFont="1" applyFill="1" applyBorder="1"/>
    <xf numFmtId="0" fontId="0" fillId="0" borderId="7" xfId="0" applyBorder="1" applyAlignment="1">
      <alignment horizontal="right"/>
    </xf>
    <xf numFmtId="0" fontId="8" fillId="4" borderId="10" xfId="0" applyFont="1" applyFill="1" applyBorder="1" applyAlignment="1">
      <alignment horizontal="right"/>
    </xf>
    <xf numFmtId="0" fontId="8" fillId="4" borderId="7" xfId="0" applyFont="1" applyFill="1" applyBorder="1" applyAlignment="1">
      <alignment horizontal="right"/>
    </xf>
    <xf numFmtId="0" fontId="0" fillId="0" borderId="3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20" fillId="4" borderId="17" xfId="0" applyFont="1" applyFill="1" applyBorder="1" applyAlignment="1">
      <alignment horizontal="right"/>
    </xf>
    <xf numFmtId="0" fontId="20" fillId="4" borderId="16" xfId="0" applyFont="1" applyFill="1" applyBorder="1" applyAlignment="1">
      <alignment horizontal="right"/>
    </xf>
    <xf numFmtId="0" fontId="20" fillId="4" borderId="15" xfId="0" applyFont="1" applyFill="1" applyBorder="1" applyAlignment="1">
      <alignment horizontal="right"/>
    </xf>
    <xf numFmtId="0" fontId="20" fillId="4" borderId="10" xfId="0" applyFont="1" applyFill="1" applyBorder="1" applyAlignment="1">
      <alignment horizontal="right"/>
    </xf>
    <xf numFmtId="0" fontId="20" fillId="4" borderId="7" xfId="0" applyFont="1" applyFill="1" applyBorder="1" applyAlignment="1">
      <alignment horizontal="right"/>
    </xf>
    <xf numFmtId="0" fontId="20" fillId="4" borderId="33" xfId="0" applyFont="1" applyFill="1" applyBorder="1" applyAlignment="1">
      <alignment horizontal="right"/>
    </xf>
    <xf numFmtId="165" fontId="1" fillId="0" borderId="8" xfId="1" applyNumberFormat="1" applyFont="1" applyFill="1" applyBorder="1" applyAlignment="1">
      <alignment horizontal="right"/>
    </xf>
    <xf numFmtId="0" fontId="1" fillId="0" borderId="10" xfId="0" applyFont="1" applyFill="1" applyBorder="1" applyAlignment="1"/>
    <xf numFmtId="165" fontId="1" fillId="0" borderId="33" xfId="1" applyNumberFormat="1" applyFont="1" applyFill="1" applyBorder="1" applyAlignment="1"/>
    <xf numFmtId="0" fontId="1" fillId="0" borderId="7" xfId="0" applyFont="1" applyFill="1" applyBorder="1" applyAlignment="1"/>
    <xf numFmtId="0" fontId="1" fillId="0" borderId="28" xfId="0" applyFont="1" applyFill="1" applyBorder="1" applyAlignment="1"/>
    <xf numFmtId="0" fontId="1" fillId="0" borderId="8" xfId="0" applyFont="1" applyFill="1" applyBorder="1" applyAlignment="1"/>
    <xf numFmtId="0" fontId="8" fillId="0" borderId="8" xfId="0" applyFont="1" applyBorder="1"/>
    <xf numFmtId="0" fontId="1" fillId="0" borderId="33" xfId="0" applyFont="1" applyFill="1" applyBorder="1" applyAlignment="1"/>
    <xf numFmtId="165" fontId="1" fillId="0" borderId="38" xfId="1" applyNumberFormat="1" applyFont="1" applyFill="1" applyBorder="1" applyAlignment="1"/>
    <xf numFmtId="0" fontId="1" fillId="0" borderId="11" xfId="0" applyFont="1" applyFill="1" applyBorder="1" applyAlignment="1"/>
    <xf numFmtId="0" fontId="1" fillId="0" borderId="35" xfId="0" applyFont="1" applyFill="1" applyBorder="1" applyAlignment="1"/>
    <xf numFmtId="0" fontId="1" fillId="0" borderId="12" xfId="0" applyFont="1" applyFill="1" applyBorder="1" applyAlignment="1"/>
    <xf numFmtId="0" fontId="1" fillId="0" borderId="39" xfId="0" applyFont="1" applyFill="1" applyBorder="1" applyAlignment="1"/>
    <xf numFmtId="0" fontId="1" fillId="0" borderId="38" xfId="0" applyFont="1" applyFill="1" applyBorder="1" applyAlignment="1"/>
    <xf numFmtId="0" fontId="20" fillId="0" borderId="33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0" fontId="1" fillId="0" borderId="10" xfId="0" applyFont="1" applyBorder="1" applyAlignment="1"/>
    <xf numFmtId="0" fontId="1" fillId="0" borderId="38" xfId="0" applyFont="1" applyBorder="1" applyAlignment="1"/>
    <xf numFmtId="0" fontId="1" fillId="0" borderId="11" xfId="0" applyFont="1" applyBorder="1" applyAlignment="1"/>
    <xf numFmtId="0" fontId="8" fillId="0" borderId="32" xfId="0" applyFont="1" applyBorder="1"/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6" fillId="0" borderId="8" xfId="0" applyFont="1" applyBorder="1"/>
    <xf numFmtId="0" fontId="6" fillId="0" borderId="7" xfId="0" applyFont="1" applyBorder="1"/>
    <xf numFmtId="0" fontId="6" fillId="0" borderId="33" xfId="0" applyFont="1" applyBorder="1"/>
    <xf numFmtId="0" fontId="6" fillId="0" borderId="10" xfId="0" applyFont="1" applyBorder="1"/>
    <xf numFmtId="0" fontId="6" fillId="0" borderId="29" xfId="0" applyFont="1" applyBorder="1"/>
    <xf numFmtId="0" fontId="6" fillId="0" borderId="30" xfId="0" applyFont="1" applyBorder="1"/>
    <xf numFmtId="0" fontId="8" fillId="0" borderId="8" xfId="0" applyFont="1" applyBorder="1"/>
    <xf numFmtId="0" fontId="6" fillId="0" borderId="12" xfId="0" applyFont="1" applyBorder="1"/>
    <xf numFmtId="0" fontId="6" fillId="0" borderId="12" xfId="0" applyFont="1" applyBorder="1"/>
    <xf numFmtId="0" fontId="6" fillId="0" borderId="11" xfId="0" applyFont="1" applyBorder="1"/>
    <xf numFmtId="0" fontId="0" fillId="0" borderId="0" xfId="0"/>
    <xf numFmtId="0" fontId="8" fillId="0" borderId="16" xfId="0" applyFont="1" applyBorder="1"/>
    <xf numFmtId="0" fontId="6" fillId="0" borderId="6" xfId="0" applyFont="1" applyBorder="1"/>
    <xf numFmtId="0" fontId="6" fillId="0" borderId="5" xfId="0" applyFont="1" applyBorder="1"/>
    <xf numFmtId="0" fontId="6" fillId="0" borderId="29" xfId="0" applyFont="1" applyBorder="1"/>
    <xf numFmtId="0" fontId="6" fillId="0" borderId="30" xfId="0" applyFont="1" applyBorder="1"/>
    <xf numFmtId="0" fontId="7" fillId="2" borderId="7" xfId="0" applyFont="1" applyFill="1" applyBorder="1"/>
    <xf numFmtId="0" fontId="7" fillId="2" borderId="8" xfId="0" applyFont="1" applyFill="1" applyBorder="1"/>
    <xf numFmtId="0" fontId="6" fillId="0" borderId="0" xfId="0" applyFont="1" applyBorder="1"/>
    <xf numFmtId="3" fontId="12" fillId="0" borderId="0" xfId="3" applyNumberFormat="1" applyFont="1" applyFill="1" applyBorder="1" applyAlignment="1">
      <alignment horizontal="right"/>
    </xf>
    <xf numFmtId="0" fontId="24" fillId="0" borderId="42" xfId="0" applyFont="1" applyFill="1" applyBorder="1"/>
    <xf numFmtId="0" fontId="0" fillId="0" borderId="2" xfId="0" applyFont="1" applyFill="1" applyBorder="1" applyAlignment="1">
      <alignment horizontal="left"/>
    </xf>
    <xf numFmtId="0" fontId="0" fillId="0" borderId="7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28" xfId="0" applyBorder="1" applyAlignment="1">
      <alignment horizontal="right"/>
    </xf>
    <xf numFmtId="0" fontId="0" fillId="0" borderId="10" xfId="0" applyFill="1" applyBorder="1" applyAlignment="1">
      <alignment horizontal="right"/>
    </xf>
    <xf numFmtId="0" fontId="0" fillId="0" borderId="33" xfId="0" applyFill="1" applyBorder="1" applyAlignment="1">
      <alignment horizontal="right"/>
    </xf>
    <xf numFmtId="0" fontId="0" fillId="0" borderId="28" xfId="0" applyFill="1" applyBorder="1" applyAlignment="1">
      <alignment horizontal="right"/>
    </xf>
    <xf numFmtId="0" fontId="0" fillId="0" borderId="8" xfId="0" applyFill="1" applyBorder="1" applyAlignment="1">
      <alignment horizontal="right"/>
    </xf>
    <xf numFmtId="0" fontId="0" fillId="0" borderId="31" xfId="0" applyBorder="1" applyAlignment="1">
      <alignment horizontal="right"/>
    </xf>
    <xf numFmtId="0" fontId="0" fillId="0" borderId="29" xfId="0" applyBorder="1" applyAlignment="1">
      <alignment horizontal="right"/>
    </xf>
    <xf numFmtId="0" fontId="0" fillId="0" borderId="30" xfId="0" applyBorder="1" applyAlignment="1">
      <alignment horizontal="right"/>
    </xf>
    <xf numFmtId="1" fontId="0" fillId="0" borderId="34" xfId="0" applyNumberFormat="1" applyFont="1" applyBorder="1"/>
    <xf numFmtId="0" fontId="0" fillId="0" borderId="0" xfId="0"/>
    <xf numFmtId="0" fontId="6" fillId="0" borderId="0" xfId="0" applyFont="1"/>
    <xf numFmtId="0" fontId="7" fillId="2" borderId="10" xfId="0" applyFont="1" applyFill="1" applyBorder="1"/>
    <xf numFmtId="0" fontId="0" fillId="0" borderId="0" xfId="0" applyFont="1"/>
    <xf numFmtId="0" fontId="0" fillId="0" borderId="0" xfId="0" applyFont="1" applyBorder="1"/>
    <xf numFmtId="0" fontId="20" fillId="0" borderId="33" xfId="0" applyFont="1" applyFill="1" applyBorder="1" applyAlignment="1"/>
    <xf numFmtId="0" fontId="0" fillId="0" borderId="7" xfId="0" applyFont="1" applyFill="1" applyBorder="1" applyAlignment="1"/>
    <xf numFmtId="0" fontId="20" fillId="0" borderId="28" xfId="0" applyFont="1" applyFill="1" applyBorder="1" applyAlignment="1"/>
    <xf numFmtId="0" fontId="0" fillId="0" borderId="8" xfId="0" applyFont="1" applyFill="1" applyBorder="1" applyAlignment="1"/>
    <xf numFmtId="0" fontId="0" fillId="0" borderId="10" xfId="0" applyFont="1" applyFill="1" applyBorder="1" applyAlignment="1"/>
    <xf numFmtId="0" fontId="0" fillId="0" borderId="12" xfId="0" applyFont="1" applyFill="1" applyBorder="1" applyAlignment="1"/>
    <xf numFmtId="0" fontId="0" fillId="0" borderId="33" xfId="0" applyFont="1" applyFill="1" applyBorder="1" applyAlignment="1"/>
    <xf numFmtId="0" fontId="8" fillId="0" borderId="33" xfId="0" applyFont="1" applyFill="1" applyBorder="1" applyAlignment="1"/>
    <xf numFmtId="0" fontId="6" fillId="0" borderId="7" xfId="0" applyFont="1" applyFill="1" applyBorder="1" applyAlignment="1"/>
    <xf numFmtId="0" fontId="8" fillId="0" borderId="28" xfId="0" applyFont="1" applyFill="1" applyBorder="1" applyAlignment="1"/>
    <xf numFmtId="0" fontId="6" fillId="0" borderId="8" xfId="0" applyFont="1" applyFill="1" applyBorder="1" applyAlignment="1"/>
    <xf numFmtId="0" fontId="6" fillId="0" borderId="10" xfId="0" applyFont="1" applyFill="1" applyBorder="1" applyAlignment="1"/>
    <xf numFmtId="0" fontId="8" fillId="0" borderId="8" xfId="0" applyFont="1" applyFill="1" applyBorder="1" applyAlignment="1"/>
    <xf numFmtId="0" fontId="6" fillId="0" borderId="28" xfId="0" applyFont="1" applyBorder="1" applyAlignment="1"/>
    <xf numFmtId="0" fontId="6" fillId="0" borderId="33" xfId="0" applyFont="1" applyFill="1" applyBorder="1" applyAlignment="1"/>
    <xf numFmtId="0" fontId="6" fillId="0" borderId="28" xfId="0" applyFont="1" applyFill="1" applyBorder="1" applyAlignment="1"/>
    <xf numFmtId="0" fontId="6" fillId="0" borderId="38" xfId="0" applyFont="1" applyFill="1" applyBorder="1" applyAlignment="1"/>
    <xf numFmtId="0" fontId="6" fillId="0" borderId="34" xfId="0" applyFont="1" applyFill="1" applyBorder="1" applyAlignment="1"/>
    <xf numFmtId="0" fontId="6" fillId="0" borderId="5" xfId="0" applyFont="1" applyFill="1" applyBorder="1" applyAlignment="1"/>
    <xf numFmtId="0" fontId="6" fillId="0" borderId="4" xfId="0" applyFont="1" applyFill="1" applyBorder="1" applyAlignment="1"/>
    <xf numFmtId="0" fontId="6" fillId="0" borderId="6" xfId="0" applyFont="1" applyFill="1" applyBorder="1" applyAlignment="1"/>
    <xf numFmtId="0" fontId="8" fillId="4" borderId="33" xfId="0" applyFont="1" applyFill="1" applyBorder="1" applyAlignment="1"/>
    <xf numFmtId="0" fontId="6" fillId="0" borderId="34" xfId="0" applyFont="1" applyBorder="1" applyAlignment="1"/>
    <xf numFmtId="0" fontId="6" fillId="0" borderId="5" xfId="0" applyFont="1" applyBorder="1" applyAlignment="1"/>
    <xf numFmtId="0" fontId="6" fillId="0" borderId="4" xfId="0" applyFont="1" applyBorder="1" applyAlignment="1"/>
    <xf numFmtId="0" fontId="6" fillId="0" borderId="6" xfId="0" applyFont="1" applyBorder="1" applyAlignment="1"/>
    <xf numFmtId="0" fontId="6" fillId="0" borderId="30" xfId="0" applyFont="1" applyBorder="1" applyAlignment="1"/>
    <xf numFmtId="0" fontId="6" fillId="0" borderId="37" xfId="0" applyFont="1" applyBorder="1" applyAlignment="1"/>
    <xf numFmtId="0" fontId="6" fillId="0" borderId="29" xfId="0" applyFont="1" applyBorder="1" applyAlignment="1"/>
    <xf numFmtId="0" fontId="6" fillId="0" borderId="31" xfId="0" applyFont="1" applyBorder="1" applyAlignment="1"/>
    <xf numFmtId="0" fontId="6" fillId="0" borderId="43" xfId="0" applyFont="1" applyBorder="1" applyAlignment="1"/>
    <xf numFmtId="10" fontId="0" fillId="6" borderId="0" xfId="2" applyNumberFormat="1" applyFont="1" applyFill="1" applyBorder="1"/>
    <xf numFmtId="0" fontId="0" fillId="0" borderId="38" xfId="0" applyFont="1" applyBorder="1" applyAlignment="1">
      <alignment horizontal="right"/>
    </xf>
    <xf numFmtId="0" fontId="0" fillId="0" borderId="11" xfId="0" applyFont="1" applyBorder="1" applyAlignment="1">
      <alignment horizontal="right"/>
    </xf>
    <xf numFmtId="0" fontId="20" fillId="4" borderId="39" xfId="0" applyFont="1" applyFill="1" applyBorder="1" applyAlignment="1">
      <alignment horizontal="right"/>
    </xf>
    <xf numFmtId="0" fontId="20" fillId="4" borderId="24" xfId="0" applyFont="1" applyFill="1" applyBorder="1" applyAlignment="1">
      <alignment horizontal="right"/>
    </xf>
    <xf numFmtId="0" fontId="20" fillId="4" borderId="25" xfId="0" applyFont="1" applyFill="1" applyBorder="1" applyAlignment="1">
      <alignment horizontal="right"/>
    </xf>
    <xf numFmtId="0" fontId="20" fillId="4" borderId="26" xfId="0" applyFont="1" applyFill="1" applyBorder="1" applyAlignment="1">
      <alignment horizontal="right"/>
    </xf>
    <xf numFmtId="0" fontId="20" fillId="4" borderId="12" xfId="0" applyFont="1" applyFill="1" applyBorder="1" applyAlignment="1">
      <alignment horizontal="right"/>
    </xf>
    <xf numFmtId="0" fontId="20" fillId="4" borderId="11" xfId="0" applyFont="1" applyFill="1" applyBorder="1" applyAlignment="1">
      <alignment horizontal="right"/>
    </xf>
    <xf numFmtId="0" fontId="8" fillId="0" borderId="12" xfId="0" applyFont="1" applyBorder="1"/>
    <xf numFmtId="0" fontId="8" fillId="0" borderId="11" xfId="0" applyFont="1" applyBorder="1"/>
    <xf numFmtId="0" fontId="20" fillId="0" borderId="2" xfId="0" applyFont="1" applyBorder="1" applyAlignment="1">
      <alignment horizontal="left"/>
    </xf>
    <xf numFmtId="0" fontId="23" fillId="2" borderId="31" xfId="0" applyFont="1" applyFill="1" applyBorder="1"/>
    <xf numFmtId="0" fontId="0" fillId="0" borderId="5" xfId="0" applyFill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34" xfId="0" applyBorder="1" applyAlignment="1">
      <alignment horizontal="right"/>
    </xf>
    <xf numFmtId="0" fontId="0" fillId="0" borderId="43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36" xfId="0" applyFill="1" applyBorder="1" applyAlignment="1">
      <alignment horizontal="right"/>
    </xf>
    <xf numFmtId="0" fontId="0" fillId="0" borderId="36" xfId="0" applyBorder="1" applyAlignment="1">
      <alignment horizontal="right"/>
    </xf>
    <xf numFmtId="0" fontId="0" fillId="0" borderId="37" xfId="0" applyBorder="1" applyAlignment="1">
      <alignment horizontal="right"/>
    </xf>
    <xf numFmtId="0" fontId="15" fillId="0" borderId="0" xfId="0" applyFont="1" applyAlignment="1">
      <alignment horizontal="center"/>
    </xf>
    <xf numFmtId="0" fontId="10" fillId="0" borderId="15" xfId="3" applyFont="1" applyFill="1" applyBorder="1" applyAlignment="1">
      <alignment horizontal="center" vertical="center" wrapText="1"/>
    </xf>
    <xf numFmtId="0" fontId="10" fillId="0" borderId="30" xfId="3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2" fillId="0" borderId="21" xfId="3" applyFont="1" applyFill="1" applyBorder="1" applyAlignment="1">
      <alignment horizontal="center"/>
    </xf>
    <xf numFmtId="0" fontId="12" fillId="0" borderId="22" xfId="3" applyFont="1" applyFill="1" applyBorder="1" applyAlignment="1">
      <alignment horizontal="center"/>
    </xf>
    <xf numFmtId="0" fontId="12" fillId="0" borderId="23" xfId="3" applyFont="1" applyFill="1" applyBorder="1" applyAlignment="1">
      <alignment horizontal="center"/>
    </xf>
    <xf numFmtId="0" fontId="10" fillId="0" borderId="8" xfId="3" applyFont="1" applyFill="1" applyBorder="1" applyAlignment="1">
      <alignment horizontal="center" vertical="center" wrapText="1"/>
    </xf>
    <xf numFmtId="0" fontId="10" fillId="0" borderId="6" xfId="3" applyFont="1" applyFill="1" applyBorder="1" applyAlignment="1">
      <alignment horizontal="center" vertical="center" wrapText="1"/>
    </xf>
    <xf numFmtId="0" fontId="10" fillId="0" borderId="7" xfId="3" applyFont="1" applyFill="1" applyBorder="1" applyAlignment="1">
      <alignment horizontal="center" vertical="center" wrapText="1"/>
    </xf>
    <xf numFmtId="0" fontId="10" fillId="0" borderId="5" xfId="3" applyFont="1" applyFill="1" applyBorder="1" applyAlignment="1">
      <alignment horizontal="center" vertical="center" wrapText="1"/>
    </xf>
    <xf numFmtId="0" fontId="10" fillId="0" borderId="17" xfId="3" applyFont="1" applyFill="1" applyBorder="1" applyAlignment="1">
      <alignment horizontal="center" vertical="center" wrapText="1"/>
    </xf>
    <xf numFmtId="0" fontId="10" fillId="0" borderId="31" xfId="3" applyFont="1" applyFill="1" applyBorder="1" applyAlignment="1">
      <alignment horizontal="center" vertical="center" wrapText="1"/>
    </xf>
    <xf numFmtId="3" fontId="10" fillId="0" borderId="0" xfId="3" applyNumberFormat="1" applyFont="1" applyFill="1" applyBorder="1" applyAlignment="1">
      <alignment horizontal="center" vertical="center" wrapText="1"/>
    </xf>
    <xf numFmtId="0" fontId="10" fillId="0" borderId="10" xfId="3" applyFont="1" applyFill="1" applyBorder="1" applyAlignment="1">
      <alignment horizontal="center" vertical="center" wrapText="1"/>
    </xf>
    <xf numFmtId="0" fontId="10" fillId="0" borderId="4" xfId="3" applyFont="1" applyFill="1" applyBorder="1" applyAlignment="1">
      <alignment horizontal="center" vertical="center" wrapText="1"/>
    </xf>
    <xf numFmtId="0" fontId="10" fillId="0" borderId="16" xfId="3" applyFont="1" applyFill="1" applyBorder="1" applyAlignment="1">
      <alignment horizontal="center" vertical="center" wrapText="1"/>
    </xf>
    <xf numFmtId="0" fontId="10" fillId="0" borderId="29" xfId="3" applyFont="1" applyFill="1" applyBorder="1" applyAlignment="1">
      <alignment horizontal="center" vertical="center" wrapText="1"/>
    </xf>
    <xf numFmtId="0" fontId="16" fillId="0" borderId="14" xfId="4" applyFont="1" applyFill="1" applyBorder="1" applyAlignment="1">
      <alignment horizontal="center" vertical="center" wrapText="1"/>
    </xf>
    <xf numFmtId="0" fontId="16" fillId="0" borderId="3" xfId="4" applyFont="1" applyFill="1" applyBorder="1" applyAlignment="1">
      <alignment horizontal="center" vertical="center" wrapText="1"/>
    </xf>
    <xf numFmtId="0" fontId="16" fillId="0" borderId="2" xfId="4" applyFont="1" applyFill="1" applyBorder="1" applyAlignment="1">
      <alignment horizontal="center" vertical="center" wrapText="1"/>
    </xf>
    <xf numFmtId="0" fontId="12" fillId="0" borderId="16" xfId="3" applyFont="1" applyFill="1" applyBorder="1" applyAlignment="1">
      <alignment horizontal="center"/>
    </xf>
    <xf numFmtId="0" fontId="12" fillId="0" borderId="15" xfId="3" applyFont="1" applyFill="1" applyBorder="1" applyAlignment="1">
      <alignment horizontal="center"/>
    </xf>
    <xf numFmtId="0" fontId="12" fillId="0" borderId="19" xfId="3" applyFont="1" applyFill="1" applyBorder="1" applyAlignment="1">
      <alignment horizontal="center"/>
    </xf>
    <xf numFmtId="0" fontId="12" fillId="0" borderId="18" xfId="3" applyFont="1" applyFill="1" applyBorder="1" applyAlignment="1">
      <alignment horizontal="center"/>
    </xf>
    <xf numFmtId="0" fontId="12" fillId="0" borderId="17" xfId="3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10" fillId="0" borderId="14" xfId="4" applyFont="1" applyFill="1" applyBorder="1" applyAlignment="1">
      <alignment horizontal="center" vertical="center" wrapText="1"/>
    </xf>
    <xf numFmtId="0" fontId="10" fillId="0" borderId="3" xfId="4" applyFont="1" applyFill="1" applyBorder="1" applyAlignment="1">
      <alignment horizontal="center" vertical="center" wrapText="1"/>
    </xf>
    <xf numFmtId="0" fontId="10" fillId="0" borderId="2" xfId="4" applyFont="1" applyFill="1" applyBorder="1" applyAlignment="1">
      <alignment horizontal="center" vertical="center" wrapText="1"/>
    </xf>
    <xf numFmtId="0" fontId="12" fillId="0" borderId="40" xfId="3" applyFont="1" applyFill="1" applyBorder="1" applyAlignment="1">
      <alignment horizontal="center"/>
    </xf>
    <xf numFmtId="0" fontId="12" fillId="0" borderId="41" xfId="3" applyFont="1" applyFill="1" applyBorder="1" applyAlignment="1">
      <alignment horizontal="center"/>
    </xf>
    <xf numFmtId="0" fontId="3" fillId="0" borderId="42" xfId="0" applyFont="1" applyBorder="1"/>
  </cellXfs>
  <cellStyles count="18">
    <cellStyle name="Comma" xfId="1" builtinId="3"/>
    <cellStyle name="Comma 2" xfId="5"/>
    <cellStyle name="Comma 2 2" xfId="6"/>
    <cellStyle name="Comma 2 3" xfId="7"/>
    <cellStyle name="Excel Built-in Normal" xfId="16"/>
    <cellStyle name="Normal" xfId="0" builtinId="0"/>
    <cellStyle name="Normal 2" xfId="3"/>
    <cellStyle name="Normal 2 2" xfId="8"/>
    <cellStyle name="Normal 2 3" xfId="9"/>
    <cellStyle name="Normal 2 4" xfId="10"/>
    <cellStyle name="Normal 3" xfId="11"/>
    <cellStyle name="Normal 3 2" xfId="12"/>
    <cellStyle name="Normal 3 3" xfId="15"/>
    <cellStyle name="Normal 4" xfId="13"/>
    <cellStyle name="Normal 5" xfId="17"/>
    <cellStyle name="Normal_(111506) November 2006 Revised MC Revolving Trend" xfId="4"/>
    <cellStyle name="Percent" xfId="2" builtinId="5"/>
    <cellStyle name="Percent 2" xfId="1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2:T42"/>
  <sheetViews>
    <sheetView tabSelected="1" zoomScaleNormal="100" zoomScaleSheetLayoutView="100" workbookViewId="0">
      <selection activeCell="V15" sqref="V15"/>
    </sheetView>
  </sheetViews>
  <sheetFormatPr defaultRowHeight="15"/>
  <cols>
    <col min="1" max="1" width="12.42578125" customWidth="1"/>
    <col min="2" max="13" width="6.28515625" customWidth="1"/>
    <col min="14" max="14" width="1.5703125" customWidth="1"/>
    <col min="15" max="19" width="7.28515625" style="50" customWidth="1"/>
  </cols>
  <sheetData>
    <row r="2" spans="1:19" ht="18.75">
      <c r="A2" s="730" t="s">
        <v>219</v>
      </c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730"/>
      <c r="M2" s="730"/>
      <c r="N2" s="730"/>
      <c r="O2" s="730"/>
      <c r="P2" s="730"/>
      <c r="Q2" s="730"/>
      <c r="R2" s="730"/>
      <c r="S2" s="730"/>
    </row>
    <row r="4" spans="1:19">
      <c r="B4" s="58">
        <v>40909</v>
      </c>
      <c r="C4" s="58">
        <v>40940</v>
      </c>
      <c r="D4" s="58">
        <v>40969</v>
      </c>
      <c r="E4" s="58">
        <v>41000</v>
      </c>
      <c r="F4" s="58">
        <v>41030</v>
      </c>
      <c r="G4" s="58">
        <v>41061</v>
      </c>
      <c r="H4" s="58">
        <v>41091</v>
      </c>
      <c r="I4" s="58">
        <v>41122</v>
      </c>
      <c r="J4" s="58">
        <v>41153</v>
      </c>
      <c r="K4" s="58">
        <v>41183</v>
      </c>
      <c r="L4" s="58">
        <v>41214</v>
      </c>
      <c r="M4" s="58">
        <v>41244</v>
      </c>
      <c r="N4" s="59"/>
      <c r="O4" s="57" t="s">
        <v>133</v>
      </c>
      <c r="P4" s="57" t="s">
        <v>132</v>
      </c>
      <c r="Q4" s="57" t="s">
        <v>131</v>
      </c>
      <c r="R4" s="57" t="s">
        <v>130</v>
      </c>
      <c r="S4" s="56" t="s">
        <v>129</v>
      </c>
    </row>
    <row r="5" spans="1:19">
      <c r="A5" s="63" t="s">
        <v>135</v>
      </c>
      <c r="B5" s="55">
        <v>5200</v>
      </c>
      <c r="C5" s="55">
        <v>4750</v>
      </c>
      <c r="D5" s="55">
        <v>5300</v>
      </c>
      <c r="E5" s="55">
        <v>5150</v>
      </c>
      <c r="F5" s="55">
        <v>5650</v>
      </c>
      <c r="G5" s="55">
        <v>5400</v>
      </c>
      <c r="H5" s="55">
        <v>5225</v>
      </c>
      <c r="I5" s="55">
        <v>5150</v>
      </c>
      <c r="J5" s="55">
        <v>5150</v>
      </c>
      <c r="K5" s="55">
        <v>5600</v>
      </c>
      <c r="L5" s="55">
        <v>5700</v>
      </c>
      <c r="M5" s="55">
        <v>6225</v>
      </c>
      <c r="N5" s="62"/>
      <c r="O5" s="53">
        <f>SUM(B5:D5)</f>
        <v>15250</v>
      </c>
      <c r="P5" s="53">
        <f>SUM(E5:G5)</f>
        <v>16200</v>
      </c>
      <c r="Q5" s="53">
        <f>SUM(H5:J5)</f>
        <v>15525</v>
      </c>
      <c r="R5" s="53">
        <f>SUM(K5:M5)</f>
        <v>17525</v>
      </c>
      <c r="S5" s="52">
        <f>SUM(O5:R5)</f>
        <v>64500</v>
      </c>
    </row>
    <row r="6" spans="1:19" s="94" customFormat="1">
      <c r="A6" s="96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51"/>
      <c r="P6" s="151"/>
      <c r="Q6" s="151"/>
      <c r="R6" s="151"/>
      <c r="S6" s="150"/>
    </row>
    <row r="7" spans="1:19" s="94" customFormat="1">
      <c r="A7" s="96"/>
      <c r="B7" s="294"/>
      <c r="C7" s="295"/>
      <c r="D7" s="296"/>
      <c r="E7" s="296"/>
      <c r="F7" s="95"/>
      <c r="G7" s="95"/>
      <c r="H7" s="95"/>
      <c r="I7" s="95"/>
      <c r="J7" s="95"/>
      <c r="K7" s="95"/>
      <c r="L7" s="95"/>
      <c r="M7" s="95"/>
      <c r="N7" s="149"/>
      <c r="O7" s="708">
        <f>O5/S5</f>
        <v>0.23643410852713179</v>
      </c>
      <c r="P7" s="708">
        <f>P5/S5</f>
        <v>0.25116279069767444</v>
      </c>
      <c r="Q7" s="708">
        <f>Q5/S5</f>
        <v>0.24069767441860465</v>
      </c>
      <c r="R7" s="708">
        <f>R5/S5</f>
        <v>0.27170542635658917</v>
      </c>
      <c r="S7" s="150"/>
    </row>
    <row r="8" spans="1:19">
      <c r="A8" s="61"/>
      <c r="F8" s="34"/>
      <c r="G8" s="34"/>
    </row>
    <row r="9" spans="1:19">
      <c r="A9" s="60" t="s">
        <v>134</v>
      </c>
      <c r="B9" s="58">
        <v>40909</v>
      </c>
      <c r="C9" s="58">
        <v>40940</v>
      </c>
      <c r="D9" s="58">
        <v>40969</v>
      </c>
      <c r="E9" s="58">
        <v>41000</v>
      </c>
      <c r="F9" s="58">
        <v>41030</v>
      </c>
      <c r="G9" s="58">
        <v>41061</v>
      </c>
      <c r="H9" s="58">
        <v>41091</v>
      </c>
      <c r="I9" s="58">
        <v>41122</v>
      </c>
      <c r="J9" s="58">
        <v>41153</v>
      </c>
      <c r="K9" s="58">
        <v>41183</v>
      </c>
      <c r="L9" s="58">
        <v>41214</v>
      </c>
      <c r="M9" s="58">
        <v>41244</v>
      </c>
      <c r="N9" s="58"/>
      <c r="O9" s="57" t="s">
        <v>133</v>
      </c>
      <c r="P9" s="57" t="s">
        <v>132</v>
      </c>
      <c r="Q9" s="57" t="s">
        <v>131</v>
      </c>
      <c r="R9" s="57" t="s">
        <v>130</v>
      </c>
      <c r="S9" s="56" t="s">
        <v>129</v>
      </c>
    </row>
    <row r="10" spans="1:19">
      <c r="A10" s="93" t="s">
        <v>128</v>
      </c>
      <c r="B10" s="54">
        <f>'A1'!B23</f>
        <v>540</v>
      </c>
      <c r="C10" s="124">
        <f>'A1'!C23</f>
        <v>472</v>
      </c>
      <c r="D10" s="124">
        <f>'A1'!D23</f>
        <v>568</v>
      </c>
      <c r="E10" s="124">
        <f>'A1'!E23</f>
        <v>524</v>
      </c>
      <c r="F10" s="124">
        <f>'A1'!F23</f>
        <v>586</v>
      </c>
      <c r="G10" s="124">
        <f>'A1'!G23</f>
        <v>550</v>
      </c>
      <c r="H10" s="124">
        <f>'A1'!H23</f>
        <v>516</v>
      </c>
      <c r="I10" s="124">
        <f>'A1'!I23</f>
        <v>498</v>
      </c>
      <c r="J10" s="124">
        <f>'A1'!J23</f>
        <v>454</v>
      </c>
      <c r="K10" s="124">
        <f>'A1'!K23</f>
        <v>532</v>
      </c>
      <c r="L10" s="124">
        <f>'A1'!L23</f>
        <v>552</v>
      </c>
      <c r="M10" s="124">
        <f>'A1'!M23</f>
        <v>651</v>
      </c>
      <c r="N10" s="54"/>
      <c r="O10" s="53">
        <f t="shared" ref="O10:O22" si="0">SUM(B10:D10)</f>
        <v>1580</v>
      </c>
      <c r="P10" s="53">
        <f t="shared" ref="P10:P22" si="1">SUM(E10:G10)</f>
        <v>1660</v>
      </c>
      <c r="Q10" s="53">
        <f t="shared" ref="Q10:Q22" si="2">SUM(H10:J10)</f>
        <v>1468</v>
      </c>
      <c r="R10" s="53">
        <f t="shared" ref="R10:R22" si="3">SUM(K10:M10)</f>
        <v>1735</v>
      </c>
      <c r="S10" s="52">
        <f t="shared" ref="S10:S24" si="4">SUM(O10:R10)</f>
        <v>6443</v>
      </c>
    </row>
    <row r="11" spans="1:19">
      <c r="A11" s="93" t="s">
        <v>127</v>
      </c>
      <c r="B11" s="54">
        <f>'A2'!B23</f>
        <v>568</v>
      </c>
      <c r="C11" s="124">
        <f>'A2'!C23</f>
        <v>479</v>
      </c>
      <c r="D11" s="124">
        <f>'A2'!D23</f>
        <v>575</v>
      </c>
      <c r="E11" s="124">
        <f>'A2'!E23</f>
        <v>557</v>
      </c>
      <c r="F11" s="124">
        <f>'A2'!F23</f>
        <v>579</v>
      </c>
      <c r="G11" s="124">
        <f>'A2'!G23</f>
        <v>571</v>
      </c>
      <c r="H11" s="124">
        <f>'A2'!H23</f>
        <v>464</v>
      </c>
      <c r="I11" s="124">
        <f>'A2'!I23</f>
        <v>458</v>
      </c>
      <c r="J11" s="124">
        <f>'A2'!J23</f>
        <v>540</v>
      </c>
      <c r="K11" s="124">
        <f>'A2'!K23</f>
        <v>632</v>
      </c>
      <c r="L11" s="124">
        <f>'A2'!L23</f>
        <v>634</v>
      </c>
      <c r="M11" s="124">
        <f>'A2'!M23</f>
        <v>668</v>
      </c>
      <c r="N11" s="54"/>
      <c r="O11" s="53">
        <f t="shared" si="0"/>
        <v>1622</v>
      </c>
      <c r="P11" s="53">
        <f t="shared" si="1"/>
        <v>1707</v>
      </c>
      <c r="Q11" s="53">
        <f t="shared" si="2"/>
        <v>1462</v>
      </c>
      <c r="R11" s="53">
        <f t="shared" si="3"/>
        <v>1934</v>
      </c>
      <c r="S11" s="52">
        <f t="shared" si="4"/>
        <v>6725</v>
      </c>
    </row>
    <row r="12" spans="1:19" s="269" customFormat="1">
      <c r="A12" s="204" t="s">
        <v>126</v>
      </c>
      <c r="B12" s="185">
        <f>'A3'!B20</f>
        <v>386</v>
      </c>
      <c r="C12" s="185">
        <f>'A3'!C20</f>
        <v>340</v>
      </c>
      <c r="D12" s="185">
        <f>'A3'!D20</f>
        <v>370</v>
      </c>
      <c r="E12" s="185">
        <f>'A3'!E20</f>
        <v>382</v>
      </c>
      <c r="F12" s="185">
        <f>'A3'!F20</f>
        <v>390</v>
      </c>
      <c r="G12" s="185">
        <f>'A3'!G20</f>
        <v>378</v>
      </c>
      <c r="H12" s="185">
        <f>'A3'!H20</f>
        <v>354</v>
      </c>
      <c r="I12" s="185">
        <f>'A3'!I20</f>
        <v>345</v>
      </c>
      <c r="J12" s="185">
        <f>'A3'!J20</f>
        <v>345</v>
      </c>
      <c r="K12" s="185">
        <f>'A3'!K20</f>
        <v>390</v>
      </c>
      <c r="L12" s="185">
        <f>'A3'!L20</f>
        <v>386</v>
      </c>
      <c r="M12" s="185">
        <f>'A3'!M20</f>
        <v>420</v>
      </c>
      <c r="N12" s="185"/>
      <c r="O12" s="186">
        <f t="shared" si="0"/>
        <v>1096</v>
      </c>
      <c r="P12" s="186">
        <f t="shared" si="1"/>
        <v>1150</v>
      </c>
      <c r="Q12" s="186">
        <f t="shared" si="2"/>
        <v>1044</v>
      </c>
      <c r="R12" s="186">
        <f t="shared" si="3"/>
        <v>1196</v>
      </c>
      <c r="S12" s="122">
        <f t="shared" si="4"/>
        <v>4486</v>
      </c>
    </row>
    <row r="13" spans="1:19" s="269" customFormat="1">
      <c r="A13" s="204" t="s">
        <v>125</v>
      </c>
      <c r="B13" s="185">
        <f>'A4'!B28</f>
        <v>694</v>
      </c>
      <c r="C13" s="185">
        <f>'A4'!C28</f>
        <v>610</v>
      </c>
      <c r="D13" s="185">
        <f>'A4'!D28</f>
        <v>691</v>
      </c>
      <c r="E13" s="185">
        <f>'A4'!E28</f>
        <v>657</v>
      </c>
      <c r="F13" s="185">
        <f>'A4'!F28</f>
        <v>757</v>
      </c>
      <c r="G13" s="185">
        <f>'A4'!G28</f>
        <v>764</v>
      </c>
      <c r="H13" s="185">
        <f>'A4'!H28</f>
        <v>764</v>
      </c>
      <c r="I13" s="185">
        <f>'A4'!I28</f>
        <v>755</v>
      </c>
      <c r="J13" s="185">
        <f>'A4'!J28</f>
        <v>734</v>
      </c>
      <c r="K13" s="185">
        <f>'A4'!K28</f>
        <v>813</v>
      </c>
      <c r="L13" s="185">
        <f>'A4'!L28</f>
        <v>835</v>
      </c>
      <c r="M13" s="185">
        <f>'A4'!M28</f>
        <v>869</v>
      </c>
      <c r="N13" s="185"/>
      <c r="O13" s="186">
        <f t="shared" si="0"/>
        <v>1995</v>
      </c>
      <c r="P13" s="186">
        <f t="shared" si="1"/>
        <v>2178</v>
      </c>
      <c r="Q13" s="186">
        <f t="shared" si="2"/>
        <v>2253</v>
      </c>
      <c r="R13" s="186">
        <f t="shared" si="3"/>
        <v>2517</v>
      </c>
      <c r="S13" s="122">
        <f t="shared" si="4"/>
        <v>8943</v>
      </c>
    </row>
    <row r="14" spans="1:19" s="269" customFormat="1">
      <c r="A14" s="204" t="s">
        <v>124</v>
      </c>
      <c r="B14" s="185">
        <f>'A5'!B20</f>
        <v>548</v>
      </c>
      <c r="C14" s="185">
        <f>'A5'!C20</f>
        <v>445</v>
      </c>
      <c r="D14" s="185">
        <f>'A5'!D20</f>
        <v>521</v>
      </c>
      <c r="E14" s="293">
        <f>'A5'!E20</f>
        <v>457</v>
      </c>
      <c r="F14" s="293">
        <f>'A5'!F20</f>
        <v>540</v>
      </c>
      <c r="G14" s="293">
        <f>'A5'!G20</f>
        <v>500</v>
      </c>
      <c r="H14" s="293">
        <f>'A5'!H20</f>
        <v>422</v>
      </c>
      <c r="I14" s="293">
        <f>'A5'!I20</f>
        <v>404</v>
      </c>
      <c r="J14" s="293">
        <f>'A5'!J20</f>
        <v>446</v>
      </c>
      <c r="K14" s="293">
        <f>'A5'!K20</f>
        <v>496</v>
      </c>
      <c r="L14" s="293">
        <f>'A5'!L20</f>
        <v>520</v>
      </c>
      <c r="M14" s="293">
        <f>'A5'!M20</f>
        <v>628</v>
      </c>
      <c r="N14" s="185"/>
      <c r="O14" s="186">
        <f t="shared" si="0"/>
        <v>1514</v>
      </c>
      <c r="P14" s="186">
        <f t="shared" si="1"/>
        <v>1497</v>
      </c>
      <c r="Q14" s="186">
        <f t="shared" si="2"/>
        <v>1272</v>
      </c>
      <c r="R14" s="186">
        <f t="shared" si="3"/>
        <v>1644</v>
      </c>
      <c r="S14" s="122">
        <f t="shared" si="4"/>
        <v>5927</v>
      </c>
    </row>
    <row r="15" spans="1:19">
      <c r="A15" s="204" t="s">
        <v>123</v>
      </c>
      <c r="B15" s="185">
        <f>'A6'!B22</f>
        <v>271</v>
      </c>
      <c r="C15" s="185">
        <f>'A6'!C22</f>
        <v>257</v>
      </c>
      <c r="D15" s="185">
        <f>'A6'!D22</f>
        <v>311</v>
      </c>
      <c r="E15" s="185">
        <f>'A6'!E22</f>
        <v>306</v>
      </c>
      <c r="F15" s="185">
        <f>'A6'!F22</f>
        <v>326</v>
      </c>
      <c r="G15" s="185">
        <f>'A6'!G22</f>
        <v>296</v>
      </c>
      <c r="H15" s="185">
        <f>'A6'!H22</f>
        <v>282</v>
      </c>
      <c r="I15" s="185">
        <f>'A6'!I22</f>
        <v>256</v>
      </c>
      <c r="J15" s="185">
        <f>'A6'!J22</f>
        <v>258</v>
      </c>
      <c r="K15" s="185">
        <f>'A6'!K22</f>
        <v>311</v>
      </c>
      <c r="L15" s="185">
        <f>'A6'!L22</f>
        <v>296</v>
      </c>
      <c r="M15" s="185">
        <f>'A6'!M22</f>
        <v>326</v>
      </c>
      <c r="N15" s="185"/>
      <c r="O15" s="186">
        <f t="shared" si="0"/>
        <v>839</v>
      </c>
      <c r="P15" s="186">
        <f>SUM(E15:G15)</f>
        <v>928</v>
      </c>
      <c r="Q15" s="186">
        <f>SUM(H15:J15)</f>
        <v>796</v>
      </c>
      <c r="R15" s="186">
        <f>SUM(K15:M15)</f>
        <v>933</v>
      </c>
      <c r="S15" s="122">
        <f t="shared" si="4"/>
        <v>3496</v>
      </c>
    </row>
    <row r="16" spans="1:19">
      <c r="A16" s="204" t="s">
        <v>122</v>
      </c>
      <c r="B16" s="185">
        <f>'A7'!B21</f>
        <v>560</v>
      </c>
      <c r="C16" s="185">
        <f>'A7'!C21</f>
        <v>508</v>
      </c>
      <c r="D16" s="185">
        <f>'A7'!D21</f>
        <v>536</v>
      </c>
      <c r="E16" s="185">
        <f>'A7'!E21</f>
        <v>505</v>
      </c>
      <c r="F16" s="185">
        <f>'A7'!F21</f>
        <v>578</v>
      </c>
      <c r="G16" s="185">
        <f>'A7'!G21</f>
        <v>530</v>
      </c>
      <c r="H16" s="185">
        <f>'A7'!H21</f>
        <v>530</v>
      </c>
      <c r="I16" s="185">
        <f>'A7'!I21</f>
        <v>525</v>
      </c>
      <c r="J16" s="185">
        <f>'A7'!J21</f>
        <v>505</v>
      </c>
      <c r="K16" s="185">
        <f>'A7'!K21</f>
        <v>555</v>
      </c>
      <c r="L16" s="185">
        <f>'A7'!L21</f>
        <v>565</v>
      </c>
      <c r="M16" s="185">
        <f>'A7'!M21</f>
        <v>625</v>
      </c>
      <c r="N16" s="185"/>
      <c r="O16" s="186">
        <f t="shared" si="0"/>
        <v>1604</v>
      </c>
      <c r="P16" s="186">
        <f t="shared" si="1"/>
        <v>1613</v>
      </c>
      <c r="Q16" s="186">
        <f t="shared" si="2"/>
        <v>1560</v>
      </c>
      <c r="R16" s="186">
        <f t="shared" si="3"/>
        <v>1745</v>
      </c>
      <c r="S16" s="122">
        <f t="shared" si="4"/>
        <v>6522</v>
      </c>
    </row>
    <row r="17" spans="1:20">
      <c r="A17" s="204" t="s">
        <v>121</v>
      </c>
      <c r="B17" s="124">
        <f>'A8'!B25</f>
        <v>431</v>
      </c>
      <c r="C17" s="124">
        <f>'A8'!C25</f>
        <v>428</v>
      </c>
      <c r="D17" s="124">
        <f>'A8'!D25</f>
        <v>485</v>
      </c>
      <c r="E17" s="124">
        <f>'A8'!E25</f>
        <v>505</v>
      </c>
      <c r="F17" s="124">
        <f>'A8'!F25</f>
        <v>572</v>
      </c>
      <c r="G17" s="124">
        <f>'A8'!G25</f>
        <v>560</v>
      </c>
      <c r="H17" s="124">
        <f>'A8'!H25</f>
        <v>546</v>
      </c>
      <c r="I17" s="124">
        <f>'A8'!I25</f>
        <v>540</v>
      </c>
      <c r="J17" s="124">
        <f>'A8'!J25</f>
        <v>517</v>
      </c>
      <c r="K17" s="124">
        <f>'A8'!K25</f>
        <v>566</v>
      </c>
      <c r="L17" s="124">
        <f>'A8'!L25</f>
        <v>576</v>
      </c>
      <c r="M17" s="124">
        <f>'A8'!M25</f>
        <v>586</v>
      </c>
      <c r="N17" s="124"/>
      <c r="O17" s="186">
        <f t="shared" si="0"/>
        <v>1344</v>
      </c>
      <c r="P17" s="186">
        <f>SUM(E17:G17)</f>
        <v>1637</v>
      </c>
      <c r="Q17" s="186">
        <f t="shared" si="2"/>
        <v>1603</v>
      </c>
      <c r="R17" s="186">
        <f t="shared" si="3"/>
        <v>1728</v>
      </c>
      <c r="S17" s="122">
        <f t="shared" si="4"/>
        <v>6312</v>
      </c>
    </row>
    <row r="18" spans="1:20">
      <c r="A18" s="204" t="s">
        <v>120</v>
      </c>
      <c r="B18" s="124">
        <f>'A9'!B21</f>
        <v>500</v>
      </c>
      <c r="C18" s="124">
        <f>'A9'!C21</f>
        <v>460</v>
      </c>
      <c r="D18" s="124">
        <f>'A9'!D21</f>
        <v>500</v>
      </c>
      <c r="E18" s="124">
        <f>'A9'!E21</f>
        <v>460</v>
      </c>
      <c r="F18" s="124">
        <f>'A9'!F21</f>
        <v>500</v>
      </c>
      <c r="G18" s="124">
        <f>'A9'!G21</f>
        <v>480</v>
      </c>
      <c r="H18" s="124">
        <f>'A9'!H21</f>
        <v>530</v>
      </c>
      <c r="I18" s="124">
        <f>'A9'!I21</f>
        <v>515</v>
      </c>
      <c r="J18" s="124">
        <f>'A9'!J21</f>
        <v>516</v>
      </c>
      <c r="K18" s="124">
        <f>'A9'!K21</f>
        <v>545</v>
      </c>
      <c r="L18" s="124">
        <f>'A9'!L21</f>
        <v>486</v>
      </c>
      <c r="M18" s="124">
        <f>'A9'!M21</f>
        <v>486</v>
      </c>
      <c r="N18" s="124"/>
      <c r="O18" s="186">
        <f t="shared" si="0"/>
        <v>1460</v>
      </c>
      <c r="P18" s="186">
        <f t="shared" si="1"/>
        <v>1440</v>
      </c>
      <c r="Q18" s="186">
        <f t="shared" si="2"/>
        <v>1561</v>
      </c>
      <c r="R18" s="186">
        <f t="shared" si="3"/>
        <v>1517</v>
      </c>
      <c r="S18" s="122">
        <f t="shared" si="4"/>
        <v>5978</v>
      </c>
    </row>
    <row r="19" spans="1:20">
      <c r="A19" s="204" t="s">
        <v>119</v>
      </c>
      <c r="B19" s="124">
        <f>'A10'!B20</f>
        <v>310</v>
      </c>
      <c r="C19" s="124">
        <f>'A10'!C20</f>
        <v>310</v>
      </c>
      <c r="D19" s="124">
        <f>'A10'!D20</f>
        <v>340</v>
      </c>
      <c r="E19" s="124">
        <f>'A10'!E20</f>
        <v>300</v>
      </c>
      <c r="F19" s="124">
        <f>'A10'!F20</f>
        <v>350</v>
      </c>
      <c r="G19" s="124">
        <f>'A10'!G20</f>
        <v>330</v>
      </c>
      <c r="H19" s="124">
        <f>'A10'!H20</f>
        <v>339</v>
      </c>
      <c r="I19" s="124">
        <f>'A10'!I20</f>
        <v>320</v>
      </c>
      <c r="J19" s="124">
        <f>'A10'!J20</f>
        <v>330</v>
      </c>
      <c r="K19" s="124">
        <f>'A10'!K20</f>
        <v>340</v>
      </c>
      <c r="L19" s="124">
        <f>'A10'!L20</f>
        <v>330</v>
      </c>
      <c r="M19" s="124">
        <f>'A10'!M20</f>
        <v>360</v>
      </c>
      <c r="N19" s="124"/>
      <c r="O19" s="186">
        <f t="shared" si="0"/>
        <v>960</v>
      </c>
      <c r="P19" s="186">
        <f t="shared" si="1"/>
        <v>980</v>
      </c>
      <c r="Q19" s="186">
        <f t="shared" si="2"/>
        <v>989</v>
      </c>
      <c r="R19" s="186">
        <f t="shared" si="3"/>
        <v>1030</v>
      </c>
      <c r="S19" s="122">
        <f t="shared" si="4"/>
        <v>3959</v>
      </c>
    </row>
    <row r="20" spans="1:20" s="269" customFormat="1">
      <c r="A20" s="204" t="s">
        <v>178</v>
      </c>
      <c r="B20" s="124">
        <f>'A11'!B19</f>
        <v>46</v>
      </c>
      <c r="C20" s="124">
        <f>'A11'!C19</f>
        <v>46</v>
      </c>
      <c r="D20" s="124">
        <f>'A11'!D19</f>
        <v>52</v>
      </c>
      <c r="E20" s="124">
        <f>'A11'!E19</f>
        <v>48</v>
      </c>
      <c r="F20" s="124">
        <f>'A11'!F19</f>
        <v>50</v>
      </c>
      <c r="G20" s="124">
        <f>'A11'!G19</f>
        <v>49</v>
      </c>
      <c r="H20" s="124">
        <f>'A11'!H19</f>
        <v>48</v>
      </c>
      <c r="I20" s="124">
        <f>'A11'!I19</f>
        <v>49</v>
      </c>
      <c r="J20" s="124">
        <f>'A11'!J19</f>
        <v>48</v>
      </c>
      <c r="K20" s="124">
        <f>'A11'!K19</f>
        <v>54</v>
      </c>
      <c r="L20" s="124">
        <f>'A11'!L19</f>
        <v>57</v>
      </c>
      <c r="M20" s="124">
        <f>'A11'!M19</f>
        <v>64</v>
      </c>
      <c r="N20" s="124"/>
      <c r="O20" s="186">
        <f t="shared" si="0"/>
        <v>144</v>
      </c>
      <c r="P20" s="186">
        <f t="shared" si="1"/>
        <v>147</v>
      </c>
      <c r="Q20" s="186">
        <f t="shared" si="2"/>
        <v>145</v>
      </c>
      <c r="R20" s="186">
        <f t="shared" si="3"/>
        <v>175</v>
      </c>
      <c r="S20" s="122">
        <f t="shared" si="4"/>
        <v>611</v>
      </c>
    </row>
    <row r="21" spans="1:20" s="269" customFormat="1">
      <c r="A21" s="204" t="s">
        <v>176</v>
      </c>
      <c r="B21" s="124">
        <f>'A12'!B20</f>
        <v>300</v>
      </c>
      <c r="C21" s="124">
        <f>'A12'!C20</f>
        <v>267</v>
      </c>
      <c r="D21" s="124">
        <f>'A12'!D20</f>
        <v>295</v>
      </c>
      <c r="E21" s="124">
        <f>'A12'!E20</f>
        <v>251</v>
      </c>
      <c r="F21" s="124">
        <f>'A12'!F20</f>
        <v>327</v>
      </c>
      <c r="G21" s="124">
        <f>'A12'!G20</f>
        <v>313</v>
      </c>
      <c r="H21" s="124">
        <f>'A12'!H20</f>
        <v>288</v>
      </c>
      <c r="I21" s="124">
        <f>'A12'!I20</f>
        <v>274</v>
      </c>
      <c r="J21" s="124">
        <f>'A12'!J20</f>
        <v>287</v>
      </c>
      <c r="K21" s="124">
        <f>'A12'!K20</f>
        <v>295</v>
      </c>
      <c r="L21" s="124">
        <f>'A12'!L20</f>
        <v>299</v>
      </c>
      <c r="M21" s="124">
        <f>'A12'!M20</f>
        <v>340</v>
      </c>
      <c r="N21" s="124"/>
      <c r="O21" s="186">
        <f t="shared" ref="O21" si="5">SUM(B21:D21)</f>
        <v>862</v>
      </c>
      <c r="P21" s="186">
        <f t="shared" ref="P21" si="6">SUM(E21:G21)</f>
        <v>891</v>
      </c>
      <c r="Q21" s="186">
        <f t="shared" ref="Q21" si="7">SUM(H21:J21)</f>
        <v>849</v>
      </c>
      <c r="R21" s="186">
        <f t="shared" ref="R21" si="8">SUM(K21:M21)</f>
        <v>934</v>
      </c>
      <c r="S21" s="122">
        <f t="shared" ref="S21" si="9">SUM(O21:R21)</f>
        <v>3536</v>
      </c>
    </row>
    <row r="22" spans="1:20" s="269" customFormat="1">
      <c r="A22" s="204" t="s">
        <v>177</v>
      </c>
      <c r="B22" s="185">
        <f>'A13'!B16</f>
        <v>23</v>
      </c>
      <c r="C22" s="185">
        <f>'A13'!C16</f>
        <v>42</v>
      </c>
      <c r="D22" s="185">
        <f>'A13'!D16</f>
        <v>45</v>
      </c>
      <c r="E22" s="185">
        <f>'A13'!E16</f>
        <v>43</v>
      </c>
      <c r="F22" s="185">
        <f>'A13'!F16</f>
        <v>56</v>
      </c>
      <c r="G22" s="185">
        <f>'A13'!G16</f>
        <v>48</v>
      </c>
      <c r="H22" s="185">
        <f>'A13'!H16</f>
        <v>49</v>
      </c>
      <c r="I22" s="185">
        <f>'A13'!I16</f>
        <v>51</v>
      </c>
      <c r="J22" s="185">
        <f>'A13'!J16</f>
        <v>55</v>
      </c>
      <c r="K22" s="185">
        <f>'A13'!K16</f>
        <v>53</v>
      </c>
      <c r="L22" s="185">
        <f>'A13'!L16</f>
        <v>61</v>
      </c>
      <c r="M22" s="185">
        <f>'A13'!M16</f>
        <v>63</v>
      </c>
      <c r="N22" s="185"/>
      <c r="O22" s="186">
        <f t="shared" si="0"/>
        <v>110</v>
      </c>
      <c r="P22" s="186">
        <f t="shared" si="1"/>
        <v>147</v>
      </c>
      <c r="Q22" s="186">
        <f t="shared" si="2"/>
        <v>155</v>
      </c>
      <c r="R22" s="186">
        <f t="shared" si="3"/>
        <v>177</v>
      </c>
      <c r="S22" s="122">
        <f t="shared" si="4"/>
        <v>589</v>
      </c>
    </row>
    <row r="23" spans="1:20" s="269" customFormat="1">
      <c r="A23" s="204" t="s">
        <v>182</v>
      </c>
      <c r="B23" s="185">
        <f>'Daet CN'!B17</f>
        <v>0</v>
      </c>
      <c r="C23" s="185">
        <f>'Daet CN'!C17</f>
        <v>20</v>
      </c>
      <c r="D23" s="185">
        <f>'Daet CN'!D17</f>
        <v>20</v>
      </c>
      <c r="E23" s="185">
        <f>'Daet CN'!E17</f>
        <v>25</v>
      </c>
      <c r="F23" s="185">
        <f>'Daet CN'!F17</f>
        <v>25</v>
      </c>
      <c r="G23" s="185">
        <f>'Daet CN'!G17</f>
        <v>20</v>
      </c>
      <c r="H23" s="185">
        <f>'Daet CN'!H17</f>
        <v>40</v>
      </c>
      <c r="I23" s="185">
        <f>'Daet CN'!I17</f>
        <v>40</v>
      </c>
      <c r="J23" s="185">
        <f>'Daet CN'!J17</f>
        <v>50</v>
      </c>
      <c r="K23" s="185">
        <f>'Daet CN'!K17</f>
        <v>75</v>
      </c>
      <c r="L23" s="185">
        <f>'Daet CN'!L17</f>
        <v>80</v>
      </c>
      <c r="M23" s="185">
        <f>'Daet CN'!M17</f>
        <v>80</v>
      </c>
      <c r="N23" s="185"/>
      <c r="O23" s="186">
        <f>SUM(B23:D23)</f>
        <v>40</v>
      </c>
      <c r="P23" s="186">
        <f>SUM(E23:G23)</f>
        <v>70</v>
      </c>
      <c r="Q23" s="186">
        <f>SUM(H23:J23)</f>
        <v>130</v>
      </c>
      <c r="R23" s="186">
        <f>SUM(K23:M23)</f>
        <v>235</v>
      </c>
      <c r="S23" s="122">
        <f t="shared" si="4"/>
        <v>475</v>
      </c>
    </row>
    <row r="24" spans="1:20">
      <c r="A24" s="93" t="s">
        <v>3</v>
      </c>
      <c r="B24" s="92">
        <f>SUM(B10:B22)</f>
        <v>5177</v>
      </c>
      <c r="C24" s="92">
        <f t="shared" ref="C24:L24" si="10">SUM(C10:C22)</f>
        <v>4664</v>
      </c>
      <c r="D24" s="92">
        <f t="shared" si="10"/>
        <v>5289</v>
      </c>
      <c r="E24" s="92">
        <f t="shared" si="10"/>
        <v>4995</v>
      </c>
      <c r="F24" s="92">
        <f t="shared" si="10"/>
        <v>5611</v>
      </c>
      <c r="G24" s="92">
        <f t="shared" si="10"/>
        <v>5369</v>
      </c>
      <c r="H24" s="92">
        <f t="shared" si="10"/>
        <v>5132</v>
      </c>
      <c r="I24" s="92">
        <f t="shared" si="10"/>
        <v>4990</v>
      </c>
      <c r="J24" s="92">
        <f t="shared" si="10"/>
        <v>5035</v>
      </c>
      <c r="K24" s="92">
        <f t="shared" si="10"/>
        <v>5582</v>
      </c>
      <c r="L24" s="92">
        <f t="shared" si="10"/>
        <v>5597</v>
      </c>
      <c r="M24" s="92">
        <f t="shared" ref="M24" si="11">SUM(M10:M22)</f>
        <v>6086</v>
      </c>
      <c r="N24" s="124"/>
      <c r="O24" s="123">
        <f>SUM(O10:O23)</f>
        <v>15170</v>
      </c>
      <c r="P24" s="123">
        <f>SUM(P10:P23)</f>
        <v>16045</v>
      </c>
      <c r="Q24" s="123">
        <f>SUM(Q10:Q23)</f>
        <v>15287</v>
      </c>
      <c r="R24" s="123">
        <f>SUM(R10:R23)</f>
        <v>17500</v>
      </c>
      <c r="S24" s="122">
        <f t="shared" si="4"/>
        <v>64002</v>
      </c>
      <c r="T24" s="34"/>
    </row>
    <row r="25" spans="1:20"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51"/>
      <c r="T25" s="34"/>
    </row>
    <row r="26" spans="1:20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137">
        <v>2019</v>
      </c>
      <c r="N26" s="65"/>
      <c r="O26" s="128">
        <f>O24/S24</f>
        <v>0.23702384300490609</v>
      </c>
      <c r="P26" s="138">
        <f>P24/S24</f>
        <v>0.25069529077216335</v>
      </c>
      <c r="Q26" s="138">
        <f>Q24/S24</f>
        <v>0.23885191087778507</v>
      </c>
      <c r="R26" s="138">
        <f>R24/S24</f>
        <v>0.27342895534514544</v>
      </c>
      <c r="S26" s="134">
        <f>SUM(O26:R26)</f>
        <v>1</v>
      </c>
    </row>
    <row r="27" spans="1:20"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O27" s="139"/>
      <c r="P27" s="140"/>
      <c r="Q27" s="140"/>
      <c r="R27" s="140"/>
    </row>
    <row r="28" spans="1:20">
      <c r="B28" s="64"/>
      <c r="E28" s="64"/>
      <c r="H28" s="64"/>
      <c r="K28" s="64"/>
      <c r="M28" s="136">
        <v>2018</v>
      </c>
      <c r="O28" s="138">
        <v>0.2382</v>
      </c>
      <c r="P28" s="138">
        <v>0.25269999999999998</v>
      </c>
      <c r="Q28" s="138">
        <v>0.2404</v>
      </c>
      <c r="R28" s="138">
        <v>0.26869999999999999</v>
      </c>
      <c r="S28" s="134">
        <f>SUM(O28:R28)</f>
        <v>1</v>
      </c>
    </row>
    <row r="29" spans="1:20" s="94" customFormat="1">
      <c r="B29" s="127"/>
      <c r="E29" s="127"/>
      <c r="H29" s="127"/>
      <c r="K29" s="127"/>
      <c r="M29" s="133"/>
      <c r="O29" s="135"/>
      <c r="P29" s="135"/>
      <c r="Q29" s="135"/>
      <c r="R29" s="135"/>
      <c r="S29" s="134"/>
    </row>
    <row r="30" spans="1:20" s="34" customFormat="1"/>
    <row r="31" spans="1:20">
      <c r="B31" s="1" t="s">
        <v>146</v>
      </c>
      <c r="C31" s="1"/>
      <c r="D31" s="1"/>
      <c r="E31" s="1"/>
      <c r="F31" s="1"/>
      <c r="G31" s="1"/>
      <c r="H31" s="1" t="s">
        <v>1</v>
      </c>
      <c r="I31" s="1"/>
      <c r="J31" s="1"/>
    </row>
    <row r="32" spans="1:20">
      <c r="B32" s="1"/>
      <c r="C32" s="1"/>
      <c r="D32" s="1"/>
      <c r="E32" s="1"/>
      <c r="F32" s="1"/>
      <c r="G32" s="1"/>
      <c r="H32" s="1"/>
      <c r="I32" s="1"/>
      <c r="J32" s="1"/>
    </row>
    <row r="33" spans="2:10">
      <c r="B33" s="3"/>
      <c r="C33" s="3"/>
      <c r="D33" s="3"/>
      <c r="E33" s="559"/>
      <c r="F33" s="1"/>
      <c r="G33" s="1"/>
      <c r="H33" s="3"/>
      <c r="I33" s="3"/>
      <c r="J33" s="3"/>
    </row>
    <row r="34" spans="2:10">
      <c r="B34" s="2" t="s">
        <v>226</v>
      </c>
      <c r="C34" s="1"/>
      <c r="D34" s="1"/>
      <c r="E34" s="762"/>
      <c r="F34" s="1"/>
      <c r="G34" s="1"/>
      <c r="H34" s="1" t="s">
        <v>0</v>
      </c>
      <c r="I34" s="1"/>
      <c r="J34" s="1"/>
    </row>
    <row r="35" spans="2:10">
      <c r="B35" s="1" t="s">
        <v>224</v>
      </c>
      <c r="H35" s="1" t="s">
        <v>223</v>
      </c>
    </row>
    <row r="38" spans="2:10">
      <c r="B38" s="549" t="s">
        <v>2</v>
      </c>
      <c r="C38" s="549"/>
    </row>
    <row r="41" spans="2:10">
      <c r="B41" s="762" t="s">
        <v>227</v>
      </c>
      <c r="C41" s="762"/>
      <c r="D41" s="762"/>
      <c r="E41" s="168"/>
    </row>
    <row r="42" spans="2:10">
      <c r="B42" s="549" t="s">
        <v>225</v>
      </c>
      <c r="C42" s="549"/>
      <c r="D42" s="549"/>
    </row>
  </sheetData>
  <mergeCells count="1">
    <mergeCell ref="A2:S2"/>
  </mergeCells>
  <pageMargins left="0.7" right="0.7" top="0.75" bottom="0.75" header="0.3" footer="0.3"/>
  <pageSetup paperSize="9" scale="97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zoomScaleNormal="100" workbookViewId="0">
      <pane xSplit="1" ySplit="5" topLeftCell="B6" activePane="bottomRight" state="frozen"/>
      <selection pane="topRight"/>
      <selection pane="bottomLeft"/>
      <selection pane="bottomRight" activeCell="B33" sqref="B33"/>
    </sheetView>
  </sheetViews>
  <sheetFormatPr defaultRowHeight="15"/>
  <cols>
    <col min="1" max="1" width="24.5703125" customWidth="1"/>
    <col min="2" max="13" width="6.28515625" customWidth="1"/>
    <col min="14" max="14" width="1.42578125" customWidth="1"/>
    <col min="15" max="19" width="6.28515625" customWidth="1"/>
    <col min="20" max="20" width="1.42578125" customWidth="1"/>
    <col min="21" max="21" width="8.140625" customWidth="1"/>
  </cols>
  <sheetData>
    <row r="1" spans="1:21" ht="23.25">
      <c r="A1" s="733" t="s">
        <v>194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</row>
    <row r="2" spans="1:21" ht="15.75" thickBot="1"/>
    <row r="3" spans="1:21" ht="15.75" thickBot="1">
      <c r="A3" s="748" t="s">
        <v>26</v>
      </c>
      <c r="B3" s="751" t="s">
        <v>25</v>
      </c>
      <c r="C3" s="752"/>
      <c r="D3" s="752"/>
      <c r="E3" s="753" t="s">
        <v>24</v>
      </c>
      <c r="F3" s="754"/>
      <c r="G3" s="754"/>
      <c r="H3" s="753" t="s">
        <v>23</v>
      </c>
      <c r="I3" s="754"/>
      <c r="J3" s="754"/>
      <c r="K3" s="751" t="s">
        <v>22</v>
      </c>
      <c r="L3" s="752"/>
      <c r="M3" s="755"/>
      <c r="N3" s="30"/>
      <c r="O3" s="734" t="s">
        <v>4</v>
      </c>
      <c r="P3" s="735"/>
      <c r="Q3" s="735"/>
      <c r="R3" s="735"/>
      <c r="S3" s="736"/>
      <c r="T3" s="30"/>
      <c r="U3" s="658"/>
    </row>
    <row r="4" spans="1:21">
      <c r="A4" s="749"/>
      <c r="B4" s="737" t="s">
        <v>21</v>
      </c>
      <c r="C4" s="739" t="s">
        <v>20</v>
      </c>
      <c r="D4" s="739" t="s">
        <v>19</v>
      </c>
      <c r="E4" s="737" t="s">
        <v>18</v>
      </c>
      <c r="F4" s="739" t="s">
        <v>17</v>
      </c>
      <c r="G4" s="739" t="s">
        <v>16</v>
      </c>
      <c r="H4" s="737" t="s">
        <v>15</v>
      </c>
      <c r="I4" s="739" t="s">
        <v>14</v>
      </c>
      <c r="J4" s="739" t="s">
        <v>13</v>
      </c>
      <c r="K4" s="737" t="s">
        <v>12</v>
      </c>
      <c r="L4" s="739" t="s">
        <v>11</v>
      </c>
      <c r="M4" s="744" t="s">
        <v>10</v>
      </c>
      <c r="N4" s="29"/>
      <c r="O4" s="746" t="s">
        <v>9</v>
      </c>
      <c r="P4" s="731" t="s">
        <v>8</v>
      </c>
      <c r="Q4" s="731" t="s">
        <v>7</v>
      </c>
      <c r="R4" s="731" t="s">
        <v>6</v>
      </c>
      <c r="S4" s="741" t="s">
        <v>5</v>
      </c>
      <c r="T4" s="29"/>
      <c r="U4" s="743"/>
    </row>
    <row r="5" spans="1:21" ht="15.75" thickBot="1">
      <c r="A5" s="750"/>
      <c r="B5" s="738"/>
      <c r="C5" s="740"/>
      <c r="D5" s="740"/>
      <c r="E5" s="738"/>
      <c r="F5" s="740"/>
      <c r="G5" s="740"/>
      <c r="H5" s="738"/>
      <c r="I5" s="740"/>
      <c r="J5" s="740"/>
      <c r="K5" s="738"/>
      <c r="L5" s="740"/>
      <c r="M5" s="745"/>
      <c r="N5" s="29"/>
      <c r="O5" s="747"/>
      <c r="P5" s="732"/>
      <c r="Q5" s="732"/>
      <c r="R5" s="732"/>
      <c r="S5" s="742"/>
      <c r="T5" s="29"/>
      <c r="U5" s="743"/>
    </row>
    <row r="6" spans="1:21">
      <c r="A6" s="156" t="s">
        <v>38</v>
      </c>
      <c r="B6" s="503">
        <v>86</v>
      </c>
      <c r="C6" s="504">
        <v>70</v>
      </c>
      <c r="D6" s="504">
        <v>89</v>
      </c>
      <c r="E6" s="505">
        <v>72</v>
      </c>
      <c r="F6" s="506">
        <v>78</v>
      </c>
      <c r="G6" s="506">
        <v>77</v>
      </c>
      <c r="H6" s="505">
        <v>82</v>
      </c>
      <c r="I6" s="506">
        <v>83</v>
      </c>
      <c r="J6" s="506">
        <v>65</v>
      </c>
      <c r="K6" s="505">
        <v>68</v>
      </c>
      <c r="L6" s="506">
        <v>70</v>
      </c>
      <c r="M6" s="507">
        <v>85</v>
      </c>
      <c r="N6" s="14"/>
      <c r="O6" s="125">
        <f t="shared" ref="O6:O17" si="0">SUM(B6:D6)</f>
        <v>245</v>
      </c>
      <c r="P6" s="108">
        <f t="shared" ref="P6:P17" si="1">SUM(E6:G6)</f>
        <v>227</v>
      </c>
      <c r="Q6" s="108">
        <f t="shared" ref="Q6:Q17" si="2">SUM(H6:J6)</f>
        <v>230</v>
      </c>
      <c r="R6" s="108">
        <f t="shared" ref="R6:R17" si="3">SUM(K6:M6)</f>
        <v>223</v>
      </c>
      <c r="S6" s="153">
        <f t="shared" ref="S6:S18" si="4">SUM(O6:R6)</f>
        <v>925</v>
      </c>
      <c r="T6" s="14"/>
      <c r="U6" s="657"/>
    </row>
    <row r="7" spans="1:21">
      <c r="A7" s="268" t="s">
        <v>29</v>
      </c>
      <c r="B7" s="508">
        <v>57</v>
      </c>
      <c r="C7" s="509">
        <v>45</v>
      </c>
      <c r="D7" s="510">
        <v>50</v>
      </c>
      <c r="E7" s="511">
        <v>48</v>
      </c>
      <c r="F7" s="509">
        <v>55</v>
      </c>
      <c r="G7" s="510">
        <v>55</v>
      </c>
      <c r="H7" s="511">
        <v>50</v>
      </c>
      <c r="I7" s="509">
        <v>45</v>
      </c>
      <c r="J7" s="510">
        <v>35</v>
      </c>
      <c r="K7" s="512">
        <v>45</v>
      </c>
      <c r="L7" s="509">
        <v>52</v>
      </c>
      <c r="M7" s="510">
        <v>68</v>
      </c>
      <c r="N7" s="14"/>
      <c r="O7" s="19">
        <f t="shared" si="0"/>
        <v>152</v>
      </c>
      <c r="P7" s="18">
        <f t="shared" si="1"/>
        <v>158</v>
      </c>
      <c r="Q7" s="18">
        <f t="shared" si="2"/>
        <v>130</v>
      </c>
      <c r="R7" s="18">
        <f t="shared" si="3"/>
        <v>165</v>
      </c>
      <c r="S7" s="25">
        <f t="shared" si="4"/>
        <v>605</v>
      </c>
      <c r="T7" s="14"/>
      <c r="U7" s="657"/>
    </row>
    <row r="8" spans="1:21">
      <c r="A8" s="268" t="s">
        <v>34</v>
      </c>
      <c r="B8" s="508">
        <v>67</v>
      </c>
      <c r="C8" s="509">
        <v>50</v>
      </c>
      <c r="D8" s="510">
        <v>71</v>
      </c>
      <c r="E8" s="511">
        <v>70</v>
      </c>
      <c r="F8" s="509">
        <v>78</v>
      </c>
      <c r="G8" s="510">
        <v>70</v>
      </c>
      <c r="H8" s="511">
        <v>60</v>
      </c>
      <c r="I8" s="509">
        <v>56</v>
      </c>
      <c r="J8" s="510">
        <v>50</v>
      </c>
      <c r="K8" s="512">
        <v>58</v>
      </c>
      <c r="L8" s="509">
        <v>60</v>
      </c>
      <c r="M8" s="510">
        <v>80</v>
      </c>
      <c r="N8" s="14"/>
      <c r="O8" s="19">
        <f t="shared" si="0"/>
        <v>188</v>
      </c>
      <c r="P8" s="18">
        <f t="shared" si="1"/>
        <v>218</v>
      </c>
      <c r="Q8" s="18">
        <f t="shared" si="2"/>
        <v>166</v>
      </c>
      <c r="R8" s="18">
        <f t="shared" si="3"/>
        <v>198</v>
      </c>
      <c r="S8" s="25">
        <f t="shared" si="4"/>
        <v>770</v>
      </c>
      <c r="T8" s="14"/>
      <c r="U8" s="657"/>
    </row>
    <row r="9" spans="1:21">
      <c r="A9" s="268" t="s">
        <v>36</v>
      </c>
      <c r="B9" s="508">
        <v>40</v>
      </c>
      <c r="C9" s="509">
        <v>30</v>
      </c>
      <c r="D9" s="510">
        <v>34</v>
      </c>
      <c r="E9" s="511">
        <v>40</v>
      </c>
      <c r="F9" s="509">
        <v>40</v>
      </c>
      <c r="G9" s="510">
        <v>40</v>
      </c>
      <c r="H9" s="511">
        <v>32</v>
      </c>
      <c r="I9" s="509">
        <v>30</v>
      </c>
      <c r="J9" s="510">
        <v>30</v>
      </c>
      <c r="K9" s="512">
        <v>35</v>
      </c>
      <c r="L9" s="509">
        <v>30</v>
      </c>
      <c r="M9" s="510">
        <v>40</v>
      </c>
      <c r="N9" s="14"/>
      <c r="O9" s="19">
        <f t="shared" si="0"/>
        <v>104</v>
      </c>
      <c r="P9" s="18">
        <f t="shared" si="1"/>
        <v>120</v>
      </c>
      <c r="Q9" s="18">
        <f t="shared" si="2"/>
        <v>92</v>
      </c>
      <c r="R9" s="18">
        <f t="shared" si="3"/>
        <v>105</v>
      </c>
      <c r="S9" s="25">
        <f t="shared" si="4"/>
        <v>421</v>
      </c>
      <c r="T9" s="14"/>
      <c r="U9" s="657"/>
    </row>
    <row r="10" spans="1:21">
      <c r="A10" s="268" t="s">
        <v>37</v>
      </c>
      <c r="B10" s="508">
        <v>46</v>
      </c>
      <c r="C10" s="509">
        <v>45</v>
      </c>
      <c r="D10" s="510">
        <v>54</v>
      </c>
      <c r="E10" s="511">
        <v>45</v>
      </c>
      <c r="F10" s="509">
        <v>47</v>
      </c>
      <c r="G10" s="510">
        <v>50</v>
      </c>
      <c r="H10" s="511">
        <v>39</v>
      </c>
      <c r="I10" s="509">
        <v>42</v>
      </c>
      <c r="J10" s="510">
        <v>38</v>
      </c>
      <c r="K10" s="512">
        <v>45</v>
      </c>
      <c r="L10" s="509">
        <v>42</v>
      </c>
      <c r="M10" s="510">
        <v>45</v>
      </c>
      <c r="N10" s="14"/>
      <c r="O10" s="19">
        <f t="shared" si="0"/>
        <v>145</v>
      </c>
      <c r="P10" s="18">
        <f t="shared" si="1"/>
        <v>142</v>
      </c>
      <c r="Q10" s="18">
        <f t="shared" si="2"/>
        <v>119</v>
      </c>
      <c r="R10" s="18">
        <f t="shared" si="3"/>
        <v>132</v>
      </c>
      <c r="S10" s="25">
        <f t="shared" si="4"/>
        <v>538</v>
      </c>
      <c r="T10" s="14"/>
      <c r="U10" s="657"/>
    </row>
    <row r="11" spans="1:21">
      <c r="A11" s="268" t="s">
        <v>33</v>
      </c>
      <c r="B11" s="508">
        <v>43</v>
      </c>
      <c r="C11" s="509">
        <v>40</v>
      </c>
      <c r="D11" s="510">
        <v>45</v>
      </c>
      <c r="E11" s="511">
        <v>35</v>
      </c>
      <c r="F11" s="509">
        <v>50</v>
      </c>
      <c r="G11" s="510">
        <v>45</v>
      </c>
      <c r="H11" s="511">
        <v>42</v>
      </c>
      <c r="I11" s="509">
        <v>42</v>
      </c>
      <c r="J11" s="510">
        <v>35</v>
      </c>
      <c r="K11" s="512">
        <v>60</v>
      </c>
      <c r="L11" s="509">
        <v>60</v>
      </c>
      <c r="M11" s="510">
        <v>65</v>
      </c>
      <c r="N11" s="14"/>
      <c r="O11" s="19">
        <f t="shared" si="0"/>
        <v>128</v>
      </c>
      <c r="P11" s="18">
        <f t="shared" si="1"/>
        <v>130</v>
      </c>
      <c r="Q11" s="18">
        <f t="shared" si="2"/>
        <v>119</v>
      </c>
      <c r="R11" s="18">
        <f t="shared" si="3"/>
        <v>185</v>
      </c>
      <c r="S11" s="25">
        <f t="shared" si="4"/>
        <v>562</v>
      </c>
      <c r="T11" s="14"/>
      <c r="U11" s="657"/>
    </row>
    <row r="12" spans="1:21">
      <c r="A12" s="268" t="s">
        <v>32</v>
      </c>
      <c r="B12" s="508">
        <v>40</v>
      </c>
      <c r="C12" s="509">
        <v>30</v>
      </c>
      <c r="D12" s="510">
        <v>35</v>
      </c>
      <c r="E12" s="511">
        <v>30</v>
      </c>
      <c r="F12" s="509">
        <v>45</v>
      </c>
      <c r="G12" s="510">
        <v>35</v>
      </c>
      <c r="H12" s="511">
        <v>30</v>
      </c>
      <c r="I12" s="509">
        <v>35</v>
      </c>
      <c r="J12" s="510">
        <v>35</v>
      </c>
      <c r="K12" s="512">
        <v>40</v>
      </c>
      <c r="L12" s="509">
        <v>48</v>
      </c>
      <c r="M12" s="510">
        <v>55</v>
      </c>
      <c r="N12" s="14"/>
      <c r="O12" s="19">
        <f>SUM(B12:D12)</f>
        <v>105</v>
      </c>
      <c r="P12" s="18">
        <f>SUM(E12:G12)</f>
        <v>110</v>
      </c>
      <c r="Q12" s="18">
        <f>SUM(H12:J12)</f>
        <v>100</v>
      </c>
      <c r="R12" s="18">
        <f>SUM(K12:M12)</f>
        <v>143</v>
      </c>
      <c r="S12" s="25">
        <f t="shared" si="4"/>
        <v>458</v>
      </c>
      <c r="T12" s="14"/>
      <c r="U12" s="657"/>
    </row>
    <row r="13" spans="1:21">
      <c r="A13" s="268" t="s">
        <v>28</v>
      </c>
      <c r="B13" s="513">
        <v>25</v>
      </c>
      <c r="C13" s="509">
        <v>25</v>
      </c>
      <c r="D13" s="510">
        <v>30</v>
      </c>
      <c r="E13" s="511">
        <v>30</v>
      </c>
      <c r="F13" s="509">
        <v>30</v>
      </c>
      <c r="G13" s="510">
        <v>32</v>
      </c>
      <c r="H13" s="511">
        <v>32</v>
      </c>
      <c r="I13" s="509">
        <v>27</v>
      </c>
      <c r="J13" s="510">
        <v>27</v>
      </c>
      <c r="K13" s="512">
        <v>31</v>
      </c>
      <c r="L13" s="509">
        <v>32</v>
      </c>
      <c r="M13" s="510">
        <v>32</v>
      </c>
      <c r="N13" s="14"/>
      <c r="O13" s="19">
        <f t="shared" si="0"/>
        <v>80</v>
      </c>
      <c r="P13" s="18">
        <f t="shared" si="1"/>
        <v>92</v>
      </c>
      <c r="Q13" s="18">
        <f t="shared" si="2"/>
        <v>86</v>
      </c>
      <c r="R13" s="18">
        <f t="shared" si="3"/>
        <v>95</v>
      </c>
      <c r="S13" s="25">
        <f t="shared" si="4"/>
        <v>353</v>
      </c>
      <c r="T13" s="14"/>
      <c r="U13" s="657"/>
    </row>
    <row r="14" spans="1:21">
      <c r="A14" s="268" t="s">
        <v>136</v>
      </c>
      <c r="B14" s="508">
        <v>40</v>
      </c>
      <c r="C14" s="509">
        <v>35</v>
      </c>
      <c r="D14" s="510">
        <v>50</v>
      </c>
      <c r="E14" s="511">
        <v>42</v>
      </c>
      <c r="F14" s="509">
        <v>49</v>
      </c>
      <c r="G14" s="510">
        <v>39</v>
      </c>
      <c r="H14" s="511">
        <v>40</v>
      </c>
      <c r="I14" s="509">
        <v>37</v>
      </c>
      <c r="J14" s="510">
        <v>38</v>
      </c>
      <c r="K14" s="512">
        <v>40</v>
      </c>
      <c r="L14" s="509">
        <v>45</v>
      </c>
      <c r="M14" s="510">
        <v>55</v>
      </c>
      <c r="N14" s="14"/>
      <c r="O14" s="19">
        <f t="shared" si="0"/>
        <v>125</v>
      </c>
      <c r="P14" s="18">
        <f t="shared" si="1"/>
        <v>130</v>
      </c>
      <c r="Q14" s="18">
        <f t="shared" si="2"/>
        <v>115</v>
      </c>
      <c r="R14" s="18">
        <f t="shared" si="3"/>
        <v>140</v>
      </c>
      <c r="S14" s="25">
        <f t="shared" si="4"/>
        <v>510</v>
      </c>
      <c r="T14" s="14"/>
      <c r="U14" s="657"/>
    </row>
    <row r="15" spans="1:21">
      <c r="A15" s="268" t="s">
        <v>30</v>
      </c>
      <c r="B15" s="508">
        <v>30</v>
      </c>
      <c r="C15" s="509">
        <v>25</v>
      </c>
      <c r="D15" s="510">
        <v>26</v>
      </c>
      <c r="E15" s="511">
        <v>25</v>
      </c>
      <c r="F15" s="509">
        <v>27</v>
      </c>
      <c r="G15" s="510">
        <v>26</v>
      </c>
      <c r="H15" s="511">
        <v>25</v>
      </c>
      <c r="I15" s="509">
        <v>25</v>
      </c>
      <c r="J15" s="510">
        <v>25</v>
      </c>
      <c r="K15" s="512">
        <v>26</v>
      </c>
      <c r="L15" s="509">
        <v>27</v>
      </c>
      <c r="M15" s="510">
        <v>30</v>
      </c>
      <c r="N15" s="14"/>
      <c r="O15" s="19">
        <f t="shared" si="0"/>
        <v>81</v>
      </c>
      <c r="P15" s="18">
        <f t="shared" si="1"/>
        <v>78</v>
      </c>
      <c r="Q15" s="18">
        <f t="shared" si="2"/>
        <v>75</v>
      </c>
      <c r="R15" s="18">
        <f t="shared" si="3"/>
        <v>83</v>
      </c>
      <c r="S15" s="25">
        <f t="shared" si="4"/>
        <v>317</v>
      </c>
      <c r="T15" s="14"/>
      <c r="U15" s="657"/>
    </row>
    <row r="16" spans="1:21">
      <c r="A16" s="268" t="s">
        <v>31</v>
      </c>
      <c r="B16" s="508">
        <v>25</v>
      </c>
      <c r="C16" s="509">
        <v>25</v>
      </c>
      <c r="D16" s="510">
        <v>27</v>
      </c>
      <c r="E16" s="511">
        <v>28</v>
      </c>
      <c r="F16" s="509">
        <v>30</v>
      </c>
      <c r="G16" s="510">
        <v>25</v>
      </c>
      <c r="H16" s="511">
        <v>30</v>
      </c>
      <c r="I16" s="509">
        <v>25</v>
      </c>
      <c r="J16" s="510">
        <v>25</v>
      </c>
      <c r="K16" s="512">
        <v>27</v>
      </c>
      <c r="L16" s="509">
        <v>28</v>
      </c>
      <c r="M16" s="510">
        <v>32</v>
      </c>
      <c r="N16" s="14"/>
      <c r="O16" s="19">
        <f t="shared" si="0"/>
        <v>77</v>
      </c>
      <c r="P16" s="18">
        <f t="shared" si="1"/>
        <v>83</v>
      </c>
      <c r="Q16" s="18">
        <f t="shared" si="2"/>
        <v>80</v>
      </c>
      <c r="R16" s="18">
        <f t="shared" si="3"/>
        <v>87</v>
      </c>
      <c r="S16" s="25">
        <f t="shared" si="4"/>
        <v>327</v>
      </c>
      <c r="T16" s="14"/>
      <c r="U16" s="657"/>
    </row>
    <row r="17" spans="1:21">
      <c r="A17" s="268" t="s">
        <v>35</v>
      </c>
      <c r="B17" s="508">
        <v>26</v>
      </c>
      <c r="C17" s="509">
        <v>27</v>
      </c>
      <c r="D17" s="510">
        <v>32</v>
      </c>
      <c r="E17" s="511">
        <v>29</v>
      </c>
      <c r="F17" s="509">
        <v>27</v>
      </c>
      <c r="G17" s="510">
        <v>26</v>
      </c>
      <c r="H17" s="511">
        <v>26</v>
      </c>
      <c r="I17" s="509">
        <v>25</v>
      </c>
      <c r="J17" s="510">
        <v>25</v>
      </c>
      <c r="K17" s="512">
        <v>28</v>
      </c>
      <c r="L17" s="509">
        <v>28</v>
      </c>
      <c r="M17" s="510">
        <v>30</v>
      </c>
      <c r="N17" s="14"/>
      <c r="O17" s="19">
        <f t="shared" si="0"/>
        <v>85</v>
      </c>
      <c r="P17" s="18">
        <f t="shared" si="1"/>
        <v>82</v>
      </c>
      <c r="Q17" s="18">
        <f t="shared" si="2"/>
        <v>76</v>
      </c>
      <c r="R17" s="18">
        <f t="shared" si="3"/>
        <v>86</v>
      </c>
      <c r="S17" s="25">
        <f t="shared" si="4"/>
        <v>329</v>
      </c>
      <c r="T17" s="14"/>
      <c r="U17" s="657"/>
    </row>
    <row r="18" spans="1:21">
      <c r="A18" s="187" t="s">
        <v>188</v>
      </c>
      <c r="B18" s="514">
        <v>15</v>
      </c>
      <c r="C18" s="509">
        <v>25</v>
      </c>
      <c r="D18" s="510">
        <v>25</v>
      </c>
      <c r="E18" s="511">
        <v>30</v>
      </c>
      <c r="F18" s="509">
        <v>30</v>
      </c>
      <c r="G18" s="510">
        <v>30</v>
      </c>
      <c r="H18" s="511">
        <v>28</v>
      </c>
      <c r="I18" s="509">
        <v>26</v>
      </c>
      <c r="J18" s="510">
        <v>26</v>
      </c>
      <c r="K18" s="512">
        <v>30</v>
      </c>
      <c r="L18" s="509">
        <v>30</v>
      </c>
      <c r="M18" s="510">
        <v>35</v>
      </c>
      <c r="N18" s="14"/>
      <c r="O18" s="19">
        <f>SUM(B18:D18)</f>
        <v>65</v>
      </c>
      <c r="P18" s="18">
        <f>SUM(E18:G18)</f>
        <v>90</v>
      </c>
      <c r="Q18" s="18">
        <f>SUM(H18:J18)</f>
        <v>80</v>
      </c>
      <c r="R18" s="18">
        <f>SUM(K18:M18)</f>
        <v>95</v>
      </c>
      <c r="S18" s="161">
        <f t="shared" si="4"/>
        <v>330</v>
      </c>
      <c r="T18" s="14"/>
      <c r="U18" s="657"/>
    </row>
    <row r="19" spans="1:21">
      <c r="A19" s="13"/>
      <c r="B19" s="19"/>
      <c r="C19" s="18"/>
      <c r="D19" s="18"/>
      <c r="E19" s="19"/>
      <c r="F19" s="18"/>
      <c r="G19" s="18"/>
      <c r="H19" s="19"/>
      <c r="I19" s="18"/>
      <c r="J19" s="18"/>
      <c r="K19" s="103"/>
      <c r="L19" s="102"/>
      <c r="M19" s="126"/>
      <c r="N19" s="14"/>
      <c r="O19" s="19"/>
      <c r="P19" s="18"/>
      <c r="Q19" s="18"/>
      <c r="R19" s="18"/>
      <c r="S19" s="21"/>
      <c r="T19" s="14"/>
      <c r="U19" s="657"/>
    </row>
    <row r="20" spans="1:21">
      <c r="A20" s="13"/>
      <c r="B20" s="19"/>
      <c r="C20" s="18"/>
      <c r="D20" s="18"/>
      <c r="E20" s="19"/>
      <c r="F20" s="18"/>
      <c r="G20" s="18"/>
      <c r="H20" s="19"/>
      <c r="I20" s="18"/>
      <c r="J20" s="18"/>
      <c r="K20" s="103"/>
      <c r="L20" s="102"/>
      <c r="M20" s="126"/>
      <c r="N20" s="14"/>
      <c r="O20" s="19"/>
      <c r="P20" s="18"/>
      <c r="Q20" s="18"/>
      <c r="R20" s="18"/>
      <c r="S20" s="21"/>
      <c r="T20" s="14"/>
      <c r="U20" s="657"/>
    </row>
    <row r="21" spans="1:21" ht="15.75" thickBot="1">
      <c r="A21" s="20"/>
      <c r="B21" s="17"/>
      <c r="C21" s="16"/>
      <c r="D21" s="16"/>
      <c r="E21" s="68"/>
      <c r="F21" s="69"/>
      <c r="G21" s="70"/>
      <c r="H21" s="17"/>
      <c r="I21" s="16"/>
      <c r="J21" s="16"/>
      <c r="K21" s="129"/>
      <c r="L21" s="130"/>
      <c r="M21" s="131"/>
      <c r="N21" s="14"/>
      <c r="O21" s="68"/>
      <c r="P21" s="69"/>
      <c r="Q21" s="69"/>
      <c r="R21" s="69"/>
      <c r="S21" s="15"/>
      <c r="T21" s="14"/>
      <c r="U21" s="657"/>
    </row>
    <row r="22" spans="1:21" s="1" customFormat="1">
      <c r="A22" s="35" t="s">
        <v>3</v>
      </c>
      <c r="B22" s="36">
        <f t="shared" ref="B22:M22" si="5">SUM(B6:B21)</f>
        <v>540</v>
      </c>
      <c r="C22" s="37">
        <f t="shared" si="5"/>
        <v>472</v>
      </c>
      <c r="D22" s="37">
        <f t="shared" si="5"/>
        <v>568</v>
      </c>
      <c r="E22" s="66">
        <f t="shared" si="5"/>
        <v>524</v>
      </c>
      <c r="F22" s="67">
        <f t="shared" si="5"/>
        <v>586</v>
      </c>
      <c r="G22" s="67">
        <f t="shared" si="5"/>
        <v>550</v>
      </c>
      <c r="H22" s="36">
        <f t="shared" si="5"/>
        <v>516</v>
      </c>
      <c r="I22" s="37">
        <f t="shared" si="5"/>
        <v>498</v>
      </c>
      <c r="J22" s="37">
        <f t="shared" si="5"/>
        <v>454</v>
      </c>
      <c r="K22" s="36">
        <f t="shared" si="5"/>
        <v>533</v>
      </c>
      <c r="L22" s="37">
        <f t="shared" si="5"/>
        <v>552</v>
      </c>
      <c r="M22" s="113">
        <f t="shared" si="5"/>
        <v>652</v>
      </c>
      <c r="N22" s="12"/>
      <c r="O22" s="71">
        <f>SUM(B22:D22)</f>
        <v>1580</v>
      </c>
      <c r="P22" s="72">
        <f>SUM(E22:G22)</f>
        <v>1660</v>
      </c>
      <c r="Q22" s="72">
        <f>SUM(H22:J22)</f>
        <v>1468</v>
      </c>
      <c r="R22" s="72">
        <f>SUM(K22:M22)</f>
        <v>1737</v>
      </c>
      <c r="S22" s="39">
        <f>SUM(O22:R22)</f>
        <v>6445</v>
      </c>
      <c r="T22" s="11"/>
      <c r="U22" s="657"/>
    </row>
    <row r="23" spans="1:21" s="1" customFormat="1">
      <c r="A23" s="141" t="s">
        <v>39</v>
      </c>
      <c r="B23" s="91">
        <v>540</v>
      </c>
      <c r="C23" s="112">
        <v>472</v>
      </c>
      <c r="D23" s="106">
        <v>568</v>
      </c>
      <c r="E23" s="142">
        <v>524</v>
      </c>
      <c r="F23" s="38">
        <v>586</v>
      </c>
      <c r="G23" s="106">
        <v>550</v>
      </c>
      <c r="H23" s="142">
        <v>516</v>
      </c>
      <c r="I23" s="38">
        <v>498</v>
      </c>
      <c r="J23" s="106">
        <v>454</v>
      </c>
      <c r="K23" s="142">
        <v>532</v>
      </c>
      <c r="L23" s="38">
        <v>552</v>
      </c>
      <c r="M23" s="106">
        <v>651</v>
      </c>
      <c r="N23" s="12"/>
      <c r="O23" s="31">
        <f>SUM(B23:D23)</f>
        <v>1580</v>
      </c>
      <c r="P23" s="32">
        <f>SUM(E23:G23)</f>
        <v>1660</v>
      </c>
      <c r="Q23" s="32">
        <f>SUM(H23:J23)</f>
        <v>1468</v>
      </c>
      <c r="R23" s="32">
        <f>SUM(K23:M23)</f>
        <v>1735</v>
      </c>
      <c r="S23" s="25">
        <f>SUM(O23:R23)</f>
        <v>6443</v>
      </c>
      <c r="T23" s="11"/>
      <c r="U23" s="33"/>
    </row>
    <row r="24" spans="1:21">
      <c r="O24" s="10">
        <f>O22/S22</f>
        <v>0.2451512800620636</v>
      </c>
      <c r="P24" s="10">
        <f>P22/S22</f>
        <v>0.25756400310318078</v>
      </c>
      <c r="Q24" s="10">
        <f>Q22/S22</f>
        <v>0.22777346780449961</v>
      </c>
      <c r="R24" s="10">
        <f>R22/S22</f>
        <v>0.26951124903025603</v>
      </c>
      <c r="S24" s="9">
        <f>SUM(O24:R24)</f>
        <v>1</v>
      </c>
      <c r="T24" s="8"/>
      <c r="U24" s="7">
        <f>S24</f>
        <v>1</v>
      </c>
    </row>
    <row r="25" spans="1:21">
      <c r="E25" s="6"/>
      <c r="F25" s="6"/>
      <c r="G25" s="6"/>
      <c r="H25" s="6"/>
      <c r="I25" s="6"/>
      <c r="J25" s="6"/>
      <c r="K25" s="6"/>
      <c r="L25" s="6"/>
      <c r="M25" s="6"/>
      <c r="O25" s="82">
        <f>O23/S23</f>
        <v>0.24522737855036475</v>
      </c>
      <c r="P25" s="82">
        <f>P23/S23</f>
        <v>0.25764395467949713</v>
      </c>
      <c r="Q25" s="82">
        <f>Q23/S23</f>
        <v>0.2278441719695794</v>
      </c>
      <c r="R25" s="82">
        <f>R23/S23</f>
        <v>0.26928449480055877</v>
      </c>
      <c r="S25" s="5">
        <f>SUM(O25:R25)</f>
        <v>1</v>
      </c>
      <c r="U25" s="4"/>
    </row>
    <row r="26" spans="1:21" s="94" customFormat="1">
      <c r="E26" s="99"/>
      <c r="F26" s="99"/>
      <c r="G26" s="99"/>
      <c r="H26" s="99"/>
      <c r="I26" s="99"/>
      <c r="J26" s="99"/>
      <c r="K26" s="99"/>
      <c r="L26" s="99"/>
      <c r="M26" s="99"/>
      <c r="O26" s="82"/>
      <c r="P26" s="82"/>
      <c r="Q26" s="82"/>
      <c r="R26" s="82"/>
      <c r="S26" s="98"/>
      <c r="U26" s="97"/>
    </row>
    <row r="27" spans="1:21" s="94" customFormat="1">
      <c r="E27" s="99"/>
      <c r="F27" s="99"/>
      <c r="G27" s="99"/>
      <c r="H27" s="99"/>
      <c r="I27" s="99"/>
      <c r="J27" s="99"/>
      <c r="K27" s="99"/>
      <c r="L27" s="99"/>
      <c r="M27" s="99"/>
      <c r="O27" s="82"/>
      <c r="P27" s="82"/>
      <c r="Q27" s="82"/>
      <c r="R27" s="82"/>
      <c r="S27" s="98"/>
      <c r="U27" s="97"/>
    </row>
    <row r="28" spans="1:21" s="1" customFormat="1">
      <c r="B28" s="1" t="s">
        <v>146</v>
      </c>
    </row>
    <row r="29" spans="1:21" s="1" customFormat="1"/>
    <row r="30" spans="1:21" s="1" customFormat="1">
      <c r="B30" s="3"/>
      <c r="C30" s="3"/>
      <c r="D30" s="3"/>
      <c r="G30" s="559"/>
      <c r="H30" s="559"/>
    </row>
    <row r="31" spans="1:21" s="1" customFormat="1">
      <c r="B31" s="2" t="s">
        <v>27</v>
      </c>
    </row>
    <row r="32" spans="1:21" s="1" customFormat="1">
      <c r="B32" s="1" t="s">
        <v>222</v>
      </c>
    </row>
  </sheetData>
  <mergeCells count="25">
    <mergeCell ref="P4:P5"/>
    <mergeCell ref="A3:A5"/>
    <mergeCell ref="B3:D3"/>
    <mergeCell ref="E3:G3"/>
    <mergeCell ref="H3:J3"/>
    <mergeCell ref="K3:M3"/>
    <mergeCell ref="I4:I5"/>
    <mergeCell ref="J4:J5"/>
    <mergeCell ref="K4:K5"/>
    <mergeCell ref="Q4:Q5"/>
    <mergeCell ref="A1:U1"/>
    <mergeCell ref="O3:S3"/>
    <mergeCell ref="B4:B5"/>
    <mergeCell ref="C4:C5"/>
    <mergeCell ref="D4:D5"/>
    <mergeCell ref="E4:E5"/>
    <mergeCell ref="F4:F5"/>
    <mergeCell ref="G4:G5"/>
    <mergeCell ref="H4:H5"/>
    <mergeCell ref="R4:R5"/>
    <mergeCell ref="S4:S5"/>
    <mergeCell ref="U4:U5"/>
    <mergeCell ref="L4:L5"/>
    <mergeCell ref="M4:M5"/>
    <mergeCell ref="O4:O5"/>
  </mergeCells>
  <pageMargins left="0.25" right="0.25" top="0.75" bottom="0.75" header="0.3" footer="0.3"/>
  <pageSetup paperSize="768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zoomScaleNormal="100" workbookViewId="0">
      <pane xSplit="1" ySplit="5" topLeftCell="B6" activePane="bottomRight" state="frozen"/>
      <selection pane="topRight"/>
      <selection pane="bottomLeft"/>
      <selection pane="bottomRight" activeCell="B33" sqref="B33"/>
    </sheetView>
  </sheetViews>
  <sheetFormatPr defaultRowHeight="15"/>
  <cols>
    <col min="1" max="1" width="26.85546875" customWidth="1"/>
    <col min="2" max="13" width="6.28515625" customWidth="1"/>
    <col min="14" max="14" width="1.42578125" customWidth="1"/>
    <col min="15" max="19" width="6.28515625" customWidth="1"/>
    <col min="20" max="20" width="1.42578125" customWidth="1"/>
    <col min="21" max="21" width="8.140625" customWidth="1"/>
  </cols>
  <sheetData>
    <row r="1" spans="1:21" ht="23.25">
      <c r="A1" s="733" t="s">
        <v>195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</row>
    <row r="2" spans="1:21" ht="15.75" thickBot="1"/>
    <row r="3" spans="1:21">
      <c r="A3" s="748" t="s">
        <v>26</v>
      </c>
      <c r="B3" s="751" t="s">
        <v>25</v>
      </c>
      <c r="C3" s="752"/>
      <c r="D3" s="752"/>
      <c r="E3" s="753" t="s">
        <v>24</v>
      </c>
      <c r="F3" s="754"/>
      <c r="G3" s="754"/>
      <c r="H3" s="753" t="s">
        <v>23</v>
      </c>
      <c r="I3" s="754"/>
      <c r="J3" s="754"/>
      <c r="K3" s="751" t="s">
        <v>22</v>
      </c>
      <c r="L3" s="752"/>
      <c r="M3" s="755"/>
      <c r="N3" s="30"/>
      <c r="O3" s="751" t="s">
        <v>4</v>
      </c>
      <c r="P3" s="752"/>
      <c r="Q3" s="752"/>
      <c r="R3" s="752"/>
      <c r="S3" s="755"/>
      <c r="T3" s="30"/>
      <c r="U3" s="658"/>
    </row>
    <row r="4" spans="1:21">
      <c r="A4" s="749"/>
      <c r="B4" s="737" t="s">
        <v>21</v>
      </c>
      <c r="C4" s="739" t="s">
        <v>20</v>
      </c>
      <c r="D4" s="739" t="s">
        <v>19</v>
      </c>
      <c r="E4" s="737" t="s">
        <v>18</v>
      </c>
      <c r="F4" s="739" t="s">
        <v>17</v>
      </c>
      <c r="G4" s="739" t="s">
        <v>16</v>
      </c>
      <c r="H4" s="737" t="s">
        <v>15</v>
      </c>
      <c r="I4" s="739" t="s">
        <v>14</v>
      </c>
      <c r="J4" s="739" t="s">
        <v>13</v>
      </c>
      <c r="K4" s="737" t="s">
        <v>12</v>
      </c>
      <c r="L4" s="739" t="s">
        <v>11</v>
      </c>
      <c r="M4" s="744" t="s">
        <v>10</v>
      </c>
      <c r="N4" s="29"/>
      <c r="O4" s="737" t="s">
        <v>9</v>
      </c>
      <c r="P4" s="739" t="s">
        <v>8</v>
      </c>
      <c r="Q4" s="739" t="s">
        <v>7</v>
      </c>
      <c r="R4" s="739" t="s">
        <v>6</v>
      </c>
      <c r="S4" s="744" t="s">
        <v>5</v>
      </c>
      <c r="T4" s="29"/>
      <c r="U4" s="743"/>
    </row>
    <row r="5" spans="1:21" ht="15.75" thickBot="1">
      <c r="A5" s="750"/>
      <c r="B5" s="738"/>
      <c r="C5" s="740"/>
      <c r="D5" s="740"/>
      <c r="E5" s="738"/>
      <c r="F5" s="740"/>
      <c r="G5" s="740"/>
      <c r="H5" s="738"/>
      <c r="I5" s="740"/>
      <c r="J5" s="740"/>
      <c r="K5" s="738"/>
      <c r="L5" s="740"/>
      <c r="M5" s="745"/>
      <c r="N5" s="29"/>
      <c r="O5" s="747"/>
      <c r="P5" s="732"/>
      <c r="Q5" s="732"/>
      <c r="R5" s="732"/>
      <c r="S5" s="742"/>
      <c r="T5" s="29"/>
      <c r="U5" s="743"/>
    </row>
    <row r="6" spans="1:21">
      <c r="A6" s="267" t="s">
        <v>43</v>
      </c>
      <c r="B6" s="306">
        <v>68</v>
      </c>
      <c r="C6" s="307">
        <v>60</v>
      </c>
      <c r="D6" s="307">
        <v>68</v>
      </c>
      <c r="E6" s="308">
        <v>65</v>
      </c>
      <c r="F6" s="307">
        <v>65</v>
      </c>
      <c r="G6" s="307">
        <v>62</v>
      </c>
      <c r="H6" s="308">
        <v>49</v>
      </c>
      <c r="I6" s="307">
        <v>49</v>
      </c>
      <c r="J6" s="307">
        <v>55</v>
      </c>
      <c r="K6" s="308">
        <v>65</v>
      </c>
      <c r="L6" s="307">
        <v>65</v>
      </c>
      <c r="M6" s="309">
        <v>70</v>
      </c>
      <c r="N6" s="14"/>
      <c r="O6" s="105">
        <f t="shared" ref="O6:O16" si="0">SUM(B6:D6)</f>
        <v>196</v>
      </c>
      <c r="P6" s="104">
        <f t="shared" ref="P6:P15" si="1">SUM(E6:G6)</f>
        <v>192</v>
      </c>
      <c r="Q6" s="104">
        <f t="shared" ref="Q6:Q15" si="2">SUM(H6:J6)</f>
        <v>153</v>
      </c>
      <c r="R6" s="104">
        <f t="shared" ref="R6:R15" si="3">SUM(K6:M6)</f>
        <v>200</v>
      </c>
      <c r="S6" s="148">
        <f t="shared" ref="S6:S17" si="4">SUM(O6:R6)</f>
        <v>741</v>
      </c>
      <c r="T6" s="14"/>
      <c r="U6" s="657"/>
    </row>
    <row r="7" spans="1:21">
      <c r="A7" s="268" t="s">
        <v>41</v>
      </c>
      <c r="B7" s="298">
        <v>64</v>
      </c>
      <c r="C7" s="300">
        <v>56</v>
      </c>
      <c r="D7" s="300">
        <v>63</v>
      </c>
      <c r="E7" s="299">
        <v>55</v>
      </c>
      <c r="F7" s="300">
        <v>56</v>
      </c>
      <c r="G7" s="300">
        <v>55</v>
      </c>
      <c r="H7" s="299">
        <v>51</v>
      </c>
      <c r="I7" s="300">
        <v>45</v>
      </c>
      <c r="J7" s="300">
        <v>45</v>
      </c>
      <c r="K7" s="299">
        <v>65</v>
      </c>
      <c r="L7" s="300">
        <v>65</v>
      </c>
      <c r="M7" s="301">
        <v>65</v>
      </c>
      <c r="N7" s="14"/>
      <c r="O7" s="19">
        <f t="shared" si="0"/>
        <v>183</v>
      </c>
      <c r="P7" s="18">
        <f t="shared" si="1"/>
        <v>166</v>
      </c>
      <c r="Q7" s="18">
        <f t="shared" si="2"/>
        <v>141</v>
      </c>
      <c r="R7" s="18">
        <f t="shared" si="3"/>
        <v>195</v>
      </c>
      <c r="S7" s="25">
        <f t="shared" si="4"/>
        <v>685</v>
      </c>
      <c r="T7" s="14"/>
      <c r="U7" s="657"/>
    </row>
    <row r="8" spans="1:21">
      <c r="A8" s="268" t="s">
        <v>47</v>
      </c>
      <c r="B8" s="332">
        <v>62</v>
      </c>
      <c r="C8" s="333">
        <v>60</v>
      </c>
      <c r="D8" s="333">
        <v>63</v>
      </c>
      <c r="E8" s="334">
        <v>60</v>
      </c>
      <c r="F8" s="333">
        <v>60</v>
      </c>
      <c r="G8" s="333">
        <v>60</v>
      </c>
      <c r="H8" s="334">
        <v>45</v>
      </c>
      <c r="I8" s="333">
        <v>45</v>
      </c>
      <c r="J8" s="333">
        <v>55</v>
      </c>
      <c r="K8" s="334">
        <v>62</v>
      </c>
      <c r="L8" s="333">
        <v>62</v>
      </c>
      <c r="M8" s="335">
        <v>65</v>
      </c>
      <c r="N8" s="14"/>
      <c r="O8" s="19">
        <f t="shared" si="0"/>
        <v>185</v>
      </c>
      <c r="P8" s="18">
        <f t="shared" si="1"/>
        <v>180</v>
      </c>
      <c r="Q8" s="18">
        <f t="shared" si="2"/>
        <v>145</v>
      </c>
      <c r="R8" s="18">
        <f t="shared" si="3"/>
        <v>189</v>
      </c>
      <c r="S8" s="25">
        <f t="shared" si="4"/>
        <v>699</v>
      </c>
      <c r="T8" s="14"/>
      <c r="U8" s="657"/>
    </row>
    <row r="9" spans="1:21">
      <c r="A9" s="268" t="s">
        <v>42</v>
      </c>
      <c r="B9" s="302">
        <v>44</v>
      </c>
      <c r="C9" s="304">
        <v>33</v>
      </c>
      <c r="D9" s="304">
        <v>44</v>
      </c>
      <c r="E9" s="303">
        <v>32</v>
      </c>
      <c r="F9" s="304">
        <v>35</v>
      </c>
      <c r="G9" s="304">
        <v>35</v>
      </c>
      <c r="H9" s="303">
        <v>32</v>
      </c>
      <c r="I9" s="304">
        <v>32</v>
      </c>
      <c r="J9" s="304">
        <v>35</v>
      </c>
      <c r="K9" s="303">
        <v>45</v>
      </c>
      <c r="L9" s="304">
        <v>45</v>
      </c>
      <c r="M9" s="305">
        <v>46</v>
      </c>
      <c r="N9" s="42"/>
      <c r="O9" s="41">
        <f t="shared" si="0"/>
        <v>121</v>
      </c>
      <c r="P9" s="40">
        <f t="shared" si="1"/>
        <v>102</v>
      </c>
      <c r="Q9" s="40">
        <f t="shared" si="2"/>
        <v>99</v>
      </c>
      <c r="R9" s="40">
        <f t="shared" si="3"/>
        <v>136</v>
      </c>
      <c r="S9" s="43">
        <f t="shared" si="4"/>
        <v>458</v>
      </c>
      <c r="T9" s="14"/>
      <c r="U9" s="657"/>
    </row>
    <row r="10" spans="1:21">
      <c r="A10" s="268" t="s">
        <v>44</v>
      </c>
      <c r="B10" s="310">
        <v>50</v>
      </c>
      <c r="C10" s="311">
        <v>35</v>
      </c>
      <c r="D10" s="311">
        <v>45</v>
      </c>
      <c r="E10" s="312">
        <v>52</v>
      </c>
      <c r="F10" s="311">
        <v>52</v>
      </c>
      <c r="G10" s="311">
        <v>52</v>
      </c>
      <c r="H10" s="312">
        <v>32</v>
      </c>
      <c r="I10" s="311">
        <v>32</v>
      </c>
      <c r="J10" s="311">
        <v>39</v>
      </c>
      <c r="K10" s="312">
        <v>55</v>
      </c>
      <c r="L10" s="311">
        <v>55</v>
      </c>
      <c r="M10" s="313">
        <v>55</v>
      </c>
      <c r="N10" s="42"/>
      <c r="O10" s="41">
        <f t="shared" si="0"/>
        <v>130</v>
      </c>
      <c r="P10" s="40">
        <f t="shared" si="1"/>
        <v>156</v>
      </c>
      <c r="Q10" s="40">
        <f t="shared" si="2"/>
        <v>103</v>
      </c>
      <c r="R10" s="40">
        <f t="shared" si="3"/>
        <v>165</v>
      </c>
      <c r="S10" s="43">
        <f t="shared" si="4"/>
        <v>554</v>
      </c>
      <c r="T10" s="14"/>
      <c r="U10" s="657"/>
    </row>
    <row r="11" spans="1:21">
      <c r="A11" s="268" t="s">
        <v>46</v>
      </c>
      <c r="B11" s="322">
        <v>40</v>
      </c>
      <c r="C11" s="323">
        <v>30</v>
      </c>
      <c r="D11" s="323">
        <v>42</v>
      </c>
      <c r="E11" s="324">
        <v>40</v>
      </c>
      <c r="F11" s="323">
        <v>45</v>
      </c>
      <c r="G11" s="323">
        <v>40</v>
      </c>
      <c r="H11" s="324">
        <v>30</v>
      </c>
      <c r="I11" s="323">
        <v>30</v>
      </c>
      <c r="J11" s="323">
        <v>40</v>
      </c>
      <c r="K11" s="324">
        <v>45</v>
      </c>
      <c r="L11" s="323">
        <v>45</v>
      </c>
      <c r="M11" s="325">
        <v>46</v>
      </c>
      <c r="N11" s="42"/>
      <c r="O11" s="41">
        <f t="shared" si="0"/>
        <v>112</v>
      </c>
      <c r="P11" s="40">
        <f t="shared" si="1"/>
        <v>125</v>
      </c>
      <c r="Q11" s="40">
        <f t="shared" si="2"/>
        <v>100</v>
      </c>
      <c r="R11" s="40">
        <f t="shared" si="3"/>
        <v>136</v>
      </c>
      <c r="S11" s="43">
        <f t="shared" si="4"/>
        <v>473</v>
      </c>
      <c r="T11" s="14"/>
      <c r="U11" s="657"/>
    </row>
    <row r="12" spans="1:21">
      <c r="A12" s="268" t="s">
        <v>48</v>
      </c>
      <c r="B12" s="347">
        <v>55</v>
      </c>
      <c r="C12" s="348">
        <v>40</v>
      </c>
      <c r="D12" s="348">
        <v>55</v>
      </c>
      <c r="E12" s="345">
        <v>54</v>
      </c>
      <c r="F12" s="344">
        <v>52</v>
      </c>
      <c r="G12" s="344">
        <v>52</v>
      </c>
      <c r="H12" s="345">
        <v>40</v>
      </c>
      <c r="I12" s="344">
        <v>40</v>
      </c>
      <c r="J12" s="344">
        <v>45</v>
      </c>
      <c r="K12" s="345">
        <v>55</v>
      </c>
      <c r="L12" s="344">
        <v>55</v>
      </c>
      <c r="M12" s="346">
        <v>65</v>
      </c>
      <c r="N12" s="42"/>
      <c r="O12" s="41">
        <f t="shared" si="0"/>
        <v>150</v>
      </c>
      <c r="P12" s="40">
        <f t="shared" si="1"/>
        <v>158</v>
      </c>
      <c r="Q12" s="40">
        <f t="shared" si="2"/>
        <v>125</v>
      </c>
      <c r="R12" s="40">
        <f t="shared" si="3"/>
        <v>175</v>
      </c>
      <c r="S12" s="43">
        <f t="shared" si="4"/>
        <v>608</v>
      </c>
      <c r="T12" s="14"/>
      <c r="U12" s="657"/>
    </row>
    <row r="13" spans="1:21">
      <c r="A13" s="268" t="s">
        <v>137</v>
      </c>
      <c r="B13" s="297">
        <v>65</v>
      </c>
      <c r="C13" s="329">
        <v>55</v>
      </c>
      <c r="D13" s="329">
        <v>65</v>
      </c>
      <c r="E13" s="330">
        <v>65</v>
      </c>
      <c r="F13" s="329">
        <v>64</v>
      </c>
      <c r="G13" s="329">
        <v>64</v>
      </c>
      <c r="H13" s="330">
        <v>50</v>
      </c>
      <c r="I13" s="329">
        <v>50</v>
      </c>
      <c r="J13" s="329">
        <v>55</v>
      </c>
      <c r="K13" s="330">
        <v>65</v>
      </c>
      <c r="L13" s="329">
        <v>65</v>
      </c>
      <c r="M13" s="331">
        <v>65</v>
      </c>
      <c r="N13" s="42"/>
      <c r="O13" s="41">
        <f t="shared" si="0"/>
        <v>185</v>
      </c>
      <c r="P13" s="40">
        <f t="shared" si="1"/>
        <v>193</v>
      </c>
      <c r="Q13" s="40">
        <f t="shared" si="2"/>
        <v>155</v>
      </c>
      <c r="R13" s="40">
        <f t="shared" si="3"/>
        <v>195</v>
      </c>
      <c r="S13" s="43">
        <f t="shared" si="4"/>
        <v>728</v>
      </c>
      <c r="T13" s="14"/>
      <c r="U13" s="657"/>
    </row>
    <row r="14" spans="1:21">
      <c r="A14" s="268" t="s">
        <v>40</v>
      </c>
      <c r="B14" s="107">
        <v>28</v>
      </c>
      <c r="C14" s="327">
        <v>25</v>
      </c>
      <c r="D14" s="327">
        <v>32</v>
      </c>
      <c r="E14" s="326">
        <v>32</v>
      </c>
      <c r="F14" s="327">
        <v>32</v>
      </c>
      <c r="G14" s="328">
        <v>31</v>
      </c>
      <c r="H14" s="326">
        <v>25</v>
      </c>
      <c r="I14" s="327">
        <v>25</v>
      </c>
      <c r="J14" s="328">
        <v>35</v>
      </c>
      <c r="K14" s="326">
        <v>35</v>
      </c>
      <c r="L14" s="327">
        <v>35</v>
      </c>
      <c r="M14" s="328">
        <v>37</v>
      </c>
      <c r="N14" s="42"/>
      <c r="O14" s="41">
        <f t="shared" si="0"/>
        <v>85</v>
      </c>
      <c r="P14" s="40">
        <f t="shared" si="1"/>
        <v>95</v>
      </c>
      <c r="Q14" s="40">
        <f t="shared" si="2"/>
        <v>85</v>
      </c>
      <c r="R14" s="40">
        <f t="shared" si="3"/>
        <v>107</v>
      </c>
      <c r="S14" s="43">
        <f t="shared" si="4"/>
        <v>372</v>
      </c>
      <c r="T14" s="14"/>
      <c r="U14" s="657"/>
    </row>
    <row r="15" spans="1:21">
      <c r="A15" s="268" t="s">
        <v>45</v>
      </c>
      <c r="B15" s="318">
        <v>25</v>
      </c>
      <c r="C15" s="319">
        <v>25</v>
      </c>
      <c r="D15" s="319">
        <v>25</v>
      </c>
      <c r="E15" s="320">
        <v>32</v>
      </c>
      <c r="F15" s="319">
        <v>32</v>
      </c>
      <c r="G15" s="319">
        <v>30</v>
      </c>
      <c r="H15" s="320">
        <v>25</v>
      </c>
      <c r="I15" s="319">
        <v>25</v>
      </c>
      <c r="J15" s="319">
        <v>32</v>
      </c>
      <c r="K15" s="320">
        <v>33</v>
      </c>
      <c r="L15" s="319">
        <v>33</v>
      </c>
      <c r="M15" s="321">
        <v>38</v>
      </c>
      <c r="N15" s="42"/>
      <c r="O15" s="41">
        <f t="shared" si="0"/>
        <v>75</v>
      </c>
      <c r="P15" s="40">
        <f t="shared" si="1"/>
        <v>94</v>
      </c>
      <c r="Q15" s="40">
        <f t="shared" si="2"/>
        <v>82</v>
      </c>
      <c r="R15" s="40">
        <f t="shared" si="3"/>
        <v>104</v>
      </c>
      <c r="S15" s="43">
        <f t="shared" si="4"/>
        <v>355</v>
      </c>
      <c r="T15" s="14"/>
      <c r="U15" s="657"/>
    </row>
    <row r="16" spans="1:21">
      <c r="A16" s="268" t="s">
        <v>149</v>
      </c>
      <c r="B16" s="343">
        <v>42</v>
      </c>
      <c r="C16" s="340">
        <v>35</v>
      </c>
      <c r="D16" s="340">
        <v>43</v>
      </c>
      <c r="E16" s="341">
        <v>40</v>
      </c>
      <c r="F16" s="340">
        <v>40</v>
      </c>
      <c r="G16" s="340">
        <v>35</v>
      </c>
      <c r="H16" s="341">
        <v>30</v>
      </c>
      <c r="I16" s="340">
        <v>30</v>
      </c>
      <c r="J16" s="340">
        <v>35</v>
      </c>
      <c r="K16" s="341">
        <v>35</v>
      </c>
      <c r="L16" s="340">
        <v>37</v>
      </c>
      <c r="M16" s="342">
        <v>40</v>
      </c>
      <c r="N16" s="42"/>
      <c r="O16" s="41">
        <f t="shared" si="0"/>
        <v>120</v>
      </c>
      <c r="P16" s="40">
        <f>SUM(E16+F16+G16)</f>
        <v>115</v>
      </c>
      <c r="Q16" s="40">
        <f>SUM(H16+I16+J16)</f>
        <v>95</v>
      </c>
      <c r="R16" s="40">
        <f>SUM(K16+L16+M16)</f>
        <v>112</v>
      </c>
      <c r="S16" s="43">
        <f t="shared" si="4"/>
        <v>442</v>
      </c>
      <c r="T16" s="14"/>
      <c r="U16" s="657"/>
    </row>
    <row r="17" spans="1:24">
      <c r="A17" s="349" t="s">
        <v>172</v>
      </c>
      <c r="B17" s="314">
        <v>25</v>
      </c>
      <c r="C17" s="315">
        <v>25</v>
      </c>
      <c r="D17" s="315">
        <v>30</v>
      </c>
      <c r="E17" s="316">
        <v>30</v>
      </c>
      <c r="F17" s="315">
        <v>30</v>
      </c>
      <c r="G17" s="315">
        <v>30</v>
      </c>
      <c r="H17" s="316">
        <v>25</v>
      </c>
      <c r="I17" s="315">
        <v>25</v>
      </c>
      <c r="J17" s="315">
        <v>33</v>
      </c>
      <c r="K17" s="316">
        <v>35</v>
      </c>
      <c r="L17" s="315">
        <v>35</v>
      </c>
      <c r="M17" s="317">
        <v>37</v>
      </c>
      <c r="N17" s="42"/>
      <c r="O17" s="41">
        <f>SUM(B17:D17)</f>
        <v>80</v>
      </c>
      <c r="P17" s="40">
        <f>SUM(E17:G17)</f>
        <v>90</v>
      </c>
      <c r="Q17" s="40">
        <f>SUM(H17+I17+J17)</f>
        <v>83</v>
      </c>
      <c r="R17" s="40">
        <f>SUM(K17+L17+M17)</f>
        <v>107</v>
      </c>
      <c r="S17" s="43">
        <f t="shared" si="4"/>
        <v>360</v>
      </c>
      <c r="T17" s="14"/>
      <c r="U17" s="657"/>
    </row>
    <row r="18" spans="1:24">
      <c r="A18" s="350" t="s">
        <v>183</v>
      </c>
      <c r="B18" s="336">
        <v>0</v>
      </c>
      <c r="C18" s="337">
        <v>0</v>
      </c>
      <c r="D18" s="337">
        <v>0</v>
      </c>
      <c r="E18" s="338">
        <v>0</v>
      </c>
      <c r="F18" s="337">
        <v>16</v>
      </c>
      <c r="G18" s="337">
        <v>25</v>
      </c>
      <c r="H18" s="338">
        <v>30</v>
      </c>
      <c r="I18" s="337">
        <v>30</v>
      </c>
      <c r="J18" s="337">
        <v>36</v>
      </c>
      <c r="K18" s="338">
        <v>37</v>
      </c>
      <c r="L18" s="337">
        <v>37</v>
      </c>
      <c r="M18" s="339">
        <v>39</v>
      </c>
      <c r="N18" s="42"/>
      <c r="O18" s="41">
        <f>SUM(B18:D18)</f>
        <v>0</v>
      </c>
      <c r="P18" s="40">
        <f>SUM(E18:G18)</f>
        <v>41</v>
      </c>
      <c r="Q18" s="40">
        <f>SUM(H18:J18)</f>
        <v>96</v>
      </c>
      <c r="R18" s="40">
        <f>SUM(K18:M18)</f>
        <v>113</v>
      </c>
      <c r="S18" s="43">
        <f>SUM(O18:R18)</f>
        <v>250</v>
      </c>
      <c r="T18" s="14"/>
      <c r="U18" s="657"/>
    </row>
    <row r="19" spans="1:24">
      <c r="A19" s="13"/>
      <c r="B19" s="41"/>
      <c r="C19" s="40"/>
      <c r="D19" s="40"/>
      <c r="E19" s="41"/>
      <c r="F19" s="40"/>
      <c r="G19" s="40"/>
      <c r="H19" s="41"/>
      <c r="I19" s="40"/>
      <c r="J19" s="40"/>
      <c r="K19" s="115"/>
      <c r="L19" s="114"/>
      <c r="M19" s="145"/>
      <c r="N19" s="42"/>
      <c r="O19" s="41"/>
      <c r="P19" s="40"/>
      <c r="Q19" s="40"/>
      <c r="R19" s="40"/>
      <c r="S19" s="43"/>
      <c r="T19" s="14"/>
      <c r="U19" s="657"/>
    </row>
    <row r="20" spans="1:24">
      <c r="A20" s="13"/>
      <c r="B20" s="41"/>
      <c r="C20" s="40"/>
      <c r="D20" s="40"/>
      <c r="E20" s="41"/>
      <c r="F20" s="40"/>
      <c r="G20" s="40"/>
      <c r="H20" s="41"/>
      <c r="I20" s="40"/>
      <c r="J20" s="40"/>
      <c r="K20" s="115"/>
      <c r="L20" s="114"/>
      <c r="M20" s="145"/>
      <c r="N20" s="42"/>
      <c r="O20" s="41"/>
      <c r="P20" s="40"/>
      <c r="Q20" s="40"/>
      <c r="R20" s="40"/>
      <c r="S20" s="43"/>
      <c r="T20" s="14"/>
      <c r="U20" s="657"/>
    </row>
    <row r="21" spans="1:24" ht="15.75" thickBot="1">
      <c r="A21" s="20"/>
      <c r="B21" s="44"/>
      <c r="C21" s="45"/>
      <c r="D21" s="45"/>
      <c r="E21" s="75"/>
      <c r="F21" s="76"/>
      <c r="G21" s="77"/>
      <c r="H21" s="44"/>
      <c r="I21" s="45"/>
      <c r="J21" s="45"/>
      <c r="K21" s="117"/>
      <c r="L21" s="118"/>
      <c r="M21" s="146"/>
      <c r="N21" s="42"/>
      <c r="O21" s="75"/>
      <c r="P21" s="76"/>
      <c r="Q21" s="76"/>
      <c r="R21" s="76"/>
      <c r="S21" s="79"/>
      <c r="T21" s="14"/>
      <c r="U21" s="657"/>
    </row>
    <row r="22" spans="1:24" s="1" customFormat="1">
      <c r="A22" s="35" t="s">
        <v>3</v>
      </c>
      <c r="B22" s="46">
        <f t="shared" ref="B22:M22" si="5">SUM(B6:B21)</f>
        <v>568</v>
      </c>
      <c r="C22" s="47">
        <f t="shared" si="5"/>
        <v>479</v>
      </c>
      <c r="D22" s="47">
        <f t="shared" si="5"/>
        <v>575</v>
      </c>
      <c r="E22" s="73">
        <f t="shared" si="5"/>
        <v>557</v>
      </c>
      <c r="F22" s="74">
        <f t="shared" si="5"/>
        <v>579</v>
      </c>
      <c r="G22" s="74">
        <f t="shared" si="5"/>
        <v>571</v>
      </c>
      <c r="H22" s="46">
        <f t="shared" si="5"/>
        <v>464</v>
      </c>
      <c r="I22" s="47">
        <f t="shared" si="5"/>
        <v>458</v>
      </c>
      <c r="J22" s="47">
        <f t="shared" si="5"/>
        <v>540</v>
      </c>
      <c r="K22" s="119">
        <f t="shared" si="5"/>
        <v>632</v>
      </c>
      <c r="L22" s="120">
        <f t="shared" si="5"/>
        <v>634</v>
      </c>
      <c r="M22" s="147">
        <f t="shared" si="5"/>
        <v>668</v>
      </c>
      <c r="N22" s="48"/>
      <c r="O22" s="73">
        <f>SUM(B22:D22)</f>
        <v>1622</v>
      </c>
      <c r="P22" s="74">
        <f>SUM(E22:G22)</f>
        <v>1707</v>
      </c>
      <c r="Q22" s="74">
        <f>SUM(H22:J22)</f>
        <v>1462</v>
      </c>
      <c r="R22" s="74">
        <f>SUM(K22:M22)</f>
        <v>1934</v>
      </c>
      <c r="S22" s="78">
        <f>SUM(O22:R22)</f>
        <v>6725</v>
      </c>
      <c r="T22" s="11"/>
      <c r="U22" s="657"/>
    </row>
    <row r="23" spans="1:24" s="1" customFormat="1">
      <c r="A23" s="141" t="s">
        <v>39</v>
      </c>
      <c r="B23" s="90">
        <f t="shared" ref="B23" si="6">B22</f>
        <v>568</v>
      </c>
      <c r="C23" s="121">
        <f t="shared" ref="C23:M23" si="7">C22</f>
        <v>479</v>
      </c>
      <c r="D23" s="116">
        <f t="shared" si="7"/>
        <v>575</v>
      </c>
      <c r="E23" s="143">
        <f t="shared" si="7"/>
        <v>557</v>
      </c>
      <c r="F23" s="49">
        <f t="shared" si="7"/>
        <v>579</v>
      </c>
      <c r="G23" s="144">
        <f t="shared" si="7"/>
        <v>571</v>
      </c>
      <c r="H23" s="90">
        <f t="shared" si="7"/>
        <v>464</v>
      </c>
      <c r="I23" s="121">
        <f t="shared" si="7"/>
        <v>458</v>
      </c>
      <c r="J23" s="116">
        <f t="shared" si="7"/>
        <v>540</v>
      </c>
      <c r="K23" s="90">
        <f t="shared" si="7"/>
        <v>632</v>
      </c>
      <c r="L23" s="121">
        <f t="shared" si="7"/>
        <v>634</v>
      </c>
      <c r="M23" s="116">
        <f t="shared" si="7"/>
        <v>668</v>
      </c>
      <c r="N23" s="48"/>
      <c r="O23" s="90">
        <f>SUM(B23:D23)</f>
        <v>1622</v>
      </c>
      <c r="P23" s="49">
        <f>SUM(E23:G23)</f>
        <v>1707</v>
      </c>
      <c r="Q23" s="49">
        <f>SUM(H23:J23)</f>
        <v>1462</v>
      </c>
      <c r="R23" s="49">
        <f>SUM(K23:M23)</f>
        <v>1934</v>
      </c>
      <c r="S23" s="43">
        <f>SUM(O23:R23)</f>
        <v>6725</v>
      </c>
      <c r="T23" s="11"/>
      <c r="U23" s="33"/>
    </row>
    <row r="24" spans="1:24">
      <c r="O24" s="10">
        <f>O22/S22</f>
        <v>0.24118959107806692</v>
      </c>
      <c r="P24" s="10">
        <f>P22/S22</f>
        <v>0.25382899628252786</v>
      </c>
      <c r="Q24" s="10">
        <f>Q22/S22</f>
        <v>0.21739776951672862</v>
      </c>
      <c r="R24" s="10">
        <f>R22/S22</f>
        <v>0.28758364312267659</v>
      </c>
      <c r="S24" s="9">
        <f>SUM(O24:R24)</f>
        <v>1</v>
      </c>
      <c r="T24" s="8"/>
      <c r="U24" s="7">
        <f>S24</f>
        <v>1</v>
      </c>
    </row>
    <row r="25" spans="1:24">
      <c r="E25" s="6"/>
      <c r="F25" s="6"/>
      <c r="G25" s="6"/>
      <c r="H25" s="6"/>
      <c r="I25" s="6"/>
      <c r="J25" s="6"/>
      <c r="K25" s="6"/>
      <c r="L25" s="6"/>
      <c r="M25" s="6"/>
      <c r="O25" s="82">
        <f>O23/S23</f>
        <v>0.24118959107806692</v>
      </c>
      <c r="P25" s="82">
        <f>P23/S23</f>
        <v>0.25382899628252786</v>
      </c>
      <c r="Q25" s="82">
        <f>Q23/S23</f>
        <v>0.21739776951672862</v>
      </c>
      <c r="R25" s="82">
        <f>R23/S23</f>
        <v>0.28758364312267659</v>
      </c>
      <c r="S25" s="5">
        <f>SUM(O25:R25)</f>
        <v>1</v>
      </c>
      <c r="U25" s="4"/>
    </row>
    <row r="26" spans="1:24" s="94" customFormat="1">
      <c r="E26" s="99"/>
      <c r="F26" s="99"/>
      <c r="G26" s="99"/>
      <c r="H26" s="99"/>
      <c r="I26" s="99"/>
      <c r="J26" s="99"/>
      <c r="K26" s="99"/>
      <c r="L26" s="99"/>
      <c r="M26" s="99"/>
      <c r="O26" s="82"/>
      <c r="P26" s="82"/>
      <c r="Q26" s="82"/>
      <c r="R26" s="82"/>
      <c r="S26" s="98"/>
      <c r="U26" s="97"/>
    </row>
    <row r="27" spans="1:24" s="94" customFormat="1">
      <c r="E27" s="99"/>
      <c r="F27" s="99"/>
      <c r="G27" s="99"/>
      <c r="H27" s="99"/>
      <c r="I27" s="99"/>
      <c r="J27" s="99"/>
      <c r="K27" s="99"/>
      <c r="L27" s="99"/>
      <c r="M27" s="99"/>
      <c r="O27" s="82"/>
      <c r="P27" s="82"/>
      <c r="Q27" s="82"/>
      <c r="R27" s="82"/>
      <c r="S27" s="98"/>
      <c r="U27" s="97"/>
    </row>
    <row r="28" spans="1:24" s="1" customFormat="1">
      <c r="B28" s="1" t="s">
        <v>146</v>
      </c>
    </row>
    <row r="29" spans="1:24" s="1" customFormat="1">
      <c r="O29" s="84"/>
    </row>
    <row r="30" spans="1:24" s="1" customFormat="1">
      <c r="B30" s="3"/>
      <c r="C30" s="3"/>
      <c r="D30" s="3"/>
      <c r="G30" s="559"/>
      <c r="H30" s="559"/>
      <c r="O30" s="83"/>
      <c r="P30" s="84"/>
      <c r="Q30" s="83"/>
      <c r="R30" s="84"/>
      <c r="S30" s="83"/>
      <c r="T30" s="85"/>
      <c r="U30" s="83"/>
      <c r="V30" s="85"/>
      <c r="W30" s="83"/>
      <c r="X30" s="86"/>
    </row>
    <row r="31" spans="1:24" s="1" customFormat="1">
      <c r="B31" s="2" t="s">
        <v>27</v>
      </c>
    </row>
    <row r="32" spans="1:24" s="1" customFormat="1">
      <c r="B32" s="1" t="s">
        <v>222</v>
      </c>
    </row>
  </sheetData>
  <mergeCells count="25">
    <mergeCell ref="P4:P5"/>
    <mergeCell ref="Q4:Q5"/>
    <mergeCell ref="R4:R5"/>
    <mergeCell ref="S4:S5"/>
    <mergeCell ref="G4:G5"/>
    <mergeCell ref="H4:H5"/>
    <mergeCell ref="I4:I5"/>
    <mergeCell ref="J4:J5"/>
    <mergeCell ref="O4:O5"/>
    <mergeCell ref="A1:U1"/>
    <mergeCell ref="A3:A5"/>
    <mergeCell ref="B3:D3"/>
    <mergeCell ref="E3:G3"/>
    <mergeCell ref="H3:J3"/>
    <mergeCell ref="K3:M3"/>
    <mergeCell ref="K4:K5"/>
    <mergeCell ref="L4:L5"/>
    <mergeCell ref="M4:M5"/>
    <mergeCell ref="U4:U5"/>
    <mergeCell ref="O3:S3"/>
    <mergeCell ref="B4:B5"/>
    <mergeCell ref="C4:C5"/>
    <mergeCell ref="D4:D5"/>
    <mergeCell ref="E4:E5"/>
    <mergeCell ref="F4:F5"/>
  </mergeCells>
  <pageMargins left="0.25" right="0.25" top="0.75" bottom="0.75" header="0.3" footer="0.3"/>
  <pageSetup paperSize="768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workbookViewId="0">
      <selection activeCell="B28" sqref="B28"/>
    </sheetView>
  </sheetViews>
  <sheetFormatPr defaultRowHeight="15"/>
  <cols>
    <col min="1" max="1" width="30.42578125" style="245" customWidth="1"/>
    <col min="2" max="13" width="6.28515625" style="245" customWidth="1"/>
    <col min="14" max="14" width="1.42578125" style="245" customWidth="1"/>
    <col min="15" max="18" width="7.85546875" style="245" bestFit="1" customWidth="1"/>
    <col min="19" max="19" width="8.140625" style="245" bestFit="1" customWidth="1"/>
    <col min="20" max="20" width="1.42578125" style="245" customWidth="1"/>
    <col min="21" max="21" width="8.140625" style="245" customWidth="1"/>
    <col min="22" max="16384" width="9.140625" style="245"/>
  </cols>
  <sheetData>
    <row r="1" spans="1:21" ht="23.25">
      <c r="A1" s="756" t="s">
        <v>196</v>
      </c>
      <c r="B1" s="756"/>
      <c r="C1" s="756"/>
      <c r="D1" s="756"/>
      <c r="E1" s="756"/>
      <c r="F1" s="756"/>
      <c r="G1" s="756"/>
      <c r="H1" s="756"/>
      <c r="I1" s="756"/>
      <c r="J1" s="756"/>
      <c r="K1" s="756"/>
      <c r="L1" s="756"/>
      <c r="M1" s="756"/>
      <c r="N1" s="756"/>
      <c r="O1" s="756"/>
      <c r="P1" s="756"/>
      <c r="Q1" s="756"/>
      <c r="R1" s="756"/>
      <c r="S1" s="756"/>
      <c r="T1" s="756"/>
      <c r="U1" s="756"/>
    </row>
    <row r="2" spans="1:21" ht="15.75" thickBot="1"/>
    <row r="3" spans="1:21">
      <c r="A3" s="757" t="s">
        <v>26</v>
      </c>
      <c r="B3" s="751" t="s">
        <v>25</v>
      </c>
      <c r="C3" s="752"/>
      <c r="D3" s="752"/>
      <c r="E3" s="753" t="s">
        <v>24</v>
      </c>
      <c r="F3" s="754"/>
      <c r="G3" s="754"/>
      <c r="H3" s="753" t="s">
        <v>23</v>
      </c>
      <c r="I3" s="754"/>
      <c r="J3" s="754"/>
      <c r="K3" s="751" t="s">
        <v>22</v>
      </c>
      <c r="L3" s="752"/>
      <c r="M3" s="755"/>
      <c r="N3" s="30"/>
      <c r="O3" s="751" t="s">
        <v>4</v>
      </c>
      <c r="P3" s="752"/>
      <c r="Q3" s="752"/>
      <c r="R3" s="752"/>
      <c r="S3" s="755"/>
      <c r="T3" s="30"/>
      <c r="U3" s="658"/>
    </row>
    <row r="4" spans="1:21">
      <c r="A4" s="758"/>
      <c r="B4" s="737" t="s">
        <v>21</v>
      </c>
      <c r="C4" s="739" t="s">
        <v>20</v>
      </c>
      <c r="D4" s="739" t="s">
        <v>19</v>
      </c>
      <c r="E4" s="737" t="s">
        <v>18</v>
      </c>
      <c r="F4" s="739" t="s">
        <v>17</v>
      </c>
      <c r="G4" s="739" t="s">
        <v>16</v>
      </c>
      <c r="H4" s="737" t="s">
        <v>15</v>
      </c>
      <c r="I4" s="739" t="s">
        <v>14</v>
      </c>
      <c r="J4" s="739" t="s">
        <v>13</v>
      </c>
      <c r="K4" s="737" t="s">
        <v>12</v>
      </c>
      <c r="L4" s="739" t="s">
        <v>11</v>
      </c>
      <c r="M4" s="744" t="s">
        <v>10</v>
      </c>
      <c r="N4" s="29"/>
      <c r="O4" s="737" t="s">
        <v>9</v>
      </c>
      <c r="P4" s="739" t="s">
        <v>8</v>
      </c>
      <c r="Q4" s="739" t="s">
        <v>7</v>
      </c>
      <c r="R4" s="739" t="s">
        <v>6</v>
      </c>
      <c r="S4" s="744" t="s">
        <v>5</v>
      </c>
      <c r="T4" s="29"/>
      <c r="U4" s="743"/>
    </row>
    <row r="5" spans="1:21" ht="15.75" thickBot="1">
      <c r="A5" s="759"/>
      <c r="B5" s="738"/>
      <c r="C5" s="740"/>
      <c r="D5" s="740"/>
      <c r="E5" s="738"/>
      <c r="F5" s="740"/>
      <c r="G5" s="740"/>
      <c r="H5" s="738"/>
      <c r="I5" s="740"/>
      <c r="J5" s="740"/>
      <c r="K5" s="747"/>
      <c r="L5" s="732"/>
      <c r="M5" s="742"/>
      <c r="N5" s="29"/>
      <c r="O5" s="747"/>
      <c r="P5" s="732"/>
      <c r="Q5" s="732"/>
      <c r="R5" s="732"/>
      <c r="S5" s="742"/>
      <c r="T5" s="29"/>
      <c r="U5" s="743"/>
    </row>
    <row r="6" spans="1:21">
      <c r="A6" s="246" t="s">
        <v>63</v>
      </c>
      <c r="B6" s="607">
        <v>48</v>
      </c>
      <c r="C6" s="608">
        <v>50</v>
      </c>
      <c r="D6" s="609">
        <v>50</v>
      </c>
      <c r="E6" s="610">
        <v>55</v>
      </c>
      <c r="F6" s="611">
        <v>55</v>
      </c>
      <c r="G6" s="609">
        <v>50</v>
      </c>
      <c r="H6" s="610">
        <v>48</v>
      </c>
      <c r="I6" s="611">
        <v>48</v>
      </c>
      <c r="J6" s="609">
        <v>48</v>
      </c>
      <c r="K6" s="610">
        <v>55</v>
      </c>
      <c r="L6" s="611">
        <v>55</v>
      </c>
      <c r="M6" s="609">
        <v>55</v>
      </c>
      <c r="N6" s="247"/>
      <c r="O6" s="107">
        <f>SUM(B6:D6)</f>
        <v>148</v>
      </c>
      <c r="P6" s="248">
        <f>SUM(E6:G6)</f>
        <v>160</v>
      </c>
      <c r="Q6" s="248">
        <f>SUM(H6:J6)</f>
        <v>144</v>
      </c>
      <c r="R6" s="248">
        <f>SUM(K6:M6)</f>
        <v>165</v>
      </c>
      <c r="S6" s="249">
        <f>SUM(O6:R6)</f>
        <v>617</v>
      </c>
      <c r="T6" s="247"/>
      <c r="U6" s="80"/>
    </row>
    <row r="7" spans="1:21">
      <c r="A7" s="246" t="s">
        <v>71</v>
      </c>
      <c r="B7" s="201">
        <v>50</v>
      </c>
      <c r="C7" s="200">
        <v>55</v>
      </c>
      <c r="D7" s="612">
        <v>55</v>
      </c>
      <c r="E7" s="199">
        <v>60</v>
      </c>
      <c r="F7" s="613">
        <v>63</v>
      </c>
      <c r="G7" s="612">
        <v>55</v>
      </c>
      <c r="H7" s="199">
        <v>50</v>
      </c>
      <c r="I7" s="613">
        <v>50</v>
      </c>
      <c r="J7" s="612">
        <v>46</v>
      </c>
      <c r="K7" s="199">
        <v>65</v>
      </c>
      <c r="L7" s="613">
        <v>55</v>
      </c>
      <c r="M7" s="612">
        <v>65</v>
      </c>
      <c r="O7" s="107">
        <f t="shared" ref="O7:O18" si="0">SUM(B7:D7)</f>
        <v>160</v>
      </c>
      <c r="P7" s="248">
        <f t="shared" ref="P7:P18" si="1">SUM(E7:G7)</f>
        <v>178</v>
      </c>
      <c r="Q7" s="248">
        <f t="shared" ref="Q7:Q18" si="2">SUM(H7:J7)</f>
        <v>146</v>
      </c>
      <c r="R7" s="248">
        <f t="shared" ref="R7:R18" si="3">SUM(K7:M7)</f>
        <v>185</v>
      </c>
      <c r="S7" s="249">
        <f t="shared" ref="S7:S18" si="4">SUM(O7:R7)</f>
        <v>669</v>
      </c>
      <c r="U7" s="251"/>
    </row>
    <row r="8" spans="1:21">
      <c r="A8" s="246" t="s">
        <v>70</v>
      </c>
      <c r="B8" s="201">
        <v>15</v>
      </c>
      <c r="C8" s="200">
        <v>16</v>
      </c>
      <c r="D8" s="612">
        <v>18</v>
      </c>
      <c r="E8" s="199">
        <v>18</v>
      </c>
      <c r="F8" s="613">
        <v>18</v>
      </c>
      <c r="G8" s="612">
        <v>18</v>
      </c>
      <c r="H8" s="199">
        <v>18</v>
      </c>
      <c r="I8" s="613">
        <v>18</v>
      </c>
      <c r="J8" s="612">
        <v>18</v>
      </c>
      <c r="K8" s="199">
        <v>18</v>
      </c>
      <c r="L8" s="613">
        <v>18</v>
      </c>
      <c r="M8" s="612">
        <v>18</v>
      </c>
      <c r="O8" s="107">
        <f t="shared" si="0"/>
        <v>49</v>
      </c>
      <c r="P8" s="248">
        <f t="shared" si="1"/>
        <v>54</v>
      </c>
      <c r="Q8" s="248">
        <f t="shared" si="2"/>
        <v>54</v>
      </c>
      <c r="R8" s="248">
        <f t="shared" si="3"/>
        <v>54</v>
      </c>
      <c r="S8" s="249">
        <f t="shared" si="4"/>
        <v>211</v>
      </c>
      <c r="U8" s="251"/>
    </row>
    <row r="9" spans="1:21">
      <c r="A9" s="246" t="s">
        <v>69</v>
      </c>
      <c r="B9" s="201">
        <v>30</v>
      </c>
      <c r="C9" s="200">
        <v>28</v>
      </c>
      <c r="D9" s="612">
        <v>33</v>
      </c>
      <c r="E9" s="199">
        <v>33</v>
      </c>
      <c r="F9" s="613">
        <v>34</v>
      </c>
      <c r="G9" s="612">
        <v>33</v>
      </c>
      <c r="H9" s="199">
        <v>29</v>
      </c>
      <c r="I9" s="613">
        <v>29</v>
      </c>
      <c r="J9" s="612">
        <v>30</v>
      </c>
      <c r="K9" s="199">
        <v>32</v>
      </c>
      <c r="L9" s="613">
        <v>32</v>
      </c>
      <c r="M9" s="612">
        <v>35</v>
      </c>
      <c r="O9" s="107">
        <f t="shared" si="0"/>
        <v>91</v>
      </c>
      <c r="P9" s="248">
        <f t="shared" si="1"/>
        <v>100</v>
      </c>
      <c r="Q9" s="248">
        <f t="shared" si="2"/>
        <v>88</v>
      </c>
      <c r="R9" s="248">
        <f t="shared" si="3"/>
        <v>99</v>
      </c>
      <c r="S9" s="249">
        <f t="shared" si="4"/>
        <v>378</v>
      </c>
      <c r="U9" s="251"/>
    </row>
    <row r="10" spans="1:21">
      <c r="A10" s="246" t="s">
        <v>150</v>
      </c>
      <c r="B10" s="201">
        <v>15</v>
      </c>
      <c r="C10" s="200">
        <v>18</v>
      </c>
      <c r="D10" s="612">
        <v>18</v>
      </c>
      <c r="E10" s="199">
        <v>19</v>
      </c>
      <c r="F10" s="613">
        <v>19</v>
      </c>
      <c r="G10" s="612">
        <v>19</v>
      </c>
      <c r="H10" s="199">
        <v>18</v>
      </c>
      <c r="I10" s="613">
        <v>18</v>
      </c>
      <c r="J10" s="612">
        <v>18</v>
      </c>
      <c r="K10" s="199">
        <v>18</v>
      </c>
      <c r="L10" s="613">
        <v>22</v>
      </c>
      <c r="M10" s="612">
        <v>23</v>
      </c>
      <c r="O10" s="107">
        <f t="shared" si="0"/>
        <v>51</v>
      </c>
      <c r="P10" s="248">
        <f t="shared" si="1"/>
        <v>57</v>
      </c>
      <c r="Q10" s="248">
        <f t="shared" si="2"/>
        <v>54</v>
      </c>
      <c r="R10" s="248">
        <f t="shared" si="3"/>
        <v>63</v>
      </c>
      <c r="S10" s="249">
        <f t="shared" si="4"/>
        <v>225</v>
      </c>
      <c r="U10" s="251"/>
    </row>
    <row r="11" spans="1:21">
      <c r="A11" s="246" t="s">
        <v>68</v>
      </c>
      <c r="B11" s="201">
        <v>22</v>
      </c>
      <c r="C11" s="200">
        <v>15</v>
      </c>
      <c r="D11" s="612">
        <v>17</v>
      </c>
      <c r="E11" s="199">
        <v>17</v>
      </c>
      <c r="F11" s="613">
        <v>18</v>
      </c>
      <c r="G11" s="612">
        <v>18</v>
      </c>
      <c r="H11" s="199">
        <v>15</v>
      </c>
      <c r="I11" s="613">
        <v>15</v>
      </c>
      <c r="J11" s="612">
        <v>15</v>
      </c>
      <c r="K11" s="199">
        <v>17</v>
      </c>
      <c r="L11" s="613">
        <v>18</v>
      </c>
      <c r="M11" s="612">
        <v>18</v>
      </c>
      <c r="O11" s="107">
        <f t="shared" si="0"/>
        <v>54</v>
      </c>
      <c r="P11" s="248">
        <f t="shared" si="1"/>
        <v>53</v>
      </c>
      <c r="Q11" s="248">
        <f t="shared" si="2"/>
        <v>45</v>
      </c>
      <c r="R11" s="248">
        <f t="shared" si="3"/>
        <v>53</v>
      </c>
      <c r="S11" s="249">
        <f t="shared" si="4"/>
        <v>205</v>
      </c>
      <c r="U11" s="251"/>
    </row>
    <row r="12" spans="1:21">
      <c r="A12" s="246" t="s">
        <v>66</v>
      </c>
      <c r="B12" s="201">
        <v>15</v>
      </c>
      <c r="C12" s="200">
        <v>15</v>
      </c>
      <c r="D12" s="612">
        <v>15</v>
      </c>
      <c r="E12" s="199">
        <v>15</v>
      </c>
      <c r="F12" s="613">
        <v>15</v>
      </c>
      <c r="G12" s="612">
        <v>15</v>
      </c>
      <c r="H12" s="199">
        <v>15</v>
      </c>
      <c r="I12" s="613">
        <v>15</v>
      </c>
      <c r="J12" s="612">
        <v>15</v>
      </c>
      <c r="K12" s="199">
        <v>18</v>
      </c>
      <c r="L12" s="613">
        <v>20</v>
      </c>
      <c r="M12" s="612">
        <v>23</v>
      </c>
      <c r="O12" s="107">
        <f t="shared" si="0"/>
        <v>45</v>
      </c>
      <c r="P12" s="248">
        <f t="shared" si="1"/>
        <v>45</v>
      </c>
      <c r="Q12" s="248">
        <f t="shared" si="2"/>
        <v>45</v>
      </c>
      <c r="R12" s="248">
        <f t="shared" si="3"/>
        <v>61</v>
      </c>
      <c r="S12" s="249">
        <f t="shared" si="4"/>
        <v>196</v>
      </c>
      <c r="U12" s="251"/>
    </row>
    <row r="13" spans="1:21">
      <c r="A13" s="171" t="s">
        <v>162</v>
      </c>
      <c r="B13" s="599">
        <v>27</v>
      </c>
      <c r="C13" s="604">
        <v>20</v>
      </c>
      <c r="D13" s="605">
        <v>20</v>
      </c>
      <c r="E13" s="198">
        <v>22</v>
      </c>
      <c r="F13" s="606">
        <v>18</v>
      </c>
      <c r="G13" s="605">
        <v>22</v>
      </c>
      <c r="H13" s="198">
        <v>21</v>
      </c>
      <c r="I13" s="606">
        <v>15</v>
      </c>
      <c r="J13" s="605">
        <v>21</v>
      </c>
      <c r="K13" s="198">
        <v>23</v>
      </c>
      <c r="L13" s="606">
        <v>23</v>
      </c>
      <c r="M13" s="605">
        <v>23</v>
      </c>
      <c r="N13" s="250"/>
      <c r="O13" s="107">
        <f t="shared" si="0"/>
        <v>67</v>
      </c>
      <c r="P13" s="248">
        <f t="shared" si="1"/>
        <v>62</v>
      </c>
      <c r="Q13" s="248">
        <f t="shared" si="2"/>
        <v>57</v>
      </c>
      <c r="R13" s="248">
        <f t="shared" si="3"/>
        <v>69</v>
      </c>
      <c r="S13" s="249">
        <f t="shared" si="4"/>
        <v>255</v>
      </c>
      <c r="U13" s="251"/>
    </row>
    <row r="14" spans="1:21">
      <c r="A14" s="171" t="s">
        <v>168</v>
      </c>
      <c r="B14" s="201">
        <v>15</v>
      </c>
      <c r="C14" s="200">
        <v>15</v>
      </c>
      <c r="D14" s="612">
        <v>16</v>
      </c>
      <c r="E14" s="199">
        <v>17</v>
      </c>
      <c r="F14" s="613">
        <v>17</v>
      </c>
      <c r="G14" s="612">
        <v>17</v>
      </c>
      <c r="H14" s="199">
        <v>17</v>
      </c>
      <c r="I14" s="613">
        <v>17</v>
      </c>
      <c r="J14" s="612">
        <v>17</v>
      </c>
      <c r="K14" s="199">
        <v>17</v>
      </c>
      <c r="L14" s="613">
        <v>17</v>
      </c>
      <c r="M14" s="612">
        <v>17</v>
      </c>
      <c r="N14" s="251"/>
      <c r="O14" s="107">
        <f t="shared" si="0"/>
        <v>46</v>
      </c>
      <c r="P14" s="248">
        <f t="shared" si="1"/>
        <v>51</v>
      </c>
      <c r="Q14" s="248">
        <f t="shared" si="2"/>
        <v>51</v>
      </c>
      <c r="R14" s="248">
        <f t="shared" si="3"/>
        <v>51</v>
      </c>
      <c r="S14" s="249">
        <f t="shared" si="4"/>
        <v>199</v>
      </c>
      <c r="U14" s="251"/>
    </row>
    <row r="15" spans="1:21">
      <c r="A15" s="246" t="s">
        <v>60</v>
      </c>
      <c r="B15" s="201">
        <v>52</v>
      </c>
      <c r="C15" s="200">
        <v>50</v>
      </c>
      <c r="D15" s="612">
        <v>60</v>
      </c>
      <c r="E15" s="614">
        <v>60</v>
      </c>
      <c r="F15" s="613">
        <v>60</v>
      </c>
      <c r="G15" s="612">
        <v>60</v>
      </c>
      <c r="H15" s="199">
        <v>55</v>
      </c>
      <c r="I15" s="613">
        <v>51</v>
      </c>
      <c r="J15" s="612">
        <v>51</v>
      </c>
      <c r="K15" s="199">
        <v>56</v>
      </c>
      <c r="L15" s="613">
        <v>55</v>
      </c>
      <c r="M15" s="612">
        <v>65</v>
      </c>
      <c r="N15" s="247">
        <v>648</v>
      </c>
      <c r="O15" s="107">
        <f t="shared" si="0"/>
        <v>162</v>
      </c>
      <c r="P15" s="248">
        <f t="shared" si="1"/>
        <v>180</v>
      </c>
      <c r="Q15" s="248">
        <f t="shared" si="2"/>
        <v>157</v>
      </c>
      <c r="R15" s="248">
        <f t="shared" si="3"/>
        <v>176</v>
      </c>
      <c r="S15" s="249">
        <f t="shared" si="4"/>
        <v>675</v>
      </c>
      <c r="T15" s="247"/>
      <c r="U15" s="80"/>
    </row>
    <row r="16" spans="1:21">
      <c r="A16" s="246" t="s">
        <v>51</v>
      </c>
      <c r="B16" s="201">
        <v>52</v>
      </c>
      <c r="C16" s="200">
        <v>38</v>
      </c>
      <c r="D16" s="612">
        <v>49</v>
      </c>
      <c r="E16" s="199">
        <v>47</v>
      </c>
      <c r="F16" s="613">
        <v>48</v>
      </c>
      <c r="G16" s="612">
        <v>45</v>
      </c>
      <c r="H16" s="199">
        <v>43</v>
      </c>
      <c r="I16" s="613">
        <v>43</v>
      </c>
      <c r="J16" s="612">
        <v>43</v>
      </c>
      <c r="K16" s="199">
        <v>45</v>
      </c>
      <c r="L16" s="613">
        <v>45</v>
      </c>
      <c r="M16" s="612">
        <v>55</v>
      </c>
      <c r="N16" s="247">
        <v>480</v>
      </c>
      <c r="O16" s="107">
        <f t="shared" si="0"/>
        <v>139</v>
      </c>
      <c r="P16" s="248">
        <f t="shared" si="1"/>
        <v>140</v>
      </c>
      <c r="Q16" s="248">
        <f t="shared" si="2"/>
        <v>129</v>
      </c>
      <c r="R16" s="248">
        <f t="shared" si="3"/>
        <v>145</v>
      </c>
      <c r="S16" s="249">
        <f t="shared" si="4"/>
        <v>553</v>
      </c>
      <c r="T16" s="247"/>
      <c r="U16" s="80"/>
    </row>
    <row r="17" spans="1:21">
      <c r="A17" s="252" t="s">
        <v>138</v>
      </c>
      <c r="B17" s="201">
        <v>25</v>
      </c>
      <c r="C17" s="200">
        <v>20</v>
      </c>
      <c r="D17" s="612">
        <v>25</v>
      </c>
      <c r="E17" s="199">
        <v>25</v>
      </c>
      <c r="F17" s="613">
        <v>28</v>
      </c>
      <c r="G17" s="612">
        <v>27</v>
      </c>
      <c r="H17" s="199">
        <v>25</v>
      </c>
      <c r="I17" s="613">
        <v>26</v>
      </c>
      <c r="J17" s="612">
        <v>26</v>
      </c>
      <c r="K17" s="199">
        <v>26</v>
      </c>
      <c r="L17" s="613">
        <v>26</v>
      </c>
      <c r="M17" s="612">
        <v>26</v>
      </c>
      <c r="N17" s="247"/>
      <c r="O17" s="107">
        <f t="shared" si="0"/>
        <v>70</v>
      </c>
      <c r="P17" s="248">
        <f t="shared" si="1"/>
        <v>80</v>
      </c>
      <c r="Q17" s="248">
        <f t="shared" si="2"/>
        <v>77</v>
      </c>
      <c r="R17" s="248">
        <f t="shared" si="3"/>
        <v>78</v>
      </c>
      <c r="S17" s="274">
        <f t="shared" si="4"/>
        <v>305</v>
      </c>
      <c r="T17" s="247"/>
      <c r="U17" s="80"/>
    </row>
    <row r="18" spans="1:21" ht="15.75" thickBot="1">
      <c r="A18" s="719" t="s">
        <v>221</v>
      </c>
      <c r="B18" s="709">
        <v>20</v>
      </c>
      <c r="C18" s="710">
        <v>0</v>
      </c>
      <c r="D18" s="711">
        <v>0</v>
      </c>
      <c r="E18" s="712">
        <v>0</v>
      </c>
      <c r="F18" s="713">
        <v>0</v>
      </c>
      <c r="G18" s="714">
        <v>0</v>
      </c>
      <c r="H18" s="715">
        <v>0</v>
      </c>
      <c r="I18" s="716">
        <v>0</v>
      </c>
      <c r="J18" s="711">
        <v>0</v>
      </c>
      <c r="K18" s="715">
        <v>0</v>
      </c>
      <c r="L18" s="716">
        <v>0</v>
      </c>
      <c r="M18" s="711">
        <v>0</v>
      </c>
      <c r="N18" s="247"/>
      <c r="O18" s="717">
        <f t="shared" si="0"/>
        <v>20</v>
      </c>
      <c r="P18" s="718">
        <f t="shared" si="1"/>
        <v>0</v>
      </c>
      <c r="Q18" s="718">
        <f t="shared" si="2"/>
        <v>0</v>
      </c>
      <c r="R18" s="718">
        <f t="shared" si="3"/>
        <v>0</v>
      </c>
      <c r="S18" s="720">
        <f t="shared" si="4"/>
        <v>20</v>
      </c>
      <c r="T18" s="247"/>
      <c r="U18" s="80"/>
    </row>
    <row r="19" spans="1:21" s="255" customFormat="1">
      <c r="A19" s="253" t="s">
        <v>3</v>
      </c>
      <c r="B19" s="273">
        <f t="shared" ref="B19:M19" si="5">SUM(B6:B18)</f>
        <v>386</v>
      </c>
      <c r="C19" s="275">
        <f t="shared" si="5"/>
        <v>340</v>
      </c>
      <c r="D19" s="276">
        <f t="shared" si="5"/>
        <v>376</v>
      </c>
      <c r="E19" s="278">
        <f t="shared" si="5"/>
        <v>388</v>
      </c>
      <c r="F19" s="279">
        <f t="shared" si="5"/>
        <v>393</v>
      </c>
      <c r="G19" s="280">
        <f t="shared" si="5"/>
        <v>379</v>
      </c>
      <c r="H19" s="273">
        <f t="shared" si="5"/>
        <v>354</v>
      </c>
      <c r="I19" s="275">
        <f t="shared" si="5"/>
        <v>345</v>
      </c>
      <c r="J19" s="276">
        <f t="shared" si="5"/>
        <v>348</v>
      </c>
      <c r="K19" s="273">
        <f t="shared" si="5"/>
        <v>390</v>
      </c>
      <c r="L19" s="275">
        <f t="shared" si="5"/>
        <v>386</v>
      </c>
      <c r="M19" s="276">
        <f t="shared" si="5"/>
        <v>423</v>
      </c>
      <c r="N19" s="254"/>
      <c r="O19" s="273">
        <f>SUM(O6:O18)</f>
        <v>1102</v>
      </c>
      <c r="P19" s="275">
        <f>SUM(P6:P18)</f>
        <v>1160</v>
      </c>
      <c r="Q19" s="275">
        <f>SUM(Q6:Q18)</f>
        <v>1047</v>
      </c>
      <c r="R19" s="275">
        <f>SUM(R6:R18)</f>
        <v>1199</v>
      </c>
      <c r="S19" s="276">
        <f>SUM(S6:S18)</f>
        <v>4508</v>
      </c>
      <c r="U19" s="251"/>
    </row>
    <row r="20" spans="1:21" s="255" customFormat="1">
      <c r="A20" s="249" t="s">
        <v>39</v>
      </c>
      <c r="B20" s="256">
        <v>386</v>
      </c>
      <c r="C20" s="256">
        <f t="shared" ref="C20:L20" si="6">C19</f>
        <v>340</v>
      </c>
      <c r="D20" s="277">
        <v>370</v>
      </c>
      <c r="E20" s="281">
        <v>382</v>
      </c>
      <c r="F20" s="282">
        <v>390</v>
      </c>
      <c r="G20" s="277">
        <v>378</v>
      </c>
      <c r="H20" s="281">
        <f t="shared" si="6"/>
        <v>354</v>
      </c>
      <c r="I20" s="282">
        <f t="shared" si="6"/>
        <v>345</v>
      </c>
      <c r="J20" s="277">
        <v>345</v>
      </c>
      <c r="K20" s="281">
        <f t="shared" si="6"/>
        <v>390</v>
      </c>
      <c r="L20" s="282">
        <f t="shared" si="6"/>
        <v>386</v>
      </c>
      <c r="M20" s="277">
        <v>420</v>
      </c>
      <c r="N20" s="254"/>
      <c r="O20" s="257">
        <f t="shared" ref="O20" si="7">SUM(B20:D20)</f>
        <v>1096</v>
      </c>
      <c r="P20" s="258">
        <f t="shared" ref="P20" si="8">SUM(E20:G20)</f>
        <v>1150</v>
      </c>
      <c r="Q20" s="258">
        <f>SUM(H20:J20)</f>
        <v>1044</v>
      </c>
      <c r="R20" s="258">
        <f>SUM(K20:M20)</f>
        <v>1196</v>
      </c>
      <c r="S20" s="259">
        <f>SUM(O20:R20)</f>
        <v>4486</v>
      </c>
      <c r="U20" s="251"/>
    </row>
    <row r="21" spans="1:21">
      <c r="O21" s="260"/>
      <c r="P21" s="260"/>
      <c r="Q21" s="260"/>
      <c r="R21" s="260"/>
      <c r="S21" s="261"/>
      <c r="U21" s="262"/>
    </row>
    <row r="22" spans="1:21">
      <c r="E22" s="263"/>
      <c r="F22" s="263"/>
      <c r="G22" s="263"/>
      <c r="H22" s="263"/>
      <c r="I22" s="263"/>
      <c r="J22" s="263"/>
      <c r="K22" s="263"/>
      <c r="L22" s="263"/>
      <c r="M22" s="263"/>
      <c r="O22" s="602">
        <f>O20/S20</f>
        <v>0.24431564868479716</v>
      </c>
      <c r="P22" s="602">
        <f>P20/S20</f>
        <v>0.25635309852875615</v>
      </c>
      <c r="Q22" s="602">
        <f>Q20/S20</f>
        <v>0.23272403031654035</v>
      </c>
      <c r="R22" s="602">
        <f>R20/S20</f>
        <v>0.26660722246990637</v>
      </c>
      <c r="S22" s="81">
        <f>SUM(O22:R22)</f>
        <v>1</v>
      </c>
      <c r="U22" s="264"/>
    </row>
    <row r="23" spans="1:21" s="255" customFormat="1">
      <c r="B23" s="255" t="s">
        <v>146</v>
      </c>
      <c r="G23" s="266"/>
      <c r="H23" s="266"/>
      <c r="I23" s="266"/>
      <c r="J23" s="266"/>
    </row>
    <row r="24" spans="1:21" s="255" customFormat="1">
      <c r="G24" s="266"/>
      <c r="H24" s="266"/>
      <c r="I24" s="266"/>
      <c r="J24" s="266"/>
    </row>
    <row r="25" spans="1:21" s="255" customFormat="1">
      <c r="B25" s="265"/>
      <c r="C25" s="265"/>
      <c r="D25" s="265"/>
      <c r="G25" s="266"/>
      <c r="H25" s="266"/>
      <c r="I25" s="266"/>
      <c r="J25" s="266"/>
    </row>
    <row r="26" spans="1:21" s="255" customFormat="1">
      <c r="B26" s="266" t="s">
        <v>27</v>
      </c>
      <c r="G26" s="266"/>
      <c r="H26" s="266"/>
      <c r="I26" s="266"/>
      <c r="J26" s="266"/>
    </row>
    <row r="27" spans="1:21" s="255" customFormat="1">
      <c r="B27" s="255" t="s">
        <v>222</v>
      </c>
      <c r="G27" s="266"/>
      <c r="H27" s="266"/>
      <c r="I27" s="266"/>
      <c r="J27" s="266"/>
    </row>
    <row r="28" spans="1:21">
      <c r="G28" s="251"/>
      <c r="H28" s="251"/>
      <c r="I28" s="251"/>
      <c r="J28" s="251"/>
    </row>
  </sheetData>
  <mergeCells count="25">
    <mergeCell ref="R4:R5"/>
    <mergeCell ref="S4:S5"/>
    <mergeCell ref="U4:U5"/>
    <mergeCell ref="K4:K5"/>
    <mergeCell ref="L4:L5"/>
    <mergeCell ref="M4:M5"/>
    <mergeCell ref="O4:O5"/>
    <mergeCell ref="P4:P5"/>
    <mergeCell ref="Q4:Q5"/>
    <mergeCell ref="J4:J5"/>
    <mergeCell ref="A1:U1"/>
    <mergeCell ref="A3:A5"/>
    <mergeCell ref="B3:D3"/>
    <mergeCell ref="E3:G3"/>
    <mergeCell ref="H3:J3"/>
    <mergeCell ref="K3:M3"/>
    <mergeCell ref="O3:S3"/>
    <mergeCell ref="B4:B5"/>
    <mergeCell ref="C4:C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zoomScaleNormal="100" zoomScaleSheetLayoutView="115" workbookViewId="0">
      <pane xSplit="1" ySplit="5" topLeftCell="B6" activePane="bottomRight" state="frozen"/>
      <selection pane="topRight"/>
      <selection pane="bottomLeft"/>
      <selection pane="bottomRight" activeCell="B36" sqref="B36"/>
    </sheetView>
  </sheetViews>
  <sheetFormatPr defaultRowHeight="15"/>
  <cols>
    <col min="1" max="1" width="26.85546875" customWidth="1"/>
    <col min="2" max="13" width="6.28515625" customWidth="1"/>
    <col min="14" max="14" width="1.42578125" customWidth="1"/>
    <col min="15" max="19" width="6.28515625" customWidth="1"/>
    <col min="20" max="20" width="1.42578125" customWidth="1"/>
    <col min="21" max="21" width="8.140625" customWidth="1"/>
  </cols>
  <sheetData>
    <row r="1" spans="1:23" ht="23.25">
      <c r="A1" s="733" t="s">
        <v>197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</row>
    <row r="2" spans="1:23" ht="15.75" thickBot="1"/>
    <row r="3" spans="1:23">
      <c r="A3" s="748" t="s">
        <v>26</v>
      </c>
      <c r="B3" s="751" t="s">
        <v>25</v>
      </c>
      <c r="C3" s="752"/>
      <c r="D3" s="752"/>
      <c r="E3" s="753" t="s">
        <v>24</v>
      </c>
      <c r="F3" s="754"/>
      <c r="G3" s="754"/>
      <c r="H3" s="753" t="s">
        <v>23</v>
      </c>
      <c r="I3" s="754"/>
      <c r="J3" s="754"/>
      <c r="K3" s="751" t="s">
        <v>22</v>
      </c>
      <c r="L3" s="752"/>
      <c r="M3" s="755"/>
      <c r="N3" s="30"/>
      <c r="O3" s="751" t="s">
        <v>4</v>
      </c>
      <c r="P3" s="752"/>
      <c r="Q3" s="752"/>
      <c r="R3" s="752"/>
      <c r="S3" s="755"/>
      <c r="T3" s="30"/>
      <c r="U3" s="658"/>
    </row>
    <row r="4" spans="1:23">
      <c r="A4" s="749"/>
      <c r="B4" s="737" t="s">
        <v>21</v>
      </c>
      <c r="C4" s="739" t="s">
        <v>20</v>
      </c>
      <c r="D4" s="739" t="s">
        <v>19</v>
      </c>
      <c r="E4" s="737" t="s">
        <v>18</v>
      </c>
      <c r="F4" s="739" t="s">
        <v>17</v>
      </c>
      <c r="G4" s="739" t="s">
        <v>16</v>
      </c>
      <c r="H4" s="737" t="s">
        <v>15</v>
      </c>
      <c r="I4" s="739" t="s">
        <v>14</v>
      </c>
      <c r="J4" s="739" t="s">
        <v>13</v>
      </c>
      <c r="K4" s="737" t="s">
        <v>12</v>
      </c>
      <c r="L4" s="739" t="s">
        <v>11</v>
      </c>
      <c r="M4" s="744" t="s">
        <v>10</v>
      </c>
      <c r="N4" s="29"/>
      <c r="O4" s="737" t="s">
        <v>9</v>
      </c>
      <c r="P4" s="739" t="s">
        <v>8</v>
      </c>
      <c r="Q4" s="739" t="s">
        <v>7</v>
      </c>
      <c r="R4" s="739" t="s">
        <v>6</v>
      </c>
      <c r="S4" s="744" t="s">
        <v>5</v>
      </c>
      <c r="T4" s="29"/>
      <c r="U4" s="743"/>
    </row>
    <row r="5" spans="1:23" ht="15.75" thickBot="1">
      <c r="A5" s="750"/>
      <c r="B5" s="738"/>
      <c r="C5" s="740"/>
      <c r="D5" s="740"/>
      <c r="E5" s="737"/>
      <c r="F5" s="739"/>
      <c r="G5" s="739"/>
      <c r="H5" s="737"/>
      <c r="I5" s="739"/>
      <c r="J5" s="739"/>
      <c r="K5" s="737"/>
      <c r="L5" s="739"/>
      <c r="M5" s="744"/>
      <c r="N5" s="29"/>
      <c r="O5" s="747"/>
      <c r="P5" s="732"/>
      <c r="Q5" s="732"/>
      <c r="R5" s="732"/>
      <c r="S5" s="742"/>
      <c r="T5" s="29"/>
      <c r="U5" s="743"/>
    </row>
    <row r="6" spans="1:23">
      <c r="A6" s="267" t="s">
        <v>54</v>
      </c>
      <c r="B6" s="677">
        <v>58</v>
      </c>
      <c r="C6" s="678">
        <v>50</v>
      </c>
      <c r="D6" s="679">
        <v>55</v>
      </c>
      <c r="E6" s="680">
        <v>51</v>
      </c>
      <c r="F6" s="678">
        <v>56</v>
      </c>
      <c r="G6" s="681">
        <v>56</v>
      </c>
      <c r="H6" s="680">
        <v>53</v>
      </c>
      <c r="I6" s="678">
        <v>53</v>
      </c>
      <c r="J6" s="678">
        <v>50</v>
      </c>
      <c r="K6" s="680">
        <v>53</v>
      </c>
      <c r="L6" s="678">
        <v>54</v>
      </c>
      <c r="M6" s="681">
        <v>56</v>
      </c>
      <c r="N6" s="14">
        <v>324</v>
      </c>
      <c r="O6" s="105">
        <f t="shared" ref="O6:O28" si="0">SUM(B6:D6)</f>
        <v>163</v>
      </c>
      <c r="P6" s="104">
        <f t="shared" ref="P6:P28" si="1">SUM(E6:G6)</f>
        <v>163</v>
      </c>
      <c r="Q6" s="104">
        <f t="shared" ref="Q6:Q28" si="2">SUM(H6:J6)</f>
        <v>156</v>
      </c>
      <c r="R6" s="104">
        <f t="shared" ref="R6:R28" si="3">SUM(K6:M6)</f>
        <v>163</v>
      </c>
      <c r="S6" s="148">
        <f t="shared" ref="S6:S30" si="4">SUM(O6:R6)</f>
        <v>645</v>
      </c>
      <c r="T6" s="14"/>
      <c r="U6" s="657"/>
    </row>
    <row r="7" spans="1:23">
      <c r="A7" s="268" t="s">
        <v>53</v>
      </c>
      <c r="B7" s="677">
        <v>69</v>
      </c>
      <c r="C7" s="678">
        <v>62</v>
      </c>
      <c r="D7" s="679">
        <v>65</v>
      </c>
      <c r="E7" s="682">
        <v>63</v>
      </c>
      <c r="F7" s="678">
        <v>68</v>
      </c>
      <c r="G7" s="681">
        <v>68</v>
      </c>
      <c r="H7" s="680">
        <v>65</v>
      </c>
      <c r="I7" s="678">
        <v>65</v>
      </c>
      <c r="J7" s="678">
        <v>65</v>
      </c>
      <c r="K7" s="680">
        <v>68</v>
      </c>
      <c r="L7" s="678">
        <v>68</v>
      </c>
      <c r="M7" s="681">
        <v>70</v>
      </c>
      <c r="N7" s="14">
        <v>300</v>
      </c>
      <c r="O7" s="19">
        <f t="shared" si="0"/>
        <v>196</v>
      </c>
      <c r="P7" s="18">
        <f t="shared" si="1"/>
        <v>199</v>
      </c>
      <c r="Q7" s="18">
        <f t="shared" si="2"/>
        <v>195</v>
      </c>
      <c r="R7" s="18">
        <f t="shared" si="3"/>
        <v>206</v>
      </c>
      <c r="S7" s="25">
        <f t="shared" si="4"/>
        <v>796</v>
      </c>
      <c r="T7" s="14"/>
      <c r="U7" s="657"/>
    </row>
    <row r="8" spans="1:23">
      <c r="A8" s="268" t="s">
        <v>55</v>
      </c>
      <c r="B8" s="677">
        <v>60</v>
      </c>
      <c r="C8" s="678">
        <v>44</v>
      </c>
      <c r="D8" s="679">
        <v>48</v>
      </c>
      <c r="E8" s="680">
        <v>47</v>
      </c>
      <c r="F8" s="678">
        <v>52</v>
      </c>
      <c r="G8" s="681">
        <v>51</v>
      </c>
      <c r="H8" s="683">
        <v>50</v>
      </c>
      <c r="I8" s="678">
        <v>50</v>
      </c>
      <c r="J8" s="681">
        <v>45</v>
      </c>
      <c r="K8" s="680">
        <v>50</v>
      </c>
      <c r="L8" s="678">
        <v>52</v>
      </c>
      <c r="M8" s="681">
        <v>53</v>
      </c>
      <c r="N8" s="14">
        <v>277</v>
      </c>
      <c r="O8" s="19">
        <f t="shared" si="0"/>
        <v>152</v>
      </c>
      <c r="P8" s="18">
        <f t="shared" si="1"/>
        <v>150</v>
      </c>
      <c r="Q8" s="18">
        <f t="shared" si="2"/>
        <v>145</v>
      </c>
      <c r="R8" s="18">
        <f t="shared" si="3"/>
        <v>155</v>
      </c>
      <c r="S8" s="25">
        <f t="shared" si="4"/>
        <v>602</v>
      </c>
      <c r="T8" s="14"/>
      <c r="U8" s="657"/>
    </row>
    <row r="9" spans="1:23">
      <c r="A9" s="268" t="s">
        <v>61</v>
      </c>
      <c r="B9" s="514">
        <v>60</v>
      </c>
      <c r="C9" s="506">
        <v>61</v>
      </c>
      <c r="D9" s="690">
        <v>64</v>
      </c>
      <c r="E9" s="505">
        <v>62</v>
      </c>
      <c r="F9" s="506">
        <v>64</v>
      </c>
      <c r="G9" s="690">
        <v>61</v>
      </c>
      <c r="H9" s="505">
        <v>64</v>
      </c>
      <c r="I9" s="506">
        <v>62</v>
      </c>
      <c r="J9" s="690">
        <v>61</v>
      </c>
      <c r="K9" s="505">
        <v>64</v>
      </c>
      <c r="L9" s="506">
        <v>65</v>
      </c>
      <c r="M9" s="507">
        <v>67</v>
      </c>
      <c r="N9" s="14">
        <v>324</v>
      </c>
      <c r="O9" s="19">
        <f t="shared" si="0"/>
        <v>185</v>
      </c>
      <c r="P9" s="18">
        <f t="shared" si="1"/>
        <v>187</v>
      </c>
      <c r="Q9" s="18">
        <f t="shared" si="2"/>
        <v>187</v>
      </c>
      <c r="R9" s="18">
        <f t="shared" si="3"/>
        <v>196</v>
      </c>
      <c r="S9" s="25">
        <f t="shared" si="4"/>
        <v>755</v>
      </c>
      <c r="T9" s="14"/>
      <c r="U9" s="657"/>
    </row>
    <row r="10" spans="1:23">
      <c r="A10" s="268" t="s">
        <v>52</v>
      </c>
      <c r="B10" s="684">
        <v>42</v>
      </c>
      <c r="C10" s="685">
        <v>35</v>
      </c>
      <c r="D10" s="686">
        <v>40</v>
      </c>
      <c r="E10" s="687">
        <v>35</v>
      </c>
      <c r="F10" s="685">
        <v>40</v>
      </c>
      <c r="G10" s="688">
        <v>35</v>
      </c>
      <c r="H10" s="687">
        <v>37</v>
      </c>
      <c r="I10" s="685">
        <v>37</v>
      </c>
      <c r="J10" s="685">
        <v>37</v>
      </c>
      <c r="K10" s="687">
        <v>38</v>
      </c>
      <c r="L10" s="685">
        <v>40</v>
      </c>
      <c r="M10" s="688">
        <v>40</v>
      </c>
      <c r="N10" s="14">
        <v>839</v>
      </c>
      <c r="O10" s="19">
        <f t="shared" si="0"/>
        <v>117</v>
      </c>
      <c r="P10" s="18">
        <f t="shared" si="1"/>
        <v>110</v>
      </c>
      <c r="Q10" s="18">
        <f t="shared" si="2"/>
        <v>111</v>
      </c>
      <c r="R10" s="18">
        <f t="shared" si="3"/>
        <v>118</v>
      </c>
      <c r="S10" s="25">
        <f t="shared" si="4"/>
        <v>456</v>
      </c>
      <c r="T10" s="14"/>
      <c r="U10" s="657"/>
    </row>
    <row r="11" spans="1:23">
      <c r="A11" s="268" t="s">
        <v>57</v>
      </c>
      <c r="B11" s="691">
        <v>34</v>
      </c>
      <c r="C11" s="685">
        <v>32</v>
      </c>
      <c r="D11" s="692">
        <v>35</v>
      </c>
      <c r="E11" s="687">
        <v>32</v>
      </c>
      <c r="F11" s="685">
        <v>36</v>
      </c>
      <c r="G11" s="688">
        <v>36</v>
      </c>
      <c r="H11" s="691">
        <v>36</v>
      </c>
      <c r="I11" s="685">
        <v>36</v>
      </c>
      <c r="J11" s="688">
        <v>33</v>
      </c>
      <c r="K11" s="687">
        <v>35</v>
      </c>
      <c r="L11" s="685">
        <v>35</v>
      </c>
      <c r="M11" s="688">
        <v>37</v>
      </c>
      <c r="N11" s="14"/>
      <c r="O11" s="19">
        <f t="shared" si="0"/>
        <v>101</v>
      </c>
      <c r="P11" s="18">
        <f t="shared" si="1"/>
        <v>104</v>
      </c>
      <c r="Q11" s="18">
        <f t="shared" si="2"/>
        <v>105</v>
      </c>
      <c r="R11" s="18">
        <f t="shared" si="3"/>
        <v>107</v>
      </c>
      <c r="S11" s="25">
        <f t="shared" si="4"/>
        <v>417</v>
      </c>
      <c r="T11" s="14"/>
      <c r="U11" s="657"/>
    </row>
    <row r="12" spans="1:23">
      <c r="A12" s="268" t="s">
        <v>49</v>
      </c>
      <c r="B12" s="689">
        <v>38</v>
      </c>
      <c r="C12" s="685">
        <v>35</v>
      </c>
      <c r="D12" s="686">
        <v>38</v>
      </c>
      <c r="E12" s="687">
        <v>38</v>
      </c>
      <c r="F12" s="685">
        <v>40</v>
      </c>
      <c r="G12" s="688">
        <v>38</v>
      </c>
      <c r="H12" s="687">
        <v>38</v>
      </c>
      <c r="I12" s="685">
        <v>36</v>
      </c>
      <c r="J12" s="685">
        <v>36</v>
      </c>
      <c r="K12" s="687">
        <v>39</v>
      </c>
      <c r="L12" s="685">
        <v>40</v>
      </c>
      <c r="M12" s="688">
        <v>41</v>
      </c>
      <c r="N12" s="14">
        <v>242</v>
      </c>
      <c r="O12" s="19">
        <f t="shared" si="0"/>
        <v>111</v>
      </c>
      <c r="P12" s="18">
        <f t="shared" si="1"/>
        <v>116</v>
      </c>
      <c r="Q12" s="18">
        <f t="shared" si="2"/>
        <v>110</v>
      </c>
      <c r="R12" s="18">
        <f t="shared" si="3"/>
        <v>120</v>
      </c>
      <c r="S12" s="25">
        <f t="shared" si="4"/>
        <v>457</v>
      </c>
      <c r="T12" s="14"/>
      <c r="U12" s="657"/>
    </row>
    <row r="13" spans="1:23">
      <c r="A13" s="268" t="s">
        <v>58</v>
      </c>
      <c r="B13" s="691">
        <v>44</v>
      </c>
      <c r="C13" s="685">
        <v>40</v>
      </c>
      <c r="D13" s="686">
        <v>40</v>
      </c>
      <c r="E13" s="687">
        <v>40</v>
      </c>
      <c r="F13" s="685">
        <v>41</v>
      </c>
      <c r="G13" s="688">
        <v>41</v>
      </c>
      <c r="H13" s="691">
        <v>40</v>
      </c>
      <c r="I13" s="685">
        <v>40</v>
      </c>
      <c r="J13" s="688">
        <v>40</v>
      </c>
      <c r="K13" s="687">
        <v>41</v>
      </c>
      <c r="L13" s="685">
        <v>42</v>
      </c>
      <c r="M13" s="688">
        <v>43</v>
      </c>
      <c r="N13" s="14">
        <v>300</v>
      </c>
      <c r="O13" s="19">
        <f t="shared" si="0"/>
        <v>124</v>
      </c>
      <c r="P13" s="18">
        <f t="shared" si="1"/>
        <v>122</v>
      </c>
      <c r="Q13" s="18">
        <f t="shared" si="2"/>
        <v>120</v>
      </c>
      <c r="R13" s="18">
        <f t="shared" si="3"/>
        <v>126</v>
      </c>
      <c r="S13" s="25">
        <f t="shared" si="4"/>
        <v>492</v>
      </c>
      <c r="T13" s="14"/>
      <c r="U13" s="657"/>
    </row>
    <row r="14" spans="1:23">
      <c r="A14" s="268" t="s">
        <v>50</v>
      </c>
      <c r="B14" s="684">
        <v>35</v>
      </c>
      <c r="C14" s="685">
        <v>30</v>
      </c>
      <c r="D14" s="686">
        <v>33</v>
      </c>
      <c r="E14" s="687">
        <v>30</v>
      </c>
      <c r="F14" s="685">
        <v>37</v>
      </c>
      <c r="G14" s="688">
        <v>35</v>
      </c>
      <c r="H14" s="687">
        <v>35</v>
      </c>
      <c r="I14" s="685">
        <v>35</v>
      </c>
      <c r="J14" s="685">
        <v>33</v>
      </c>
      <c r="K14" s="687">
        <v>35</v>
      </c>
      <c r="L14" s="685">
        <v>35</v>
      </c>
      <c r="M14" s="688">
        <v>35</v>
      </c>
      <c r="N14" s="14">
        <v>312</v>
      </c>
      <c r="O14" s="19">
        <f t="shared" si="0"/>
        <v>98</v>
      </c>
      <c r="P14" s="18">
        <f t="shared" si="1"/>
        <v>102</v>
      </c>
      <c r="Q14" s="18">
        <f t="shared" si="2"/>
        <v>103</v>
      </c>
      <c r="R14" s="18">
        <f t="shared" si="3"/>
        <v>105</v>
      </c>
      <c r="S14" s="25">
        <f t="shared" si="4"/>
        <v>408</v>
      </c>
      <c r="T14" s="14"/>
      <c r="U14" s="657"/>
      <c r="W14" s="80"/>
    </row>
    <row r="15" spans="1:23">
      <c r="A15" s="268" t="s">
        <v>59</v>
      </c>
      <c r="B15" s="691">
        <v>39</v>
      </c>
      <c r="C15" s="685">
        <v>30</v>
      </c>
      <c r="D15" s="686">
        <v>33</v>
      </c>
      <c r="E15" s="687">
        <v>30</v>
      </c>
      <c r="F15" s="685">
        <v>35</v>
      </c>
      <c r="G15" s="688">
        <v>35</v>
      </c>
      <c r="H15" s="691">
        <v>35</v>
      </c>
      <c r="I15" s="685">
        <v>30</v>
      </c>
      <c r="J15" s="688">
        <v>30</v>
      </c>
      <c r="K15" s="687">
        <v>35</v>
      </c>
      <c r="L15" s="685">
        <v>37</v>
      </c>
      <c r="M15" s="688">
        <v>38</v>
      </c>
      <c r="N15" s="14">
        <v>288</v>
      </c>
      <c r="O15" s="19">
        <f t="shared" si="0"/>
        <v>102</v>
      </c>
      <c r="P15" s="18">
        <f t="shared" si="1"/>
        <v>100</v>
      </c>
      <c r="Q15" s="18">
        <f t="shared" si="2"/>
        <v>95</v>
      </c>
      <c r="R15" s="18">
        <f t="shared" si="3"/>
        <v>110</v>
      </c>
      <c r="S15" s="25">
        <f t="shared" si="4"/>
        <v>407</v>
      </c>
      <c r="T15" s="14"/>
      <c r="U15" s="657"/>
      <c r="W15" s="33"/>
    </row>
    <row r="16" spans="1:23">
      <c r="A16" s="268" t="s">
        <v>139</v>
      </c>
      <c r="B16" s="514">
        <v>56</v>
      </c>
      <c r="C16" s="506">
        <v>56</v>
      </c>
      <c r="D16" s="690">
        <v>65</v>
      </c>
      <c r="E16" s="505">
        <v>63</v>
      </c>
      <c r="F16" s="506">
        <v>65</v>
      </c>
      <c r="G16" s="690">
        <v>65</v>
      </c>
      <c r="H16" s="505">
        <v>65</v>
      </c>
      <c r="I16" s="506">
        <v>65</v>
      </c>
      <c r="J16" s="690">
        <v>63</v>
      </c>
      <c r="K16" s="505">
        <v>65</v>
      </c>
      <c r="L16" s="506">
        <v>66</v>
      </c>
      <c r="M16" s="507">
        <v>69</v>
      </c>
      <c r="N16" s="14">
        <v>338</v>
      </c>
      <c r="O16" s="19">
        <f t="shared" si="0"/>
        <v>177</v>
      </c>
      <c r="P16" s="18">
        <f t="shared" si="1"/>
        <v>193</v>
      </c>
      <c r="Q16" s="18">
        <f t="shared" si="2"/>
        <v>193</v>
      </c>
      <c r="R16" s="18">
        <f t="shared" si="3"/>
        <v>200</v>
      </c>
      <c r="S16" s="25">
        <f t="shared" si="4"/>
        <v>763</v>
      </c>
      <c r="T16" s="14"/>
      <c r="U16" s="657"/>
      <c r="W16" s="33"/>
    </row>
    <row r="17" spans="1:23">
      <c r="A17" s="268" t="s">
        <v>140</v>
      </c>
      <c r="B17" s="693">
        <v>50</v>
      </c>
      <c r="C17" s="685">
        <v>48</v>
      </c>
      <c r="D17" s="686">
        <v>52</v>
      </c>
      <c r="E17" s="687">
        <v>50</v>
      </c>
      <c r="F17" s="685">
        <v>54</v>
      </c>
      <c r="G17" s="688">
        <v>53</v>
      </c>
      <c r="H17" s="691">
        <v>54</v>
      </c>
      <c r="I17" s="685">
        <v>54</v>
      </c>
      <c r="J17" s="688">
        <v>51</v>
      </c>
      <c r="K17" s="687">
        <v>54</v>
      </c>
      <c r="L17" s="685">
        <v>54</v>
      </c>
      <c r="M17" s="688">
        <v>56</v>
      </c>
      <c r="N17" s="14">
        <v>361</v>
      </c>
      <c r="O17" s="19">
        <f t="shared" si="0"/>
        <v>150</v>
      </c>
      <c r="P17" s="18">
        <f t="shared" si="1"/>
        <v>157</v>
      </c>
      <c r="Q17" s="18">
        <f t="shared" si="2"/>
        <v>159</v>
      </c>
      <c r="R17" s="18">
        <f t="shared" si="3"/>
        <v>164</v>
      </c>
      <c r="S17" s="25">
        <f t="shared" si="4"/>
        <v>630</v>
      </c>
      <c r="T17" s="14"/>
      <c r="U17" s="657"/>
      <c r="W17" s="33"/>
    </row>
    <row r="18" spans="1:23">
      <c r="A18" s="268" t="s">
        <v>56</v>
      </c>
      <c r="B18" s="684">
        <v>34</v>
      </c>
      <c r="C18" s="685">
        <v>32</v>
      </c>
      <c r="D18" s="686">
        <v>40</v>
      </c>
      <c r="E18" s="687">
        <v>37</v>
      </c>
      <c r="F18" s="685">
        <v>40</v>
      </c>
      <c r="G18" s="688">
        <v>40</v>
      </c>
      <c r="H18" s="691">
        <v>39</v>
      </c>
      <c r="I18" s="685">
        <v>38</v>
      </c>
      <c r="J18" s="688">
        <v>36</v>
      </c>
      <c r="K18" s="687">
        <v>41</v>
      </c>
      <c r="L18" s="685">
        <v>42</v>
      </c>
      <c r="M18" s="688">
        <v>45</v>
      </c>
      <c r="N18" s="14"/>
      <c r="O18" s="19">
        <f t="shared" si="0"/>
        <v>106</v>
      </c>
      <c r="P18" s="18">
        <f t="shared" si="1"/>
        <v>117</v>
      </c>
      <c r="Q18" s="18">
        <f t="shared" si="2"/>
        <v>113</v>
      </c>
      <c r="R18" s="18">
        <f t="shared" si="3"/>
        <v>128</v>
      </c>
      <c r="S18" s="25">
        <f t="shared" si="4"/>
        <v>464</v>
      </c>
      <c r="T18" s="14"/>
      <c r="U18" s="657"/>
      <c r="W18" s="33"/>
    </row>
    <row r="19" spans="1:23" s="94" customFormat="1">
      <c r="A19" s="594" t="s">
        <v>175</v>
      </c>
      <c r="B19" s="694">
        <v>40</v>
      </c>
      <c r="C19" s="695">
        <v>35</v>
      </c>
      <c r="D19" s="696">
        <v>38</v>
      </c>
      <c r="E19" s="697">
        <v>35</v>
      </c>
      <c r="F19" s="695">
        <v>39</v>
      </c>
      <c r="G19" s="696">
        <v>38</v>
      </c>
      <c r="H19" s="697">
        <v>35</v>
      </c>
      <c r="I19" s="695">
        <v>35</v>
      </c>
      <c r="J19" s="696">
        <v>35</v>
      </c>
      <c r="K19" s="697">
        <v>40</v>
      </c>
      <c r="L19" s="695">
        <v>41</v>
      </c>
      <c r="M19" s="696">
        <v>45</v>
      </c>
      <c r="N19" s="14"/>
      <c r="O19" s="461">
        <f t="shared" si="0"/>
        <v>113</v>
      </c>
      <c r="P19" s="459">
        <f t="shared" si="1"/>
        <v>112</v>
      </c>
      <c r="Q19" s="459">
        <f t="shared" si="2"/>
        <v>105</v>
      </c>
      <c r="R19" s="459">
        <f t="shared" si="3"/>
        <v>126</v>
      </c>
      <c r="S19" s="241">
        <f t="shared" si="4"/>
        <v>456</v>
      </c>
      <c r="T19" s="14"/>
      <c r="U19" s="657"/>
    </row>
    <row r="20" spans="1:23" s="545" customFormat="1">
      <c r="A20" s="268" t="s">
        <v>211</v>
      </c>
      <c r="B20" s="684">
        <v>15</v>
      </c>
      <c r="C20" s="685">
        <v>20</v>
      </c>
      <c r="D20" s="692">
        <v>30</v>
      </c>
      <c r="E20" s="687">
        <v>24</v>
      </c>
      <c r="F20" s="685">
        <v>26</v>
      </c>
      <c r="G20" s="688">
        <v>28</v>
      </c>
      <c r="H20" s="691">
        <v>26</v>
      </c>
      <c r="I20" s="685">
        <v>25</v>
      </c>
      <c r="J20" s="688">
        <v>25</v>
      </c>
      <c r="K20" s="687">
        <v>26</v>
      </c>
      <c r="L20" s="685">
        <v>27</v>
      </c>
      <c r="M20" s="688">
        <v>28</v>
      </c>
      <c r="N20" s="449"/>
      <c r="O20" s="651">
        <f t="shared" si="0"/>
        <v>65</v>
      </c>
      <c r="P20" s="652">
        <f t="shared" si="1"/>
        <v>78</v>
      </c>
      <c r="Q20" s="652">
        <f t="shared" si="2"/>
        <v>76</v>
      </c>
      <c r="R20" s="652">
        <f t="shared" si="3"/>
        <v>81</v>
      </c>
      <c r="S20" s="603">
        <f t="shared" si="4"/>
        <v>300</v>
      </c>
      <c r="T20" s="449"/>
      <c r="U20" s="657"/>
    </row>
    <row r="21" spans="1:23" s="545" customFormat="1">
      <c r="A21" s="268" t="s">
        <v>212</v>
      </c>
      <c r="B21" s="698">
        <v>0</v>
      </c>
      <c r="C21" s="506">
        <v>0</v>
      </c>
      <c r="D21" s="690">
        <v>15</v>
      </c>
      <c r="E21" s="505">
        <v>20</v>
      </c>
      <c r="F21" s="506">
        <v>24</v>
      </c>
      <c r="G21" s="507">
        <v>24</v>
      </c>
      <c r="H21" s="514">
        <v>23</v>
      </c>
      <c r="I21" s="506">
        <v>23</v>
      </c>
      <c r="J21" s="507">
        <v>23</v>
      </c>
      <c r="K21" s="505">
        <v>26</v>
      </c>
      <c r="L21" s="506">
        <v>30</v>
      </c>
      <c r="M21" s="507">
        <v>32</v>
      </c>
      <c r="N21" s="449"/>
      <c r="O21" s="651">
        <f t="shared" si="0"/>
        <v>15</v>
      </c>
      <c r="P21" s="652">
        <f t="shared" si="1"/>
        <v>68</v>
      </c>
      <c r="Q21" s="652">
        <f t="shared" si="2"/>
        <v>69</v>
      </c>
      <c r="R21" s="652">
        <f t="shared" si="3"/>
        <v>88</v>
      </c>
      <c r="S21" s="603">
        <f t="shared" si="4"/>
        <v>240</v>
      </c>
      <c r="T21" s="449"/>
      <c r="U21" s="657"/>
    </row>
    <row r="22" spans="1:23" s="545" customFormat="1">
      <c r="A22" s="268" t="s">
        <v>213</v>
      </c>
      <c r="B22" s="698">
        <v>0</v>
      </c>
      <c r="C22" s="506">
        <v>0</v>
      </c>
      <c r="D22" s="690">
        <v>0</v>
      </c>
      <c r="E22" s="505">
        <v>0</v>
      </c>
      <c r="F22" s="506">
        <v>0</v>
      </c>
      <c r="G22" s="507">
        <v>15</v>
      </c>
      <c r="H22" s="514">
        <v>18</v>
      </c>
      <c r="I22" s="506">
        <v>20</v>
      </c>
      <c r="J22" s="506">
        <v>20</v>
      </c>
      <c r="K22" s="505">
        <v>25</v>
      </c>
      <c r="L22" s="506">
        <v>25</v>
      </c>
      <c r="M22" s="507">
        <v>27</v>
      </c>
      <c r="N22" s="449"/>
      <c r="O22" s="651">
        <f t="shared" si="0"/>
        <v>0</v>
      </c>
      <c r="P22" s="652">
        <f t="shared" si="1"/>
        <v>15</v>
      </c>
      <c r="Q22" s="652">
        <f t="shared" si="2"/>
        <v>58</v>
      </c>
      <c r="R22" s="652">
        <f t="shared" si="3"/>
        <v>77</v>
      </c>
      <c r="S22" s="603">
        <f t="shared" si="4"/>
        <v>150</v>
      </c>
      <c r="T22" s="449"/>
      <c r="U22" s="657"/>
    </row>
    <row r="23" spans="1:23" s="545" customFormat="1">
      <c r="A23" s="268" t="s">
        <v>214</v>
      </c>
      <c r="B23" s="699">
        <v>0</v>
      </c>
      <c r="C23" s="700">
        <v>0</v>
      </c>
      <c r="D23" s="701">
        <v>0</v>
      </c>
      <c r="E23" s="702">
        <v>0</v>
      </c>
      <c r="F23" s="700">
        <v>20</v>
      </c>
      <c r="G23" s="701">
        <v>22</v>
      </c>
      <c r="H23" s="699">
        <v>26</v>
      </c>
      <c r="I23" s="700">
        <v>26</v>
      </c>
      <c r="J23" s="701">
        <v>26</v>
      </c>
      <c r="K23" s="699">
        <v>28</v>
      </c>
      <c r="L23" s="700">
        <v>30</v>
      </c>
      <c r="M23" s="700">
        <v>32</v>
      </c>
      <c r="N23" s="449"/>
      <c r="O23" s="651">
        <f t="shared" si="0"/>
        <v>0</v>
      </c>
      <c r="P23" s="652">
        <f t="shared" si="1"/>
        <v>42</v>
      </c>
      <c r="Q23" s="652">
        <f t="shared" si="2"/>
        <v>78</v>
      </c>
      <c r="R23" s="652">
        <f t="shared" si="3"/>
        <v>90</v>
      </c>
      <c r="S23" s="603">
        <f t="shared" si="4"/>
        <v>210</v>
      </c>
      <c r="T23" s="449"/>
      <c r="U23" s="657"/>
    </row>
    <row r="24" spans="1:23" s="545" customFormat="1">
      <c r="A24" s="268" t="s">
        <v>215</v>
      </c>
      <c r="B24" s="699">
        <v>0</v>
      </c>
      <c r="C24" s="700">
        <v>0</v>
      </c>
      <c r="D24" s="707">
        <v>0</v>
      </c>
      <c r="E24" s="702">
        <v>0</v>
      </c>
      <c r="F24" s="700">
        <v>20</v>
      </c>
      <c r="G24" s="707">
        <v>23</v>
      </c>
      <c r="H24" s="702">
        <v>25</v>
      </c>
      <c r="I24" s="700">
        <v>25</v>
      </c>
      <c r="J24" s="707">
        <v>25</v>
      </c>
      <c r="K24" s="702">
        <v>30</v>
      </c>
      <c r="L24" s="700">
        <v>32</v>
      </c>
      <c r="M24" s="701">
        <v>35</v>
      </c>
      <c r="N24" s="449"/>
      <c r="O24" s="651">
        <f t="shared" si="0"/>
        <v>0</v>
      </c>
      <c r="P24" s="652">
        <f t="shared" si="1"/>
        <v>43</v>
      </c>
      <c r="Q24" s="652">
        <f t="shared" si="2"/>
        <v>75</v>
      </c>
      <c r="R24" s="652">
        <f t="shared" si="3"/>
        <v>97</v>
      </c>
      <c r="S24" s="603">
        <f t="shared" si="4"/>
        <v>215</v>
      </c>
      <c r="T24" s="449"/>
      <c r="U24" s="657"/>
    </row>
    <row r="25" spans="1:23" s="545" customFormat="1">
      <c r="A25" s="594" t="s">
        <v>216</v>
      </c>
      <c r="B25" s="702">
        <v>0</v>
      </c>
      <c r="C25" s="700">
        <v>0</v>
      </c>
      <c r="D25" s="707">
        <v>0</v>
      </c>
      <c r="E25" s="702">
        <v>0</v>
      </c>
      <c r="F25" s="700">
        <v>0</v>
      </c>
      <c r="G25" s="707">
        <v>0</v>
      </c>
      <c r="H25" s="702">
        <v>0</v>
      </c>
      <c r="I25" s="700">
        <v>0</v>
      </c>
      <c r="J25" s="707">
        <v>0</v>
      </c>
      <c r="K25" s="702">
        <v>20</v>
      </c>
      <c r="L25" s="700">
        <v>20</v>
      </c>
      <c r="M25" s="701">
        <v>20</v>
      </c>
      <c r="N25" s="449"/>
      <c r="O25" s="651">
        <f t="shared" si="0"/>
        <v>0</v>
      </c>
      <c r="P25" s="652">
        <f t="shared" si="1"/>
        <v>0</v>
      </c>
      <c r="Q25" s="652">
        <f t="shared" si="2"/>
        <v>0</v>
      </c>
      <c r="R25" s="652">
        <f t="shared" si="3"/>
        <v>60</v>
      </c>
      <c r="S25" s="603">
        <f t="shared" si="4"/>
        <v>60</v>
      </c>
      <c r="T25" s="449"/>
      <c r="U25" s="657"/>
    </row>
    <row r="26" spans="1:23" s="672" customFormat="1" ht="15.75" thickBot="1">
      <c r="A26" s="660" t="s">
        <v>221</v>
      </c>
      <c r="B26" s="705">
        <v>20</v>
      </c>
      <c r="C26" s="703">
        <v>0</v>
      </c>
      <c r="D26" s="704">
        <v>0</v>
      </c>
      <c r="E26" s="705">
        <v>0</v>
      </c>
      <c r="F26" s="703">
        <v>0</v>
      </c>
      <c r="G26" s="704">
        <v>0</v>
      </c>
      <c r="H26" s="705">
        <v>0</v>
      </c>
      <c r="I26" s="703">
        <v>0</v>
      </c>
      <c r="J26" s="704">
        <v>0</v>
      </c>
      <c r="K26" s="705">
        <v>0</v>
      </c>
      <c r="L26" s="703">
        <v>0</v>
      </c>
      <c r="M26" s="706">
        <v>0</v>
      </c>
      <c r="N26" s="673"/>
      <c r="O26" s="653">
        <f>SUM(B26:M26)</f>
        <v>20</v>
      </c>
      <c r="P26" s="654">
        <f t="shared" si="1"/>
        <v>0</v>
      </c>
      <c r="Q26" s="654">
        <f t="shared" si="2"/>
        <v>0</v>
      </c>
      <c r="R26" s="654">
        <f t="shared" si="3"/>
        <v>0</v>
      </c>
      <c r="S26" s="414">
        <f t="shared" si="4"/>
        <v>20</v>
      </c>
      <c r="T26" s="673"/>
      <c r="U26" s="657"/>
    </row>
    <row r="27" spans="1:23" s="1" customFormat="1">
      <c r="A27" s="35" t="s">
        <v>3</v>
      </c>
      <c r="B27" s="159">
        <f t="shared" ref="B27:M27" si="5">SUM(B6:B26)</f>
        <v>694</v>
      </c>
      <c r="C27" s="160">
        <f t="shared" si="5"/>
        <v>610</v>
      </c>
      <c r="D27" s="153">
        <f t="shared" si="5"/>
        <v>691</v>
      </c>
      <c r="E27" s="159">
        <f t="shared" si="5"/>
        <v>657</v>
      </c>
      <c r="F27" s="160">
        <f t="shared" si="5"/>
        <v>757</v>
      </c>
      <c r="G27" s="153">
        <f t="shared" si="5"/>
        <v>764</v>
      </c>
      <c r="H27" s="159">
        <f t="shared" si="5"/>
        <v>764</v>
      </c>
      <c r="I27" s="160">
        <f t="shared" si="5"/>
        <v>755</v>
      </c>
      <c r="J27" s="153">
        <f t="shared" si="5"/>
        <v>734</v>
      </c>
      <c r="K27" s="159">
        <f t="shared" si="5"/>
        <v>813</v>
      </c>
      <c r="L27" s="160">
        <f t="shared" si="5"/>
        <v>835</v>
      </c>
      <c r="M27" s="160">
        <f t="shared" si="5"/>
        <v>869</v>
      </c>
      <c r="N27" s="12"/>
      <c r="O27" s="159">
        <f t="shared" si="0"/>
        <v>1995</v>
      </c>
      <c r="P27" s="160">
        <f t="shared" si="1"/>
        <v>2178</v>
      </c>
      <c r="Q27" s="160">
        <f t="shared" si="2"/>
        <v>2253</v>
      </c>
      <c r="R27" s="160">
        <f t="shared" si="3"/>
        <v>2517</v>
      </c>
      <c r="S27" s="153">
        <f t="shared" si="4"/>
        <v>8943</v>
      </c>
      <c r="T27" s="11"/>
      <c r="U27" s="657"/>
    </row>
    <row r="28" spans="1:23" s="1" customFormat="1">
      <c r="A28" s="141" t="s">
        <v>39</v>
      </c>
      <c r="B28" s="163">
        <f t="shared" ref="B28:M28" si="6">B27</f>
        <v>694</v>
      </c>
      <c r="C28" s="162">
        <f t="shared" si="6"/>
        <v>610</v>
      </c>
      <c r="D28" s="161">
        <f t="shared" si="6"/>
        <v>691</v>
      </c>
      <c r="E28" s="656">
        <f t="shared" si="6"/>
        <v>657</v>
      </c>
      <c r="F28" s="655">
        <f t="shared" si="6"/>
        <v>757</v>
      </c>
      <c r="G28" s="674">
        <f t="shared" si="6"/>
        <v>764</v>
      </c>
      <c r="H28" s="656">
        <f t="shared" si="6"/>
        <v>764</v>
      </c>
      <c r="I28" s="655">
        <f t="shared" si="6"/>
        <v>755</v>
      </c>
      <c r="J28" s="674">
        <f t="shared" si="6"/>
        <v>734</v>
      </c>
      <c r="K28" s="656">
        <f t="shared" si="6"/>
        <v>813</v>
      </c>
      <c r="L28" s="655">
        <f t="shared" si="6"/>
        <v>835</v>
      </c>
      <c r="M28" s="674">
        <f t="shared" si="6"/>
        <v>869</v>
      </c>
      <c r="N28" s="12"/>
      <c r="O28" s="656">
        <f t="shared" si="0"/>
        <v>1995</v>
      </c>
      <c r="P28" s="655">
        <f t="shared" si="1"/>
        <v>2178</v>
      </c>
      <c r="Q28" s="655">
        <f t="shared" si="2"/>
        <v>2253</v>
      </c>
      <c r="R28" s="655">
        <f t="shared" si="3"/>
        <v>2517</v>
      </c>
      <c r="S28" s="25">
        <f t="shared" si="4"/>
        <v>8943</v>
      </c>
      <c r="T28" s="11"/>
      <c r="U28" s="33"/>
    </row>
    <row r="29" spans="1:23">
      <c r="O29" s="10">
        <f>O27/S27</f>
        <v>0.22307950352230796</v>
      </c>
      <c r="P29" s="10">
        <f>P27/S27</f>
        <v>0.24354243542435425</v>
      </c>
      <c r="Q29" s="10">
        <f>Q27/S27</f>
        <v>0.25192888292519289</v>
      </c>
      <c r="R29" s="10">
        <f>R27/S27</f>
        <v>0.28144917812814491</v>
      </c>
      <c r="S29" s="9">
        <f t="shared" si="4"/>
        <v>1</v>
      </c>
      <c r="T29" s="8"/>
      <c r="U29" s="7">
        <f>S29</f>
        <v>1</v>
      </c>
    </row>
    <row r="30" spans="1:23">
      <c r="E30" s="6"/>
      <c r="F30" s="6"/>
      <c r="G30" s="6"/>
      <c r="H30" s="6"/>
      <c r="I30" s="6"/>
      <c r="J30" s="6"/>
      <c r="K30" s="6"/>
      <c r="L30" s="6"/>
      <c r="M30" s="6"/>
      <c r="O30" s="82">
        <f>O28/S28</f>
        <v>0.22307950352230796</v>
      </c>
      <c r="P30" s="82">
        <f>P28/S28</f>
        <v>0.24354243542435425</v>
      </c>
      <c r="Q30" s="82">
        <f>Q28/S28</f>
        <v>0.25192888292519289</v>
      </c>
      <c r="R30" s="82">
        <f>R28/S28</f>
        <v>0.28144917812814491</v>
      </c>
      <c r="S30" s="5">
        <f t="shared" si="4"/>
        <v>1</v>
      </c>
      <c r="U30" s="4"/>
    </row>
    <row r="31" spans="1:23" s="1" customFormat="1">
      <c r="B31" s="1" t="s">
        <v>146</v>
      </c>
      <c r="G31" s="559"/>
      <c r="H31" s="559"/>
      <c r="I31" s="559"/>
    </row>
    <row r="32" spans="1:23" s="1" customFormat="1">
      <c r="G32" s="559"/>
      <c r="H32" s="559"/>
      <c r="I32" s="559"/>
    </row>
    <row r="33" spans="2:9" s="1" customFormat="1">
      <c r="B33" s="3"/>
      <c r="C33" s="3"/>
      <c r="D33" s="3"/>
      <c r="G33" s="559"/>
      <c r="H33" s="559"/>
      <c r="I33" s="559"/>
    </row>
    <row r="34" spans="2:9" s="1" customFormat="1">
      <c r="B34" s="2" t="s">
        <v>27</v>
      </c>
      <c r="G34" s="559"/>
      <c r="H34" s="559"/>
      <c r="I34" s="559"/>
    </row>
    <row r="35" spans="2:9" s="1" customFormat="1">
      <c r="B35" s="1" t="s">
        <v>222</v>
      </c>
      <c r="G35" s="559"/>
      <c r="H35" s="559"/>
      <c r="I35" s="559"/>
    </row>
  </sheetData>
  <mergeCells count="25">
    <mergeCell ref="P4:P5"/>
    <mergeCell ref="Q4:Q5"/>
    <mergeCell ref="R4:R5"/>
    <mergeCell ref="S4:S5"/>
    <mergeCell ref="G4:G5"/>
    <mergeCell ref="H4:H5"/>
    <mergeCell ref="I4:I5"/>
    <mergeCell ref="J4:J5"/>
    <mergeCell ref="O4:O5"/>
    <mergeCell ref="A1:U1"/>
    <mergeCell ref="A3:A5"/>
    <mergeCell ref="B3:D3"/>
    <mergeCell ref="E3:G3"/>
    <mergeCell ref="H3:J3"/>
    <mergeCell ref="K3:M3"/>
    <mergeCell ref="K4:K5"/>
    <mergeCell ref="L4:L5"/>
    <mergeCell ref="M4:M5"/>
    <mergeCell ref="U4:U5"/>
    <mergeCell ref="O3:S3"/>
    <mergeCell ref="B4:B5"/>
    <mergeCell ref="C4:C5"/>
    <mergeCell ref="D4:D5"/>
    <mergeCell ref="E4:E5"/>
    <mergeCell ref="F4:F5"/>
  </mergeCells>
  <pageMargins left="0.25" right="0.25" top="0.75" bottom="0.75" header="0.3" footer="0.3"/>
  <pageSetup paperSize="768" scale="93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zoomScaleNormal="100" zoomScaleSheetLayoutView="100" workbookViewId="0">
      <pane xSplit="1" ySplit="5" topLeftCell="B6" activePane="bottomRight" state="frozen"/>
      <selection pane="topRight"/>
      <selection pane="bottomLeft"/>
      <selection pane="bottomRight" activeCell="B28" sqref="B28"/>
    </sheetView>
  </sheetViews>
  <sheetFormatPr defaultRowHeight="15"/>
  <cols>
    <col min="1" max="1" width="30.42578125" customWidth="1"/>
    <col min="2" max="13" width="6.28515625" customWidth="1"/>
    <col min="14" max="14" width="1.42578125" customWidth="1"/>
    <col min="15" max="15" width="6.85546875" customWidth="1"/>
    <col min="16" max="19" width="6.28515625" customWidth="1"/>
    <col min="20" max="20" width="1.42578125" customWidth="1"/>
    <col min="21" max="21" width="8.140625" customWidth="1"/>
  </cols>
  <sheetData>
    <row r="1" spans="1:21" ht="23.25">
      <c r="A1" s="733" t="s">
        <v>198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</row>
    <row r="2" spans="1:21" ht="15.75" thickBot="1"/>
    <row r="3" spans="1:21">
      <c r="A3" s="757" t="s">
        <v>26</v>
      </c>
      <c r="B3" s="751" t="s">
        <v>25</v>
      </c>
      <c r="C3" s="752"/>
      <c r="D3" s="752"/>
      <c r="E3" s="753" t="s">
        <v>24</v>
      </c>
      <c r="F3" s="754"/>
      <c r="G3" s="754"/>
      <c r="H3" s="753" t="s">
        <v>23</v>
      </c>
      <c r="I3" s="754"/>
      <c r="J3" s="754"/>
      <c r="K3" s="751" t="s">
        <v>22</v>
      </c>
      <c r="L3" s="752"/>
      <c r="M3" s="755"/>
      <c r="N3" s="30"/>
      <c r="O3" s="751" t="s">
        <v>4</v>
      </c>
      <c r="P3" s="752"/>
      <c r="Q3" s="752"/>
      <c r="R3" s="752"/>
      <c r="S3" s="755"/>
      <c r="T3" s="30"/>
      <c r="U3" s="658"/>
    </row>
    <row r="4" spans="1:21">
      <c r="A4" s="758"/>
      <c r="B4" s="737" t="s">
        <v>21</v>
      </c>
      <c r="C4" s="739" t="s">
        <v>20</v>
      </c>
      <c r="D4" s="739" t="s">
        <v>19</v>
      </c>
      <c r="E4" s="737" t="s">
        <v>18</v>
      </c>
      <c r="F4" s="739" t="s">
        <v>17</v>
      </c>
      <c r="G4" s="739" t="s">
        <v>16</v>
      </c>
      <c r="H4" s="737" t="s">
        <v>15</v>
      </c>
      <c r="I4" s="739" t="s">
        <v>14</v>
      </c>
      <c r="J4" s="739" t="s">
        <v>13</v>
      </c>
      <c r="K4" s="737" t="s">
        <v>12</v>
      </c>
      <c r="L4" s="739" t="s">
        <v>11</v>
      </c>
      <c r="M4" s="744" t="s">
        <v>10</v>
      </c>
      <c r="N4" s="29"/>
      <c r="O4" s="737" t="s">
        <v>9</v>
      </c>
      <c r="P4" s="739" t="s">
        <v>8</v>
      </c>
      <c r="Q4" s="739" t="s">
        <v>7</v>
      </c>
      <c r="R4" s="739" t="s">
        <v>6</v>
      </c>
      <c r="S4" s="744" t="s">
        <v>5</v>
      </c>
      <c r="T4" s="29"/>
      <c r="U4" s="743"/>
    </row>
    <row r="5" spans="1:21" ht="15.75" thickBot="1">
      <c r="A5" s="759"/>
      <c r="B5" s="738"/>
      <c r="C5" s="740"/>
      <c r="D5" s="740"/>
      <c r="E5" s="738"/>
      <c r="F5" s="740"/>
      <c r="G5" s="740"/>
      <c r="H5" s="738"/>
      <c r="I5" s="740"/>
      <c r="J5" s="740"/>
      <c r="K5" s="738"/>
      <c r="L5" s="740"/>
      <c r="M5" s="742"/>
      <c r="N5" s="29"/>
      <c r="O5" s="747"/>
      <c r="P5" s="732"/>
      <c r="Q5" s="732"/>
      <c r="R5" s="732"/>
      <c r="S5" s="742"/>
      <c r="T5" s="29"/>
      <c r="U5" s="743"/>
    </row>
    <row r="6" spans="1:21" s="94" customFormat="1">
      <c r="A6" s="267" t="s">
        <v>65</v>
      </c>
      <c r="B6" s="661">
        <v>80</v>
      </c>
      <c r="C6" s="604">
        <v>68</v>
      </c>
      <c r="D6" s="662">
        <v>77</v>
      </c>
      <c r="E6" s="599">
        <v>68</v>
      </c>
      <c r="F6" s="604">
        <v>80</v>
      </c>
      <c r="G6" s="663">
        <v>65</v>
      </c>
      <c r="H6" s="193">
        <v>55</v>
      </c>
      <c r="I6" s="604">
        <v>59</v>
      </c>
      <c r="J6" s="662">
        <v>63</v>
      </c>
      <c r="K6" s="193">
        <v>70</v>
      </c>
      <c r="L6" s="604">
        <v>80</v>
      </c>
      <c r="M6" s="662">
        <v>100</v>
      </c>
      <c r="N6" s="14"/>
      <c r="O6" s="105">
        <f>SUM(B6:D6)</f>
        <v>225</v>
      </c>
      <c r="P6" s="104">
        <f>SUM(E6:G6)</f>
        <v>213</v>
      </c>
      <c r="Q6" s="104">
        <f>SUM(H6:J6)</f>
        <v>177</v>
      </c>
      <c r="R6" s="104">
        <f>SUM(K6:M6)</f>
        <v>250</v>
      </c>
      <c r="S6" s="148">
        <f>SUM(O6:R6)</f>
        <v>865</v>
      </c>
      <c r="T6" s="14"/>
      <c r="U6" s="657"/>
    </row>
    <row r="7" spans="1:21" s="94" customFormat="1">
      <c r="A7" s="268" t="s">
        <v>64</v>
      </c>
      <c r="B7" s="661">
        <v>60</v>
      </c>
      <c r="C7" s="604">
        <v>42</v>
      </c>
      <c r="D7" s="662">
        <v>65</v>
      </c>
      <c r="E7" s="599">
        <v>59</v>
      </c>
      <c r="F7" s="604">
        <v>70</v>
      </c>
      <c r="G7" s="663">
        <v>62</v>
      </c>
      <c r="H7" s="193">
        <v>57</v>
      </c>
      <c r="I7" s="604">
        <v>48</v>
      </c>
      <c r="J7" s="662">
        <v>55</v>
      </c>
      <c r="K7" s="193">
        <v>62</v>
      </c>
      <c r="L7" s="604">
        <v>65</v>
      </c>
      <c r="M7" s="662">
        <v>75</v>
      </c>
      <c r="N7" s="14"/>
      <c r="O7" s="647">
        <f t="shared" ref="O7:O17" si="0">SUM(B7:D7)</f>
        <v>167</v>
      </c>
      <c r="P7" s="648">
        <f t="shared" ref="P7:P18" si="1">SUM(E7:G7)</f>
        <v>191</v>
      </c>
      <c r="Q7" s="648">
        <f t="shared" ref="Q7:Q18" si="2">SUM(H7:J7)</f>
        <v>160</v>
      </c>
      <c r="R7" s="648">
        <f t="shared" ref="R7:R18" si="3">SUM(K7:M7)</f>
        <v>202</v>
      </c>
      <c r="S7" s="148">
        <f t="shared" ref="S7:S18" si="4">SUM(O7:R7)</f>
        <v>720</v>
      </c>
      <c r="T7" s="14"/>
      <c r="U7" s="657"/>
    </row>
    <row r="8" spans="1:21" s="94" customFormat="1">
      <c r="A8" s="268" t="s">
        <v>62</v>
      </c>
      <c r="B8" s="604">
        <v>40</v>
      </c>
      <c r="C8" s="604">
        <v>38</v>
      </c>
      <c r="D8" s="662">
        <v>45</v>
      </c>
      <c r="E8" s="599">
        <v>40</v>
      </c>
      <c r="F8" s="604">
        <v>48</v>
      </c>
      <c r="G8" s="663">
        <v>42</v>
      </c>
      <c r="H8" s="193">
        <v>28</v>
      </c>
      <c r="I8" s="604">
        <v>30</v>
      </c>
      <c r="J8" s="662">
        <v>39</v>
      </c>
      <c r="K8" s="193">
        <v>38</v>
      </c>
      <c r="L8" s="604">
        <v>41</v>
      </c>
      <c r="M8" s="662">
        <v>60</v>
      </c>
      <c r="N8" s="155"/>
      <c r="O8" s="647">
        <f t="shared" si="0"/>
        <v>123</v>
      </c>
      <c r="P8" s="648">
        <f t="shared" si="1"/>
        <v>130</v>
      </c>
      <c r="Q8" s="648">
        <f t="shared" si="2"/>
        <v>97</v>
      </c>
      <c r="R8" s="648">
        <f t="shared" si="3"/>
        <v>139</v>
      </c>
      <c r="S8" s="148">
        <f t="shared" si="4"/>
        <v>489</v>
      </c>
      <c r="T8" s="155"/>
      <c r="U8" s="501"/>
    </row>
    <row r="9" spans="1:21" s="94" customFormat="1">
      <c r="A9" s="268" t="s">
        <v>67</v>
      </c>
      <c r="B9" s="661">
        <v>70</v>
      </c>
      <c r="C9" s="604">
        <v>50</v>
      </c>
      <c r="D9" s="662">
        <v>67</v>
      </c>
      <c r="E9" s="599">
        <v>60</v>
      </c>
      <c r="F9" s="604">
        <v>75</v>
      </c>
      <c r="G9" s="663">
        <v>65</v>
      </c>
      <c r="H9" s="193">
        <v>48</v>
      </c>
      <c r="I9" s="604">
        <v>50</v>
      </c>
      <c r="J9" s="662">
        <v>50</v>
      </c>
      <c r="K9" s="193">
        <v>65</v>
      </c>
      <c r="L9" s="604">
        <v>68</v>
      </c>
      <c r="M9" s="662">
        <v>74</v>
      </c>
      <c r="N9" s="155"/>
      <c r="O9" s="647">
        <f t="shared" si="0"/>
        <v>187</v>
      </c>
      <c r="P9" s="648">
        <f t="shared" si="1"/>
        <v>200</v>
      </c>
      <c r="Q9" s="648">
        <f t="shared" si="2"/>
        <v>148</v>
      </c>
      <c r="R9" s="648">
        <f t="shared" si="3"/>
        <v>207</v>
      </c>
      <c r="S9" s="148">
        <f t="shared" si="4"/>
        <v>742</v>
      </c>
      <c r="T9" s="155"/>
      <c r="U9" s="501"/>
    </row>
    <row r="10" spans="1:21" s="94" customFormat="1">
      <c r="A10" s="268" t="s">
        <v>73</v>
      </c>
      <c r="B10" s="661">
        <v>63</v>
      </c>
      <c r="C10" s="661">
        <v>62</v>
      </c>
      <c r="D10" s="664">
        <v>60</v>
      </c>
      <c r="E10" s="665">
        <v>55</v>
      </c>
      <c r="F10" s="661">
        <v>55</v>
      </c>
      <c r="G10" s="666">
        <v>58</v>
      </c>
      <c r="H10" s="667">
        <v>55</v>
      </c>
      <c r="I10" s="661">
        <v>45</v>
      </c>
      <c r="J10" s="664">
        <v>45</v>
      </c>
      <c r="K10" s="667">
        <v>56</v>
      </c>
      <c r="L10" s="661">
        <v>50</v>
      </c>
      <c r="M10" s="664">
        <v>72</v>
      </c>
      <c r="N10" s="155"/>
      <c r="O10" s="647">
        <f t="shared" si="0"/>
        <v>185</v>
      </c>
      <c r="P10" s="648">
        <f t="shared" si="1"/>
        <v>168</v>
      </c>
      <c r="Q10" s="648">
        <f t="shared" si="2"/>
        <v>145</v>
      </c>
      <c r="R10" s="648">
        <f t="shared" si="3"/>
        <v>178</v>
      </c>
      <c r="S10" s="148">
        <f t="shared" si="4"/>
        <v>676</v>
      </c>
      <c r="T10" s="155"/>
      <c r="U10" s="501"/>
    </row>
    <row r="11" spans="1:21" s="94" customFormat="1">
      <c r="A11" s="268" t="s">
        <v>74</v>
      </c>
      <c r="B11" s="661">
        <v>35</v>
      </c>
      <c r="C11" s="661">
        <v>31</v>
      </c>
      <c r="D11" s="664">
        <v>38</v>
      </c>
      <c r="E11" s="665">
        <v>29</v>
      </c>
      <c r="F11" s="661">
        <v>34</v>
      </c>
      <c r="G11" s="666">
        <v>35</v>
      </c>
      <c r="H11" s="667">
        <v>25</v>
      </c>
      <c r="I11" s="661">
        <v>25</v>
      </c>
      <c r="J11" s="664">
        <v>28</v>
      </c>
      <c r="K11" s="667">
        <v>30</v>
      </c>
      <c r="L11" s="661">
        <v>39</v>
      </c>
      <c r="M11" s="664">
        <v>50</v>
      </c>
      <c r="N11" s="155"/>
      <c r="O11" s="647">
        <f t="shared" si="0"/>
        <v>104</v>
      </c>
      <c r="P11" s="648">
        <f t="shared" si="1"/>
        <v>98</v>
      </c>
      <c r="Q11" s="648">
        <f t="shared" si="2"/>
        <v>78</v>
      </c>
      <c r="R11" s="648">
        <f t="shared" si="3"/>
        <v>119</v>
      </c>
      <c r="S11" s="148">
        <f t="shared" si="4"/>
        <v>399</v>
      </c>
      <c r="T11" s="155"/>
      <c r="U11" s="501"/>
    </row>
    <row r="12" spans="1:21" s="94" customFormat="1">
      <c r="A12" s="268" t="s">
        <v>72</v>
      </c>
      <c r="B12" s="661">
        <v>30</v>
      </c>
      <c r="C12" s="661">
        <v>30</v>
      </c>
      <c r="D12" s="664">
        <v>31</v>
      </c>
      <c r="E12" s="665">
        <v>30</v>
      </c>
      <c r="F12" s="661">
        <v>31</v>
      </c>
      <c r="G12" s="666">
        <v>33</v>
      </c>
      <c r="H12" s="667">
        <v>30</v>
      </c>
      <c r="I12" s="661">
        <v>32</v>
      </c>
      <c r="J12" s="664">
        <v>30</v>
      </c>
      <c r="K12" s="667">
        <v>30</v>
      </c>
      <c r="L12" s="661">
        <v>33</v>
      </c>
      <c r="M12" s="664">
        <v>37</v>
      </c>
      <c r="N12" s="155"/>
      <c r="O12" s="647">
        <f t="shared" si="0"/>
        <v>91</v>
      </c>
      <c r="P12" s="648">
        <f t="shared" si="1"/>
        <v>94</v>
      </c>
      <c r="Q12" s="648">
        <f t="shared" si="2"/>
        <v>92</v>
      </c>
      <c r="R12" s="648">
        <f t="shared" si="3"/>
        <v>100</v>
      </c>
      <c r="S12" s="148">
        <f t="shared" si="4"/>
        <v>377</v>
      </c>
      <c r="T12" s="155"/>
      <c r="U12" s="501"/>
    </row>
    <row r="13" spans="1:21" s="94" customFormat="1">
      <c r="A13" s="597" t="s">
        <v>157</v>
      </c>
      <c r="B13" s="661">
        <v>55</v>
      </c>
      <c r="C13" s="604">
        <v>35</v>
      </c>
      <c r="D13" s="662">
        <v>40</v>
      </c>
      <c r="E13" s="599">
        <v>35</v>
      </c>
      <c r="F13" s="604">
        <v>45</v>
      </c>
      <c r="G13" s="663">
        <v>40</v>
      </c>
      <c r="H13" s="193">
        <v>30</v>
      </c>
      <c r="I13" s="604">
        <v>30</v>
      </c>
      <c r="J13" s="662">
        <v>34</v>
      </c>
      <c r="K13" s="193">
        <v>35</v>
      </c>
      <c r="L13" s="604">
        <v>40</v>
      </c>
      <c r="M13" s="662">
        <v>50</v>
      </c>
      <c r="N13" s="155"/>
      <c r="O13" s="647">
        <f t="shared" si="0"/>
        <v>130</v>
      </c>
      <c r="P13" s="648">
        <f t="shared" si="1"/>
        <v>120</v>
      </c>
      <c r="Q13" s="648">
        <f t="shared" si="2"/>
        <v>94</v>
      </c>
      <c r="R13" s="648">
        <f t="shared" si="3"/>
        <v>125</v>
      </c>
      <c r="S13" s="148">
        <f t="shared" si="4"/>
        <v>469</v>
      </c>
      <c r="T13" s="155"/>
      <c r="U13" s="501"/>
    </row>
    <row r="14" spans="1:21" s="94" customFormat="1">
      <c r="A14" s="349" t="s">
        <v>169</v>
      </c>
      <c r="B14" s="661">
        <v>30</v>
      </c>
      <c r="C14" s="661">
        <v>32</v>
      </c>
      <c r="D14" s="664">
        <v>33</v>
      </c>
      <c r="E14" s="665">
        <v>28</v>
      </c>
      <c r="F14" s="661">
        <v>32</v>
      </c>
      <c r="G14" s="666">
        <v>30</v>
      </c>
      <c r="H14" s="667">
        <v>25</v>
      </c>
      <c r="I14" s="661">
        <v>21</v>
      </c>
      <c r="J14" s="664">
        <v>30</v>
      </c>
      <c r="K14" s="667">
        <v>32</v>
      </c>
      <c r="L14" s="661">
        <v>32</v>
      </c>
      <c r="M14" s="664">
        <v>35</v>
      </c>
      <c r="N14" s="182"/>
      <c r="O14" s="647">
        <f t="shared" si="0"/>
        <v>95</v>
      </c>
      <c r="P14" s="648">
        <f t="shared" si="1"/>
        <v>90</v>
      </c>
      <c r="Q14" s="648">
        <f t="shared" si="2"/>
        <v>76</v>
      </c>
      <c r="R14" s="648">
        <f t="shared" si="3"/>
        <v>99</v>
      </c>
      <c r="S14" s="148">
        <f t="shared" si="4"/>
        <v>360</v>
      </c>
      <c r="T14" s="155"/>
      <c r="U14" s="501"/>
    </row>
    <row r="15" spans="1:21" s="94" customFormat="1">
      <c r="A15" s="349" t="s">
        <v>170</v>
      </c>
      <c r="B15" s="661">
        <v>35</v>
      </c>
      <c r="C15" s="604">
        <v>28</v>
      </c>
      <c r="D15" s="662">
        <v>32</v>
      </c>
      <c r="E15" s="599">
        <v>25</v>
      </c>
      <c r="F15" s="604">
        <v>32</v>
      </c>
      <c r="G15" s="663">
        <v>30</v>
      </c>
      <c r="H15" s="193">
        <v>27</v>
      </c>
      <c r="I15" s="604">
        <v>27</v>
      </c>
      <c r="J15" s="662">
        <v>27</v>
      </c>
      <c r="K15" s="193">
        <v>30</v>
      </c>
      <c r="L15" s="604">
        <v>32</v>
      </c>
      <c r="M15" s="662">
        <v>35</v>
      </c>
      <c r="N15" s="182"/>
      <c r="O15" s="647">
        <f t="shared" si="0"/>
        <v>95</v>
      </c>
      <c r="P15" s="648">
        <f t="shared" si="1"/>
        <v>87</v>
      </c>
      <c r="Q15" s="648">
        <f t="shared" si="2"/>
        <v>81</v>
      </c>
      <c r="R15" s="648">
        <f t="shared" si="3"/>
        <v>97</v>
      </c>
      <c r="S15" s="148">
        <f t="shared" si="4"/>
        <v>360</v>
      </c>
      <c r="T15" s="155"/>
      <c r="U15" s="501"/>
    </row>
    <row r="16" spans="1:21" s="94" customFormat="1">
      <c r="A16" s="597" t="s">
        <v>171</v>
      </c>
      <c r="B16" s="661">
        <v>30</v>
      </c>
      <c r="C16" s="661">
        <v>29</v>
      </c>
      <c r="D16" s="664">
        <v>33</v>
      </c>
      <c r="E16" s="665">
        <v>28</v>
      </c>
      <c r="F16" s="661">
        <v>30</v>
      </c>
      <c r="G16" s="666">
        <v>30</v>
      </c>
      <c r="H16" s="667">
        <v>27</v>
      </c>
      <c r="I16" s="661">
        <v>26</v>
      </c>
      <c r="J16" s="664">
        <v>30</v>
      </c>
      <c r="K16" s="667">
        <v>32</v>
      </c>
      <c r="L16" s="661">
        <v>32</v>
      </c>
      <c r="M16" s="664">
        <v>33</v>
      </c>
      <c r="N16" s="182"/>
      <c r="O16" s="647">
        <f t="shared" si="0"/>
        <v>92</v>
      </c>
      <c r="P16" s="648">
        <f t="shared" si="1"/>
        <v>88</v>
      </c>
      <c r="Q16" s="648">
        <f t="shared" si="2"/>
        <v>83</v>
      </c>
      <c r="R16" s="648">
        <f t="shared" si="3"/>
        <v>97</v>
      </c>
      <c r="S16" s="148">
        <f t="shared" si="4"/>
        <v>360</v>
      </c>
      <c r="T16" s="155"/>
      <c r="U16" s="501"/>
    </row>
    <row r="17" spans="1:21" s="649" customFormat="1">
      <c r="A17" s="597" t="s">
        <v>220</v>
      </c>
      <c r="B17" s="721">
        <v>0</v>
      </c>
      <c r="C17" s="722">
        <v>0</v>
      </c>
      <c r="D17" s="723">
        <v>0</v>
      </c>
      <c r="E17" s="724">
        <v>0</v>
      </c>
      <c r="F17" s="722">
        <v>15</v>
      </c>
      <c r="G17" s="725">
        <v>15</v>
      </c>
      <c r="H17" s="726">
        <v>15</v>
      </c>
      <c r="I17" s="722">
        <v>15</v>
      </c>
      <c r="J17" s="723">
        <v>15</v>
      </c>
      <c r="K17" s="726">
        <v>16</v>
      </c>
      <c r="L17" s="722">
        <v>18</v>
      </c>
      <c r="M17" s="723">
        <v>20</v>
      </c>
      <c r="N17" s="501"/>
      <c r="O17" s="651">
        <f t="shared" si="0"/>
        <v>0</v>
      </c>
      <c r="P17" s="652">
        <f t="shared" si="1"/>
        <v>30</v>
      </c>
      <c r="Q17" s="652">
        <f t="shared" si="2"/>
        <v>45</v>
      </c>
      <c r="R17" s="652">
        <f t="shared" si="3"/>
        <v>54</v>
      </c>
      <c r="S17" s="603">
        <f t="shared" si="4"/>
        <v>129</v>
      </c>
      <c r="T17" s="560"/>
      <c r="U17" s="501"/>
    </row>
    <row r="18" spans="1:21" s="672" customFormat="1" ht="15.75" thickBot="1">
      <c r="A18" s="598" t="s">
        <v>221</v>
      </c>
      <c r="B18" s="727">
        <v>20</v>
      </c>
      <c r="C18" s="670">
        <v>0</v>
      </c>
      <c r="D18" s="668">
        <v>0</v>
      </c>
      <c r="E18" s="728">
        <v>0</v>
      </c>
      <c r="F18" s="670">
        <v>0</v>
      </c>
      <c r="G18" s="729">
        <v>0</v>
      </c>
      <c r="H18" s="669">
        <v>0</v>
      </c>
      <c r="I18" s="670">
        <v>0</v>
      </c>
      <c r="J18" s="668">
        <v>0</v>
      </c>
      <c r="K18" s="669">
        <v>0</v>
      </c>
      <c r="L18" s="670">
        <v>0</v>
      </c>
      <c r="M18" s="668">
        <v>0</v>
      </c>
      <c r="N18" s="676"/>
      <c r="O18" s="653">
        <f>SUM(B18:M18)</f>
        <v>20</v>
      </c>
      <c r="P18" s="654">
        <f t="shared" si="1"/>
        <v>0</v>
      </c>
      <c r="Q18" s="654">
        <f t="shared" si="2"/>
        <v>0</v>
      </c>
      <c r="R18" s="654">
        <f t="shared" si="3"/>
        <v>0</v>
      </c>
      <c r="S18" s="414">
        <f t="shared" si="4"/>
        <v>20</v>
      </c>
      <c r="T18" s="675"/>
      <c r="U18" s="676"/>
    </row>
    <row r="19" spans="1:21" s="1" customFormat="1">
      <c r="A19" s="35" t="s">
        <v>3</v>
      </c>
      <c r="B19" s="227">
        <f t="shared" ref="B19:M19" si="5">SUM(B6:B18)</f>
        <v>548</v>
      </c>
      <c r="C19" s="228">
        <f t="shared" si="5"/>
        <v>445</v>
      </c>
      <c r="D19" s="229">
        <f t="shared" si="5"/>
        <v>521</v>
      </c>
      <c r="E19" s="227">
        <f t="shared" si="5"/>
        <v>457</v>
      </c>
      <c r="F19" s="228">
        <f t="shared" si="5"/>
        <v>547</v>
      </c>
      <c r="G19" s="229">
        <f t="shared" si="5"/>
        <v>505</v>
      </c>
      <c r="H19" s="227">
        <f t="shared" si="5"/>
        <v>422</v>
      </c>
      <c r="I19" s="228">
        <f t="shared" si="5"/>
        <v>408</v>
      </c>
      <c r="J19" s="229">
        <f t="shared" si="5"/>
        <v>446</v>
      </c>
      <c r="K19" s="227">
        <f t="shared" si="5"/>
        <v>496</v>
      </c>
      <c r="L19" s="228">
        <f t="shared" si="5"/>
        <v>530</v>
      </c>
      <c r="M19" s="228">
        <f t="shared" si="5"/>
        <v>641</v>
      </c>
      <c r="N19" s="178"/>
      <c r="O19" s="176">
        <f>SUM(B19:D19)</f>
        <v>1514</v>
      </c>
      <c r="P19" s="177">
        <f>SUM(E19:G19)</f>
        <v>1509</v>
      </c>
      <c r="Q19" s="177">
        <f>SUM(H19:J19)</f>
        <v>1276</v>
      </c>
      <c r="R19" s="177">
        <f>SUM(K19:M19)</f>
        <v>1667</v>
      </c>
      <c r="S19" s="179">
        <f>SUM(O19:R19)</f>
        <v>5966</v>
      </c>
      <c r="T19" s="95"/>
      <c r="U19" s="501"/>
    </row>
    <row r="20" spans="1:21" s="1" customFormat="1">
      <c r="A20" s="161" t="s">
        <v>39</v>
      </c>
      <c r="B20" s="181">
        <v>548</v>
      </c>
      <c r="C20" s="180">
        <v>445</v>
      </c>
      <c r="D20" s="172">
        <v>521</v>
      </c>
      <c r="E20" s="181">
        <v>457</v>
      </c>
      <c r="F20" s="500">
        <v>540</v>
      </c>
      <c r="G20" s="491">
        <v>500</v>
      </c>
      <c r="H20" s="181">
        <v>422</v>
      </c>
      <c r="I20" s="500">
        <v>404</v>
      </c>
      <c r="J20" s="491">
        <v>446</v>
      </c>
      <c r="K20" s="181">
        <v>496</v>
      </c>
      <c r="L20" s="500">
        <v>520</v>
      </c>
      <c r="M20" s="491">
        <v>628</v>
      </c>
      <c r="N20" s="178"/>
      <c r="O20" s="181">
        <f>SUM(B20:D20)</f>
        <v>1514</v>
      </c>
      <c r="P20" s="180">
        <f>SUM(E20:G20)</f>
        <v>1497</v>
      </c>
      <c r="Q20" s="180">
        <f>SUM(H20:J20)</f>
        <v>1272</v>
      </c>
      <c r="R20" s="180">
        <f>SUM(K20:M20)</f>
        <v>1644</v>
      </c>
      <c r="S20" s="172">
        <f>SUM(O20:R20)</f>
        <v>5927</v>
      </c>
      <c r="T20" s="95"/>
      <c r="U20" s="182"/>
    </row>
    <row r="21" spans="1:21">
      <c r="E21" s="659"/>
      <c r="F21" s="659"/>
      <c r="G21" s="659"/>
      <c r="H21" s="659"/>
      <c r="I21" s="659"/>
      <c r="J21" s="659"/>
      <c r="K21" s="659"/>
      <c r="L21" s="659"/>
      <c r="M21" s="659"/>
      <c r="O21" s="10">
        <f>O19/S19</f>
        <v>0.25377137110291653</v>
      </c>
      <c r="P21" s="10">
        <f>P19/S19</f>
        <v>0.25293328863560172</v>
      </c>
      <c r="Q21" s="10">
        <f>Q19/S19</f>
        <v>0.21387864565873282</v>
      </c>
      <c r="R21" s="10">
        <f>R19/S19</f>
        <v>0.27941669460274893</v>
      </c>
      <c r="S21" s="9">
        <f>SUM(O21:R21)</f>
        <v>1</v>
      </c>
      <c r="T21" s="8"/>
      <c r="U21" s="7">
        <f>S21</f>
        <v>1</v>
      </c>
    </row>
    <row r="22" spans="1:21">
      <c r="E22" s="6"/>
      <c r="F22" s="6"/>
      <c r="G22" s="6"/>
      <c r="H22" s="6"/>
      <c r="I22" s="6"/>
      <c r="J22" s="6"/>
      <c r="K22" s="6"/>
      <c r="L22" s="6"/>
      <c r="M22" s="6"/>
      <c r="O22" s="98">
        <f>O20/S20</f>
        <v>0.2554412012822676</v>
      </c>
      <c r="P22" s="98">
        <f>P20/S20</f>
        <v>0.25257297114897925</v>
      </c>
      <c r="Q22" s="98">
        <f>Q20/S20</f>
        <v>0.21461110173781003</v>
      </c>
      <c r="R22" s="98">
        <f>R20/S20</f>
        <v>0.27737472583094314</v>
      </c>
      <c r="S22" s="98">
        <f>SUM(O22:R22)</f>
        <v>1</v>
      </c>
      <c r="U22" s="4"/>
    </row>
    <row r="23" spans="1:21" s="1" customFormat="1">
      <c r="B23" s="1" t="s">
        <v>146</v>
      </c>
      <c r="G23" s="559"/>
      <c r="H23" s="559"/>
      <c r="I23" s="559"/>
      <c r="J23" s="559"/>
    </row>
    <row r="24" spans="1:21" s="1" customFormat="1">
      <c r="G24" s="559"/>
      <c r="H24" s="559"/>
      <c r="I24" s="559"/>
      <c r="J24" s="559"/>
    </row>
    <row r="25" spans="1:21" s="1" customFormat="1">
      <c r="B25" s="3"/>
      <c r="C25" s="3"/>
      <c r="D25" s="3"/>
      <c r="G25" s="559"/>
      <c r="H25" s="559"/>
      <c r="I25" s="559"/>
      <c r="J25" s="559"/>
    </row>
    <row r="26" spans="1:21" s="1" customFormat="1">
      <c r="B26" s="2" t="s">
        <v>27</v>
      </c>
      <c r="G26" s="559"/>
      <c r="H26" s="559"/>
      <c r="I26" s="559"/>
      <c r="J26" s="559"/>
    </row>
    <row r="27" spans="1:21" s="1" customFormat="1">
      <c r="B27" s="1" t="s">
        <v>222</v>
      </c>
      <c r="G27" s="559"/>
      <c r="H27" s="559"/>
      <c r="I27" s="559"/>
      <c r="J27" s="559"/>
    </row>
    <row r="28" spans="1:21">
      <c r="G28" s="149"/>
      <c r="H28" s="149"/>
      <c r="I28" s="149"/>
      <c r="J28" s="149"/>
    </row>
  </sheetData>
  <mergeCells count="25">
    <mergeCell ref="P4:P5"/>
    <mergeCell ref="Q4:Q5"/>
    <mergeCell ref="R4:R5"/>
    <mergeCell ref="S4:S5"/>
    <mergeCell ref="G4:G5"/>
    <mergeCell ref="H4:H5"/>
    <mergeCell ref="I4:I5"/>
    <mergeCell ref="J4:J5"/>
    <mergeCell ref="O4:O5"/>
    <mergeCell ref="A1:U1"/>
    <mergeCell ref="A3:A5"/>
    <mergeCell ref="B3:D3"/>
    <mergeCell ref="E3:G3"/>
    <mergeCell ref="H3:J3"/>
    <mergeCell ref="K3:M3"/>
    <mergeCell ref="K4:K5"/>
    <mergeCell ref="L4:L5"/>
    <mergeCell ref="M4:M5"/>
    <mergeCell ref="U4:U5"/>
    <mergeCell ref="O3:S3"/>
    <mergeCell ref="B4:B5"/>
    <mergeCell ref="C4:C5"/>
    <mergeCell ref="D4:D5"/>
    <mergeCell ref="E4:E5"/>
    <mergeCell ref="F4:F5"/>
  </mergeCells>
  <pageMargins left="0.25" right="0.25" top="0.75" bottom="0.75" header="0.3" footer="0.3"/>
  <pageSetup paperSize="768" scale="90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zoomScaleNormal="100" workbookViewId="0">
      <pane xSplit="1" ySplit="5" topLeftCell="B6" activePane="bottomRight" state="frozen"/>
      <selection pane="topRight"/>
      <selection pane="bottomLeft"/>
      <selection pane="bottomRight" activeCell="B30" sqref="B30"/>
    </sheetView>
  </sheetViews>
  <sheetFormatPr defaultRowHeight="15"/>
  <cols>
    <col min="1" max="1" width="22.28515625" bestFit="1" customWidth="1"/>
    <col min="2" max="13" width="6.28515625" customWidth="1"/>
    <col min="14" max="14" width="1.42578125" customWidth="1"/>
    <col min="15" max="19" width="6.28515625" customWidth="1"/>
    <col min="20" max="20" width="1.42578125" customWidth="1"/>
    <col min="21" max="21" width="8.140625" customWidth="1"/>
  </cols>
  <sheetData>
    <row r="1" spans="1:25" ht="23.25">
      <c r="A1" s="733" t="s">
        <v>199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</row>
    <row r="2" spans="1:25" ht="15.75" thickBot="1"/>
    <row r="3" spans="1:25">
      <c r="A3" s="748" t="s">
        <v>26</v>
      </c>
      <c r="B3" s="751" t="s">
        <v>25</v>
      </c>
      <c r="C3" s="752"/>
      <c r="D3" s="752"/>
      <c r="E3" s="753" t="s">
        <v>24</v>
      </c>
      <c r="F3" s="754"/>
      <c r="G3" s="754"/>
      <c r="H3" s="753" t="s">
        <v>23</v>
      </c>
      <c r="I3" s="754"/>
      <c r="J3" s="754"/>
      <c r="K3" s="751" t="s">
        <v>22</v>
      </c>
      <c r="L3" s="752"/>
      <c r="M3" s="755"/>
      <c r="N3" s="30"/>
      <c r="O3" s="751" t="s">
        <v>4</v>
      </c>
      <c r="P3" s="752"/>
      <c r="Q3" s="752"/>
      <c r="R3" s="752"/>
      <c r="S3" s="755"/>
      <c r="T3" s="30"/>
      <c r="U3" s="658"/>
    </row>
    <row r="4" spans="1:25">
      <c r="A4" s="749"/>
      <c r="B4" s="737" t="s">
        <v>21</v>
      </c>
      <c r="C4" s="739" t="s">
        <v>20</v>
      </c>
      <c r="D4" s="739" t="s">
        <v>19</v>
      </c>
      <c r="E4" s="737" t="s">
        <v>18</v>
      </c>
      <c r="F4" s="739" t="s">
        <v>17</v>
      </c>
      <c r="G4" s="739" t="s">
        <v>16</v>
      </c>
      <c r="H4" s="737" t="s">
        <v>15</v>
      </c>
      <c r="I4" s="739" t="s">
        <v>14</v>
      </c>
      <c r="J4" s="739" t="s">
        <v>13</v>
      </c>
      <c r="K4" s="737" t="s">
        <v>12</v>
      </c>
      <c r="L4" s="739" t="s">
        <v>11</v>
      </c>
      <c r="M4" s="744" t="s">
        <v>10</v>
      </c>
      <c r="N4" s="29"/>
      <c r="O4" s="737" t="s">
        <v>9</v>
      </c>
      <c r="P4" s="739" t="s">
        <v>8</v>
      </c>
      <c r="Q4" s="739" t="s">
        <v>7</v>
      </c>
      <c r="R4" s="739" t="s">
        <v>6</v>
      </c>
      <c r="S4" s="744" t="s">
        <v>5</v>
      </c>
      <c r="T4" s="29"/>
      <c r="U4" s="743"/>
    </row>
    <row r="5" spans="1:25" ht="15.75" thickBot="1">
      <c r="A5" s="750"/>
      <c r="B5" s="738"/>
      <c r="C5" s="740"/>
      <c r="D5" s="740"/>
      <c r="E5" s="738"/>
      <c r="F5" s="740"/>
      <c r="G5" s="740"/>
      <c r="H5" s="738"/>
      <c r="I5" s="740"/>
      <c r="J5" s="740"/>
      <c r="K5" s="738"/>
      <c r="L5" s="740"/>
      <c r="M5" s="745"/>
      <c r="N5" s="29"/>
      <c r="O5" s="747"/>
      <c r="P5" s="732"/>
      <c r="Q5" s="732"/>
      <c r="R5" s="732"/>
      <c r="S5" s="742"/>
      <c r="T5" s="29"/>
      <c r="U5" s="743"/>
    </row>
    <row r="6" spans="1:25">
      <c r="A6" s="27" t="s">
        <v>77</v>
      </c>
      <c r="B6" s="109">
        <v>45</v>
      </c>
      <c r="C6" s="285">
        <v>40</v>
      </c>
      <c r="D6" s="286">
        <v>45</v>
      </c>
      <c r="E6" s="109">
        <v>40</v>
      </c>
      <c r="F6" s="109">
        <v>45</v>
      </c>
      <c r="G6" s="286">
        <v>45</v>
      </c>
      <c r="H6" s="109">
        <v>40</v>
      </c>
      <c r="I6" s="635">
        <v>40</v>
      </c>
      <c r="J6" s="286">
        <v>40</v>
      </c>
      <c r="K6" s="109">
        <v>45</v>
      </c>
      <c r="L6" s="285">
        <v>35</v>
      </c>
      <c r="M6" s="286">
        <v>40</v>
      </c>
      <c r="N6" s="14"/>
      <c r="O6" s="105">
        <f t="shared" ref="O6:O11" si="0">SUM(B6:D6)</f>
        <v>130</v>
      </c>
      <c r="P6" s="104">
        <f t="shared" ref="P6:P11" si="1">SUM(E6:G6)</f>
        <v>130</v>
      </c>
      <c r="Q6" s="104">
        <f t="shared" ref="Q6:Q11" si="2">SUM(H6:J6)</f>
        <v>120</v>
      </c>
      <c r="R6" s="104">
        <f t="shared" ref="R6:R11" si="3">SUM(K6:M6)</f>
        <v>120</v>
      </c>
      <c r="S6" s="148">
        <f t="shared" ref="S6:S14" si="4">SUM(O6:R6)</f>
        <v>500</v>
      </c>
      <c r="T6" s="14"/>
      <c r="U6" s="657"/>
      <c r="W6" s="154"/>
      <c r="X6" s="94"/>
      <c r="Y6" s="94"/>
    </row>
    <row r="7" spans="1:25">
      <c r="A7" s="27" t="s">
        <v>80</v>
      </c>
      <c r="B7" s="645">
        <v>45</v>
      </c>
      <c r="C7" s="248">
        <v>40</v>
      </c>
      <c r="D7" s="287">
        <v>45</v>
      </c>
      <c r="E7" s="645">
        <v>45</v>
      </c>
      <c r="F7" s="645">
        <v>45</v>
      </c>
      <c r="G7" s="287">
        <v>45</v>
      </c>
      <c r="H7" s="645">
        <v>40</v>
      </c>
      <c r="I7" s="302">
        <v>35</v>
      </c>
      <c r="J7" s="287">
        <v>45</v>
      </c>
      <c r="K7" s="645">
        <v>50</v>
      </c>
      <c r="L7" s="248">
        <v>45</v>
      </c>
      <c r="M7" s="287">
        <v>50</v>
      </c>
      <c r="N7" s="14"/>
      <c r="O7" s="19">
        <f t="shared" si="0"/>
        <v>130</v>
      </c>
      <c r="P7" s="18">
        <f t="shared" si="1"/>
        <v>135</v>
      </c>
      <c r="Q7" s="18">
        <f t="shared" si="2"/>
        <v>120</v>
      </c>
      <c r="R7" s="18">
        <f t="shared" si="3"/>
        <v>145</v>
      </c>
      <c r="S7" s="25">
        <f t="shared" si="4"/>
        <v>530</v>
      </c>
      <c r="T7" s="14"/>
      <c r="U7" s="657"/>
      <c r="W7" s="154"/>
      <c r="X7" s="94"/>
      <c r="Y7" s="94"/>
    </row>
    <row r="8" spans="1:25">
      <c r="A8" s="20" t="s">
        <v>76</v>
      </c>
      <c r="B8" s="645">
        <v>30</v>
      </c>
      <c r="C8" s="248">
        <v>25</v>
      </c>
      <c r="D8" s="287">
        <v>35</v>
      </c>
      <c r="E8" s="645">
        <v>35</v>
      </c>
      <c r="F8" s="645">
        <v>35</v>
      </c>
      <c r="G8" s="287">
        <v>25</v>
      </c>
      <c r="H8" s="645">
        <v>30</v>
      </c>
      <c r="I8" s="302">
        <v>25</v>
      </c>
      <c r="J8" s="287">
        <v>25</v>
      </c>
      <c r="K8" s="645">
        <v>35</v>
      </c>
      <c r="L8" s="248">
        <v>48</v>
      </c>
      <c r="M8" s="287">
        <v>35</v>
      </c>
      <c r="N8" s="14"/>
      <c r="O8" s="19">
        <f t="shared" si="0"/>
        <v>90</v>
      </c>
      <c r="P8" s="18">
        <f t="shared" si="1"/>
        <v>95</v>
      </c>
      <c r="Q8" s="18">
        <f t="shared" si="2"/>
        <v>80</v>
      </c>
      <c r="R8" s="18">
        <f t="shared" si="3"/>
        <v>118</v>
      </c>
      <c r="S8" s="25">
        <f t="shared" si="4"/>
        <v>383</v>
      </c>
      <c r="T8" s="14"/>
      <c r="U8" s="657"/>
      <c r="W8" s="154"/>
      <c r="X8" s="94"/>
      <c r="Y8" s="94"/>
    </row>
    <row r="9" spans="1:25">
      <c r="A9" s="27" t="s">
        <v>78</v>
      </c>
      <c r="B9" s="645">
        <v>35</v>
      </c>
      <c r="C9" s="248">
        <v>35</v>
      </c>
      <c r="D9" s="287">
        <v>40</v>
      </c>
      <c r="E9" s="645">
        <v>40</v>
      </c>
      <c r="F9" s="645">
        <v>45</v>
      </c>
      <c r="G9" s="287">
        <v>35</v>
      </c>
      <c r="H9" s="645">
        <v>30</v>
      </c>
      <c r="I9" s="302">
        <v>35</v>
      </c>
      <c r="J9" s="287">
        <v>35</v>
      </c>
      <c r="K9" s="645">
        <v>35</v>
      </c>
      <c r="L9" s="248">
        <v>38</v>
      </c>
      <c r="M9" s="287">
        <v>35</v>
      </c>
      <c r="N9" s="14"/>
      <c r="O9" s="19">
        <f t="shared" si="0"/>
        <v>110</v>
      </c>
      <c r="P9" s="18">
        <f t="shared" si="1"/>
        <v>120</v>
      </c>
      <c r="Q9" s="18">
        <f t="shared" si="2"/>
        <v>100</v>
      </c>
      <c r="R9" s="18">
        <f t="shared" si="3"/>
        <v>108</v>
      </c>
      <c r="S9" s="25">
        <f t="shared" si="4"/>
        <v>438</v>
      </c>
      <c r="T9" s="14"/>
      <c r="U9" s="657"/>
      <c r="W9" s="154"/>
      <c r="X9" s="94"/>
      <c r="Y9" s="94"/>
    </row>
    <row r="10" spans="1:25">
      <c r="A10" s="158" t="s">
        <v>75</v>
      </c>
      <c r="B10" s="645">
        <v>35</v>
      </c>
      <c r="C10" s="248">
        <v>30</v>
      </c>
      <c r="D10" s="287">
        <v>40</v>
      </c>
      <c r="E10" s="645">
        <v>35</v>
      </c>
      <c r="F10" s="248">
        <v>40</v>
      </c>
      <c r="G10" s="287">
        <v>35</v>
      </c>
      <c r="H10" s="645">
        <v>30</v>
      </c>
      <c r="I10" s="302">
        <v>25</v>
      </c>
      <c r="J10" s="287">
        <v>30</v>
      </c>
      <c r="K10" s="645">
        <v>25</v>
      </c>
      <c r="L10" s="248">
        <v>30</v>
      </c>
      <c r="M10" s="287">
        <v>35</v>
      </c>
      <c r="N10" s="14"/>
      <c r="O10" s="19">
        <f t="shared" si="0"/>
        <v>105</v>
      </c>
      <c r="P10" s="18">
        <f t="shared" si="1"/>
        <v>110</v>
      </c>
      <c r="Q10" s="18">
        <f t="shared" si="2"/>
        <v>85</v>
      </c>
      <c r="R10" s="18">
        <f t="shared" si="3"/>
        <v>90</v>
      </c>
      <c r="S10" s="25">
        <f t="shared" si="4"/>
        <v>390</v>
      </c>
      <c r="T10" s="14"/>
      <c r="U10" s="657"/>
      <c r="W10" s="154"/>
      <c r="X10" s="94"/>
      <c r="Y10" s="94"/>
    </row>
    <row r="11" spans="1:25">
      <c r="A11" s="13" t="s">
        <v>79</v>
      </c>
      <c r="B11" s="645">
        <v>25</v>
      </c>
      <c r="C11" s="248">
        <v>30</v>
      </c>
      <c r="D11" s="287">
        <v>30</v>
      </c>
      <c r="E11" s="645">
        <v>30</v>
      </c>
      <c r="F11" s="645">
        <v>30</v>
      </c>
      <c r="G11" s="287">
        <v>30</v>
      </c>
      <c r="H11" s="645">
        <v>35</v>
      </c>
      <c r="I11" s="302">
        <v>25</v>
      </c>
      <c r="J11" s="287">
        <v>25</v>
      </c>
      <c r="K11" s="645">
        <v>40</v>
      </c>
      <c r="L11" s="248">
        <v>25</v>
      </c>
      <c r="M11" s="287">
        <v>35</v>
      </c>
      <c r="N11" s="14"/>
      <c r="O11" s="19">
        <f t="shared" si="0"/>
        <v>85</v>
      </c>
      <c r="P11" s="18">
        <f t="shared" si="1"/>
        <v>90</v>
      </c>
      <c r="Q11" s="18">
        <f t="shared" si="2"/>
        <v>85</v>
      </c>
      <c r="R11" s="18">
        <f t="shared" si="3"/>
        <v>100</v>
      </c>
      <c r="S11" s="25">
        <f t="shared" si="4"/>
        <v>360</v>
      </c>
      <c r="T11" s="14"/>
      <c r="U11" s="657"/>
      <c r="W11" s="154"/>
      <c r="X11" s="94"/>
      <c r="Y11" s="94"/>
    </row>
    <row r="12" spans="1:25">
      <c r="A12" s="27" t="s">
        <v>147</v>
      </c>
      <c r="B12" s="645">
        <v>35</v>
      </c>
      <c r="C12" s="248">
        <v>30</v>
      </c>
      <c r="D12" s="287">
        <v>35</v>
      </c>
      <c r="E12" s="645">
        <v>35</v>
      </c>
      <c r="F12" s="645">
        <v>35</v>
      </c>
      <c r="G12" s="287">
        <v>35</v>
      </c>
      <c r="H12" s="645">
        <v>30</v>
      </c>
      <c r="I12" s="302">
        <v>30</v>
      </c>
      <c r="J12" s="287">
        <v>25</v>
      </c>
      <c r="K12" s="645">
        <v>35</v>
      </c>
      <c r="L12" s="248">
        <v>25</v>
      </c>
      <c r="M12" s="287">
        <v>40</v>
      </c>
      <c r="N12" s="14"/>
      <c r="O12" s="19">
        <f>SUM(B12:D12)</f>
        <v>100</v>
      </c>
      <c r="P12" s="18">
        <f>SUM(E12:G12)</f>
        <v>105</v>
      </c>
      <c r="Q12" s="18">
        <f>SUM(H12:J12)</f>
        <v>85</v>
      </c>
      <c r="R12" s="18">
        <f>SUM(K12:M12)</f>
        <v>100</v>
      </c>
      <c r="S12" s="25">
        <f t="shared" si="4"/>
        <v>390</v>
      </c>
      <c r="T12" s="14"/>
      <c r="U12" s="657"/>
      <c r="W12" s="154"/>
      <c r="X12" s="155"/>
      <c r="Y12" s="94"/>
    </row>
    <row r="13" spans="1:25">
      <c r="A13" s="27" t="s">
        <v>167</v>
      </c>
      <c r="B13" s="645">
        <v>25</v>
      </c>
      <c r="C13" s="248">
        <v>30</v>
      </c>
      <c r="D13" s="287">
        <v>30</v>
      </c>
      <c r="E13" s="645">
        <v>30</v>
      </c>
      <c r="F13" s="645">
        <v>35</v>
      </c>
      <c r="G13" s="287">
        <v>30</v>
      </c>
      <c r="H13" s="645">
        <v>30</v>
      </c>
      <c r="I13" s="302">
        <v>25</v>
      </c>
      <c r="J13" s="287">
        <v>20</v>
      </c>
      <c r="K13" s="645">
        <v>30</v>
      </c>
      <c r="L13" s="248">
        <v>25</v>
      </c>
      <c r="M13" s="287">
        <v>35</v>
      </c>
      <c r="N13" s="14"/>
      <c r="O13" s="19">
        <f>SUM(B13:D13)</f>
        <v>85</v>
      </c>
      <c r="P13" s="18">
        <f>SUM(E13:G13)</f>
        <v>95</v>
      </c>
      <c r="Q13" s="18">
        <f>SUM(H13:J13)</f>
        <v>75</v>
      </c>
      <c r="R13" s="18">
        <f>SUM(K13:M13)</f>
        <v>90</v>
      </c>
      <c r="S13" s="25">
        <f t="shared" si="4"/>
        <v>345</v>
      </c>
      <c r="T13" s="14"/>
      <c r="U13" s="657"/>
    </row>
    <row r="14" spans="1:25">
      <c r="A14" s="27" t="s">
        <v>218</v>
      </c>
      <c r="B14" s="645">
        <v>0</v>
      </c>
      <c r="C14" s="248">
        <v>0</v>
      </c>
      <c r="D14" s="287">
        <v>15</v>
      </c>
      <c r="E14" s="645">
        <v>18</v>
      </c>
      <c r="F14" s="645">
        <v>20</v>
      </c>
      <c r="G14" s="287">
        <v>20</v>
      </c>
      <c r="H14" s="645">
        <v>20</v>
      </c>
      <c r="I14" s="302">
        <v>20</v>
      </c>
      <c r="J14" s="287">
        <v>17</v>
      </c>
      <c r="K14" s="645">
        <v>20</v>
      </c>
      <c r="L14" s="248">
        <v>25</v>
      </c>
      <c r="M14" s="287">
        <v>25</v>
      </c>
      <c r="N14" s="14"/>
      <c r="O14" s="19">
        <f>SUM(B14:D14)</f>
        <v>15</v>
      </c>
      <c r="P14" s="18">
        <f>SUM(E14:G14)</f>
        <v>58</v>
      </c>
      <c r="Q14" s="18">
        <f>SUM(H14:J14)</f>
        <v>57</v>
      </c>
      <c r="R14" s="18">
        <f>SUM(K14:M14)</f>
        <v>70</v>
      </c>
      <c r="S14" s="25">
        <f t="shared" si="4"/>
        <v>200</v>
      </c>
      <c r="T14" s="14"/>
      <c r="U14" s="657"/>
    </row>
    <row r="15" spans="1:25">
      <c r="A15" s="27"/>
      <c r="B15" s="26"/>
      <c r="C15" s="18"/>
      <c r="D15" s="18"/>
      <c r="E15" s="19"/>
      <c r="F15" s="18"/>
      <c r="G15" s="18"/>
      <c r="H15" s="19"/>
      <c r="I15" s="18"/>
      <c r="J15" s="18"/>
      <c r="K15" s="103"/>
      <c r="L15" s="102"/>
      <c r="M15" s="126"/>
      <c r="N15" s="14"/>
      <c r="O15" s="19"/>
      <c r="P15" s="18"/>
      <c r="Q15" s="18"/>
      <c r="R15" s="18"/>
      <c r="S15" s="25"/>
      <c r="T15" s="14"/>
      <c r="U15" s="657"/>
    </row>
    <row r="16" spans="1:25">
      <c r="A16" s="13"/>
      <c r="B16" s="19"/>
      <c r="C16" s="18"/>
      <c r="D16" s="18"/>
      <c r="E16" s="19"/>
      <c r="F16" s="18"/>
      <c r="G16" s="18"/>
      <c r="H16" s="19"/>
      <c r="I16" s="18"/>
      <c r="J16" s="18"/>
      <c r="K16" s="103"/>
      <c r="L16" s="102"/>
      <c r="M16" s="126"/>
      <c r="N16" s="14"/>
      <c r="O16" s="19"/>
      <c r="P16" s="18"/>
      <c r="Q16" s="18"/>
      <c r="R16" s="18"/>
      <c r="S16" s="25"/>
      <c r="T16" s="14"/>
      <c r="U16" s="657"/>
    </row>
    <row r="17" spans="1:21">
      <c r="A17" s="24"/>
      <c r="B17" s="23"/>
      <c r="C17" s="22"/>
      <c r="D17" s="22"/>
      <c r="E17" s="19"/>
      <c r="F17" s="18"/>
      <c r="G17" s="18"/>
      <c r="H17" s="19"/>
      <c r="I17" s="18"/>
      <c r="J17" s="18"/>
      <c r="K17" s="103"/>
      <c r="L17" s="102"/>
      <c r="M17" s="126"/>
      <c r="N17" s="14"/>
      <c r="O17" s="19"/>
      <c r="P17" s="18"/>
      <c r="Q17" s="18"/>
      <c r="R17" s="18"/>
      <c r="S17" s="21"/>
      <c r="T17" s="14"/>
      <c r="U17" s="657"/>
    </row>
    <row r="18" spans="1:21">
      <c r="A18" s="13"/>
      <c r="B18" s="19"/>
      <c r="C18" s="18"/>
      <c r="D18" s="18"/>
      <c r="E18" s="19"/>
      <c r="F18" s="18"/>
      <c r="G18" s="18"/>
      <c r="H18" s="19"/>
      <c r="I18" s="18"/>
      <c r="J18" s="18"/>
      <c r="K18" s="103"/>
      <c r="L18" s="102"/>
      <c r="M18" s="126"/>
      <c r="N18" s="14"/>
      <c r="O18" s="19"/>
      <c r="P18" s="18"/>
      <c r="Q18" s="18"/>
      <c r="R18" s="18"/>
      <c r="S18" s="21"/>
      <c r="T18" s="14"/>
      <c r="U18" s="657"/>
    </row>
    <row r="19" spans="1:21">
      <c r="A19" s="13"/>
      <c r="B19" s="19"/>
      <c r="C19" s="18"/>
      <c r="D19" s="18"/>
      <c r="E19" s="19"/>
      <c r="F19" s="18"/>
      <c r="G19" s="18"/>
      <c r="H19" s="19"/>
      <c r="I19" s="18"/>
      <c r="J19" s="18"/>
      <c r="K19" s="103"/>
      <c r="L19" s="102"/>
      <c r="M19" s="126"/>
      <c r="N19" s="14"/>
      <c r="O19" s="19"/>
      <c r="P19" s="18"/>
      <c r="Q19" s="18"/>
      <c r="R19" s="18"/>
      <c r="S19" s="21"/>
      <c r="T19" s="14"/>
      <c r="U19" s="657"/>
    </row>
    <row r="20" spans="1:21" ht="15.75" thickBot="1">
      <c r="A20" s="20"/>
      <c r="B20" s="17"/>
      <c r="C20" s="16"/>
      <c r="D20" s="16"/>
      <c r="E20" s="101"/>
      <c r="F20" s="100"/>
      <c r="G20" s="100"/>
      <c r="H20" s="17"/>
      <c r="I20" s="16"/>
      <c r="J20" s="16"/>
      <c r="K20" s="101"/>
      <c r="L20" s="100"/>
      <c r="M20" s="152"/>
      <c r="N20" s="14"/>
      <c r="O20" s="68"/>
      <c r="P20" s="69"/>
      <c r="Q20" s="69"/>
      <c r="R20" s="69"/>
      <c r="S20" s="15"/>
      <c r="T20" s="14"/>
      <c r="U20" s="657"/>
    </row>
    <row r="21" spans="1:21" s="1" customFormat="1">
      <c r="A21" s="35" t="s">
        <v>3</v>
      </c>
      <c r="B21" s="36">
        <f t="shared" ref="B21:M21" si="5">SUM(B6:B20)</f>
        <v>275</v>
      </c>
      <c r="C21" s="37">
        <f t="shared" si="5"/>
        <v>260</v>
      </c>
      <c r="D21" s="37">
        <f t="shared" si="5"/>
        <v>315</v>
      </c>
      <c r="E21" s="159">
        <f t="shared" si="5"/>
        <v>308</v>
      </c>
      <c r="F21" s="160">
        <f t="shared" si="5"/>
        <v>330</v>
      </c>
      <c r="G21" s="153">
        <f t="shared" si="5"/>
        <v>300</v>
      </c>
      <c r="H21" s="36">
        <f t="shared" si="5"/>
        <v>285</v>
      </c>
      <c r="I21" s="37">
        <f t="shared" si="5"/>
        <v>260</v>
      </c>
      <c r="J21" s="37">
        <f t="shared" si="5"/>
        <v>262</v>
      </c>
      <c r="K21" s="110">
        <f t="shared" si="5"/>
        <v>315</v>
      </c>
      <c r="L21" s="111">
        <f t="shared" si="5"/>
        <v>296</v>
      </c>
      <c r="M21" s="113">
        <f t="shared" si="5"/>
        <v>330</v>
      </c>
      <c r="N21" s="12"/>
      <c r="O21" s="66">
        <f>SUM(B21:D21)</f>
        <v>850</v>
      </c>
      <c r="P21" s="67">
        <f>SUM(E21:G21)</f>
        <v>938</v>
      </c>
      <c r="Q21" s="67">
        <f>SUM(H21:J21)</f>
        <v>807</v>
      </c>
      <c r="R21" s="67">
        <f>SUM(K21:M21)</f>
        <v>941</v>
      </c>
      <c r="S21" s="39">
        <f>SUM(O21:R21)</f>
        <v>3536</v>
      </c>
      <c r="T21" s="11"/>
      <c r="U21" s="657"/>
    </row>
    <row r="22" spans="1:21" s="1" customFormat="1">
      <c r="A22" s="161" t="s">
        <v>39</v>
      </c>
      <c r="B22" s="165">
        <v>271</v>
      </c>
      <c r="C22" s="38">
        <v>257</v>
      </c>
      <c r="D22" s="161">
        <v>311</v>
      </c>
      <c r="E22" s="165">
        <v>306</v>
      </c>
      <c r="F22" s="38">
        <v>326</v>
      </c>
      <c r="G22" s="161">
        <v>296</v>
      </c>
      <c r="H22" s="165">
        <v>282</v>
      </c>
      <c r="I22" s="38">
        <v>256</v>
      </c>
      <c r="J22" s="161">
        <v>258</v>
      </c>
      <c r="K22" s="165">
        <v>311</v>
      </c>
      <c r="L22" s="112">
        <v>296</v>
      </c>
      <c r="M22" s="106">
        <v>326</v>
      </c>
      <c r="N22" s="12"/>
      <c r="O22" s="91">
        <f>SUM(B22:D22)</f>
        <v>839</v>
      </c>
      <c r="P22" s="87">
        <f>SUM(E22:G22)</f>
        <v>928</v>
      </c>
      <c r="Q22" s="87">
        <f>SUM(H22:J22)</f>
        <v>796</v>
      </c>
      <c r="R22" s="87">
        <f>SUM(K22:M22)</f>
        <v>933</v>
      </c>
      <c r="S22" s="25">
        <f>SUM(O22:R22)</f>
        <v>3496</v>
      </c>
      <c r="T22" s="11"/>
      <c r="U22" s="33"/>
    </row>
    <row r="23" spans="1:21">
      <c r="O23" s="10">
        <f>O21/S21</f>
        <v>0.24038461538461539</v>
      </c>
      <c r="P23" s="10">
        <f>P21/S21</f>
        <v>0.26527149321266968</v>
      </c>
      <c r="Q23" s="10">
        <f>Q21/S21</f>
        <v>0.22822398190045248</v>
      </c>
      <c r="R23" s="10">
        <f>R21/S21</f>
        <v>0.26611990950226244</v>
      </c>
      <c r="S23" s="9">
        <f>SUM(O23:R23)</f>
        <v>1</v>
      </c>
      <c r="T23" s="8"/>
      <c r="U23" s="7">
        <f>S23</f>
        <v>1</v>
      </c>
    </row>
    <row r="24" spans="1:21">
      <c r="E24" s="6"/>
      <c r="F24" s="6"/>
      <c r="G24" s="6"/>
      <c r="H24" s="6"/>
      <c r="I24" s="6"/>
      <c r="J24" s="6"/>
      <c r="K24" s="6"/>
      <c r="L24" s="6"/>
      <c r="M24" s="6"/>
      <c r="O24" s="82">
        <f>O22/S22</f>
        <v>0.23998855835240274</v>
      </c>
      <c r="P24" s="82">
        <f>P22/S22</f>
        <v>0.26544622425629288</v>
      </c>
      <c r="Q24" s="82">
        <f>Q22/S22</f>
        <v>0.22768878718535468</v>
      </c>
      <c r="R24" s="82">
        <f>R22/S22</f>
        <v>0.26687643020594964</v>
      </c>
      <c r="S24" s="5">
        <f>SUM(O24:R24)</f>
        <v>0.99999999999999989</v>
      </c>
      <c r="U24" s="4"/>
    </row>
    <row r="25" spans="1:21" s="1" customFormat="1">
      <c r="B25" s="1" t="s">
        <v>146</v>
      </c>
      <c r="G25" s="559"/>
      <c r="H25" s="559"/>
      <c r="I25" s="559"/>
    </row>
    <row r="26" spans="1:21" s="1" customFormat="1">
      <c r="G26" s="559"/>
      <c r="H26" s="559"/>
      <c r="I26" s="559"/>
    </row>
    <row r="27" spans="1:21" s="1" customFormat="1">
      <c r="B27" s="3"/>
      <c r="C27" s="3"/>
      <c r="D27" s="3"/>
      <c r="G27" s="559"/>
      <c r="H27" s="559"/>
      <c r="I27" s="559"/>
    </row>
    <row r="28" spans="1:21" s="1" customFormat="1">
      <c r="B28" s="2" t="s">
        <v>27</v>
      </c>
      <c r="G28" s="559"/>
      <c r="H28" s="559"/>
      <c r="I28" s="559"/>
    </row>
    <row r="29" spans="1:21" s="1" customFormat="1">
      <c r="B29" s="1" t="s">
        <v>222</v>
      </c>
      <c r="G29" s="559"/>
      <c r="H29" s="559"/>
      <c r="I29" s="559"/>
    </row>
    <row r="30" spans="1:21">
      <c r="G30" s="149"/>
      <c r="H30" s="149"/>
      <c r="I30" s="149"/>
    </row>
  </sheetData>
  <mergeCells count="25">
    <mergeCell ref="P4:P5"/>
    <mergeCell ref="Q4:Q5"/>
    <mergeCell ref="R4:R5"/>
    <mergeCell ref="S4:S5"/>
    <mergeCell ref="G4:G5"/>
    <mergeCell ref="H4:H5"/>
    <mergeCell ref="I4:I5"/>
    <mergeCell ref="J4:J5"/>
    <mergeCell ref="O4:O5"/>
    <mergeCell ref="A1:U1"/>
    <mergeCell ref="A3:A5"/>
    <mergeCell ref="B3:D3"/>
    <mergeCell ref="E3:G3"/>
    <mergeCell ref="H3:J3"/>
    <mergeCell ref="K3:M3"/>
    <mergeCell ref="K4:K5"/>
    <mergeCell ref="L4:L5"/>
    <mergeCell ref="M4:M5"/>
    <mergeCell ref="U4:U5"/>
    <mergeCell ref="O3:S3"/>
    <mergeCell ref="B4:B5"/>
    <mergeCell ref="C4:C5"/>
    <mergeCell ref="D4:D5"/>
    <mergeCell ref="E4:E5"/>
    <mergeCell ref="F4:F5"/>
  </mergeCells>
  <pageMargins left="0.25" right="0.25" top="0.75" bottom="0.75" header="0.3" footer="0.3"/>
  <pageSetup paperSize="768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Views>
    <sheetView zoomScaleNormal="100" workbookViewId="0">
      <pane xSplit="1" ySplit="5" topLeftCell="B6" activePane="bottomRight" state="frozen"/>
      <selection pane="topRight"/>
      <selection pane="bottomLeft"/>
      <selection pane="bottomRight" activeCell="B29" sqref="B29"/>
    </sheetView>
  </sheetViews>
  <sheetFormatPr defaultRowHeight="15"/>
  <cols>
    <col min="1" max="1" width="35.7109375" bestFit="1" customWidth="1"/>
    <col min="2" max="13" width="6.28515625" customWidth="1"/>
    <col min="14" max="14" width="1.42578125" customWidth="1"/>
    <col min="15" max="19" width="6.28515625" customWidth="1"/>
    <col min="20" max="20" width="1.42578125" customWidth="1"/>
    <col min="21" max="21" width="8.140625" customWidth="1"/>
  </cols>
  <sheetData>
    <row r="1" spans="1:21" ht="23.25">
      <c r="A1" s="733" t="s">
        <v>200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</row>
    <row r="2" spans="1:21" ht="15.75" thickBot="1"/>
    <row r="3" spans="1:21">
      <c r="A3" s="748" t="s">
        <v>26</v>
      </c>
      <c r="B3" s="751" t="s">
        <v>25</v>
      </c>
      <c r="C3" s="752"/>
      <c r="D3" s="752"/>
      <c r="E3" s="753" t="s">
        <v>24</v>
      </c>
      <c r="F3" s="754"/>
      <c r="G3" s="754"/>
      <c r="H3" s="753" t="s">
        <v>23</v>
      </c>
      <c r="I3" s="754"/>
      <c r="J3" s="754"/>
      <c r="K3" s="751" t="s">
        <v>22</v>
      </c>
      <c r="L3" s="752"/>
      <c r="M3" s="755"/>
      <c r="N3" s="30"/>
      <c r="O3" s="751" t="s">
        <v>4</v>
      </c>
      <c r="P3" s="752"/>
      <c r="Q3" s="752"/>
      <c r="R3" s="752"/>
      <c r="S3" s="755"/>
      <c r="T3" s="30"/>
      <c r="U3" s="658"/>
    </row>
    <row r="4" spans="1:21">
      <c r="A4" s="749"/>
      <c r="B4" s="737" t="s">
        <v>21</v>
      </c>
      <c r="C4" s="739" t="s">
        <v>20</v>
      </c>
      <c r="D4" s="739" t="s">
        <v>19</v>
      </c>
      <c r="E4" s="737" t="s">
        <v>18</v>
      </c>
      <c r="F4" s="739" t="s">
        <v>17</v>
      </c>
      <c r="G4" s="739" t="s">
        <v>16</v>
      </c>
      <c r="H4" s="737" t="s">
        <v>15</v>
      </c>
      <c r="I4" s="739" t="s">
        <v>14</v>
      </c>
      <c r="J4" s="739" t="s">
        <v>13</v>
      </c>
      <c r="K4" s="737" t="s">
        <v>12</v>
      </c>
      <c r="L4" s="739" t="s">
        <v>11</v>
      </c>
      <c r="M4" s="744" t="s">
        <v>10</v>
      </c>
      <c r="N4" s="29"/>
      <c r="O4" s="737" t="s">
        <v>9</v>
      </c>
      <c r="P4" s="739" t="s">
        <v>8</v>
      </c>
      <c r="Q4" s="739" t="s">
        <v>7</v>
      </c>
      <c r="R4" s="739" t="s">
        <v>6</v>
      </c>
      <c r="S4" s="744" t="s">
        <v>5</v>
      </c>
      <c r="T4" s="29"/>
      <c r="U4" s="743"/>
    </row>
    <row r="5" spans="1:21" ht="15.75" thickBot="1">
      <c r="A5" s="750"/>
      <c r="B5" s="738"/>
      <c r="C5" s="740"/>
      <c r="D5" s="740"/>
      <c r="E5" s="738"/>
      <c r="F5" s="740"/>
      <c r="G5" s="740"/>
      <c r="H5" s="738"/>
      <c r="I5" s="740"/>
      <c r="J5" s="740"/>
      <c r="K5" s="738"/>
      <c r="L5" s="740"/>
      <c r="M5" s="745"/>
      <c r="N5" s="29"/>
      <c r="O5" s="747"/>
      <c r="P5" s="732"/>
      <c r="Q5" s="732"/>
      <c r="R5" s="732"/>
      <c r="S5" s="742"/>
      <c r="T5" s="29"/>
      <c r="U5" s="743"/>
    </row>
    <row r="6" spans="1:21">
      <c r="A6" s="156" t="s">
        <v>84</v>
      </c>
      <c r="B6" s="650">
        <v>75</v>
      </c>
      <c r="C6" s="635">
        <v>67</v>
      </c>
      <c r="D6" s="286">
        <v>70</v>
      </c>
      <c r="E6" s="650">
        <v>63</v>
      </c>
      <c r="F6" s="635">
        <v>75</v>
      </c>
      <c r="G6" s="286">
        <v>65</v>
      </c>
      <c r="H6" s="650">
        <v>70</v>
      </c>
      <c r="I6" s="635">
        <v>65</v>
      </c>
      <c r="J6" s="286">
        <v>65</v>
      </c>
      <c r="K6" s="650">
        <v>70</v>
      </c>
      <c r="L6" s="635">
        <v>71</v>
      </c>
      <c r="M6" s="286">
        <v>80</v>
      </c>
      <c r="N6" s="14">
        <v>336</v>
      </c>
      <c r="O6" s="105">
        <f>SUM(B6:D6)</f>
        <v>212</v>
      </c>
      <c r="P6" s="104">
        <f>SUM(E6:G6)</f>
        <v>203</v>
      </c>
      <c r="Q6" s="104">
        <f>SUM(H6:J6)</f>
        <v>200</v>
      </c>
      <c r="R6" s="104">
        <f>SUM(K6:M6)</f>
        <v>221</v>
      </c>
      <c r="S6" s="148">
        <f>SUM(O6:R6)</f>
        <v>836</v>
      </c>
      <c r="T6" s="14"/>
      <c r="U6" s="657"/>
    </row>
    <row r="7" spans="1:21">
      <c r="A7" s="157" t="s">
        <v>83</v>
      </c>
      <c r="B7" s="645">
        <v>60</v>
      </c>
      <c r="C7" s="302">
        <v>52</v>
      </c>
      <c r="D7" s="287">
        <v>55</v>
      </c>
      <c r="E7" s="645">
        <v>50</v>
      </c>
      <c r="F7" s="302">
        <v>55</v>
      </c>
      <c r="G7" s="287">
        <v>55</v>
      </c>
      <c r="H7" s="645">
        <v>53</v>
      </c>
      <c r="I7" s="302">
        <v>55</v>
      </c>
      <c r="J7" s="287">
        <v>50</v>
      </c>
      <c r="K7" s="645">
        <v>58</v>
      </c>
      <c r="L7" s="302">
        <v>53</v>
      </c>
      <c r="M7" s="287">
        <v>55</v>
      </c>
      <c r="N7" s="14">
        <v>159</v>
      </c>
      <c r="O7" s="19">
        <f t="shared" ref="O7:O14" si="0">SUM(B7:D7)</f>
        <v>167</v>
      </c>
      <c r="P7" s="18">
        <f t="shared" ref="P7:P14" si="1">SUM(E7:G7)</f>
        <v>160</v>
      </c>
      <c r="Q7" s="18">
        <f t="shared" ref="Q7:Q14" si="2">SUM(H7:J7)</f>
        <v>158</v>
      </c>
      <c r="R7" s="18">
        <f t="shared" ref="R7:R14" si="3">SUM(K7:M7)</f>
        <v>166</v>
      </c>
      <c r="S7" s="25">
        <f t="shared" ref="S7:S14" si="4">SUM(O7:R7)</f>
        <v>651</v>
      </c>
      <c r="T7" s="14"/>
      <c r="U7" s="657"/>
    </row>
    <row r="8" spans="1:21">
      <c r="A8" s="157" t="s">
        <v>87</v>
      </c>
      <c r="B8" s="646">
        <v>63</v>
      </c>
      <c r="C8" s="288">
        <v>60</v>
      </c>
      <c r="D8" s="470">
        <v>60</v>
      </c>
      <c r="E8" s="646">
        <v>57</v>
      </c>
      <c r="F8" s="288">
        <v>60</v>
      </c>
      <c r="G8" s="470">
        <v>57</v>
      </c>
      <c r="H8" s="646">
        <v>55</v>
      </c>
      <c r="I8" s="288">
        <v>55</v>
      </c>
      <c r="J8" s="470">
        <v>58</v>
      </c>
      <c r="K8" s="639">
        <v>58</v>
      </c>
      <c r="L8" s="288">
        <v>55</v>
      </c>
      <c r="M8" s="470">
        <v>65</v>
      </c>
      <c r="N8" s="14">
        <v>552</v>
      </c>
      <c r="O8" s="19">
        <f t="shared" si="0"/>
        <v>183</v>
      </c>
      <c r="P8" s="18">
        <f t="shared" si="1"/>
        <v>174</v>
      </c>
      <c r="Q8" s="18">
        <f t="shared" si="2"/>
        <v>168</v>
      </c>
      <c r="R8" s="18">
        <f t="shared" si="3"/>
        <v>178</v>
      </c>
      <c r="S8" s="25">
        <f t="shared" si="4"/>
        <v>703</v>
      </c>
      <c r="T8" s="14"/>
      <c r="U8" s="657"/>
    </row>
    <row r="9" spans="1:21">
      <c r="A9" s="157" t="s">
        <v>81</v>
      </c>
      <c r="B9" s="621">
        <v>40</v>
      </c>
      <c r="C9" s="248">
        <v>37</v>
      </c>
      <c r="D9" s="287">
        <v>40</v>
      </c>
      <c r="E9" s="302">
        <v>38</v>
      </c>
      <c r="F9" s="248">
        <v>46</v>
      </c>
      <c r="G9" s="287">
        <v>38</v>
      </c>
      <c r="H9" s="302">
        <v>38</v>
      </c>
      <c r="I9" s="248">
        <v>38</v>
      </c>
      <c r="J9" s="287">
        <v>35</v>
      </c>
      <c r="K9" s="302">
        <v>42</v>
      </c>
      <c r="L9" s="248">
        <v>43</v>
      </c>
      <c r="M9" s="287">
        <v>50</v>
      </c>
      <c r="N9" s="14">
        <v>611</v>
      </c>
      <c r="O9" s="19">
        <f t="shared" si="0"/>
        <v>117</v>
      </c>
      <c r="P9" s="18">
        <f t="shared" si="1"/>
        <v>122</v>
      </c>
      <c r="Q9" s="18">
        <f t="shared" si="2"/>
        <v>111</v>
      </c>
      <c r="R9" s="18">
        <f t="shared" si="3"/>
        <v>135</v>
      </c>
      <c r="S9" s="25">
        <f t="shared" si="4"/>
        <v>485</v>
      </c>
      <c r="T9" s="14"/>
      <c r="U9" s="657"/>
    </row>
    <row r="10" spans="1:21">
      <c r="A10" s="157" t="s">
        <v>85</v>
      </c>
      <c r="B10" s="645">
        <v>52</v>
      </c>
      <c r="C10" s="302">
        <v>45</v>
      </c>
      <c r="D10" s="287">
        <v>46</v>
      </c>
      <c r="E10" s="645">
        <v>43</v>
      </c>
      <c r="F10" s="302">
        <v>60</v>
      </c>
      <c r="G10" s="287">
        <v>48</v>
      </c>
      <c r="H10" s="645">
        <v>50</v>
      </c>
      <c r="I10" s="302">
        <v>52</v>
      </c>
      <c r="J10" s="287">
        <v>45</v>
      </c>
      <c r="K10" s="645">
        <v>50</v>
      </c>
      <c r="L10" s="302">
        <v>50</v>
      </c>
      <c r="M10" s="287">
        <v>64</v>
      </c>
      <c r="N10" s="14">
        <v>325</v>
      </c>
      <c r="O10" s="19">
        <f t="shared" si="0"/>
        <v>143</v>
      </c>
      <c r="P10" s="18">
        <f t="shared" si="1"/>
        <v>151</v>
      </c>
      <c r="Q10" s="18">
        <f t="shared" si="2"/>
        <v>147</v>
      </c>
      <c r="R10" s="18">
        <f t="shared" si="3"/>
        <v>164</v>
      </c>
      <c r="S10" s="25">
        <f t="shared" si="4"/>
        <v>605</v>
      </c>
      <c r="T10" s="14"/>
      <c r="U10" s="657"/>
    </row>
    <row r="11" spans="1:21">
      <c r="A11" s="157" t="s">
        <v>151</v>
      </c>
      <c r="B11" s="601">
        <v>38</v>
      </c>
      <c r="C11" s="600">
        <v>35</v>
      </c>
      <c r="D11" s="460">
        <v>37</v>
      </c>
      <c r="E11" s="601">
        <v>36</v>
      </c>
      <c r="F11" s="600">
        <v>42</v>
      </c>
      <c r="G11" s="460">
        <v>38</v>
      </c>
      <c r="H11" s="601">
        <v>36</v>
      </c>
      <c r="I11" s="600">
        <v>36</v>
      </c>
      <c r="J11" s="460">
        <v>36</v>
      </c>
      <c r="K11" s="639">
        <v>38</v>
      </c>
      <c r="L11" s="458">
        <v>38</v>
      </c>
      <c r="M11" s="460">
        <v>40</v>
      </c>
      <c r="N11" s="14">
        <v>240</v>
      </c>
      <c r="O11" s="19">
        <f t="shared" si="0"/>
        <v>110</v>
      </c>
      <c r="P11" s="18">
        <f t="shared" si="1"/>
        <v>116</v>
      </c>
      <c r="Q11" s="18">
        <f t="shared" si="2"/>
        <v>108</v>
      </c>
      <c r="R11" s="18">
        <f t="shared" si="3"/>
        <v>116</v>
      </c>
      <c r="S11" s="25">
        <f t="shared" si="4"/>
        <v>450</v>
      </c>
      <c r="T11" s="14"/>
      <c r="U11" s="657"/>
    </row>
    <row r="12" spans="1:21">
      <c r="A12" s="157" t="s">
        <v>86</v>
      </c>
      <c r="B12" s="639">
        <v>27</v>
      </c>
      <c r="C12" s="641">
        <v>25</v>
      </c>
      <c r="D12" s="642">
        <v>28</v>
      </c>
      <c r="E12" s="639">
        <v>26</v>
      </c>
      <c r="F12" s="641">
        <v>28</v>
      </c>
      <c r="G12" s="642">
        <v>28</v>
      </c>
      <c r="H12" s="639">
        <v>27</v>
      </c>
      <c r="I12" s="641">
        <v>27</v>
      </c>
      <c r="J12" s="642">
        <v>25</v>
      </c>
      <c r="K12" s="639">
        <v>28</v>
      </c>
      <c r="L12" s="641">
        <v>29</v>
      </c>
      <c r="M12" s="642">
        <v>30</v>
      </c>
      <c r="N12" s="14">
        <v>370</v>
      </c>
      <c r="O12" s="19">
        <f t="shared" si="0"/>
        <v>80</v>
      </c>
      <c r="P12" s="18">
        <f t="shared" si="1"/>
        <v>82</v>
      </c>
      <c r="Q12" s="18">
        <f t="shared" si="2"/>
        <v>79</v>
      </c>
      <c r="R12" s="18">
        <f t="shared" si="3"/>
        <v>87</v>
      </c>
      <c r="S12" s="25">
        <f t="shared" si="4"/>
        <v>328</v>
      </c>
      <c r="T12" s="14"/>
      <c r="U12" s="657"/>
    </row>
    <row r="13" spans="1:21">
      <c r="A13" s="157" t="s">
        <v>48</v>
      </c>
      <c r="B13" s="639">
        <v>35</v>
      </c>
      <c r="C13" s="640">
        <v>36</v>
      </c>
      <c r="D13" s="642">
        <v>40</v>
      </c>
      <c r="E13" s="639">
        <v>38</v>
      </c>
      <c r="F13" s="640">
        <v>40</v>
      </c>
      <c r="G13" s="642">
        <v>38</v>
      </c>
      <c r="H13" s="639">
        <v>38</v>
      </c>
      <c r="I13" s="640">
        <v>38</v>
      </c>
      <c r="J13" s="642">
        <v>35</v>
      </c>
      <c r="K13" s="639">
        <v>39</v>
      </c>
      <c r="L13" s="641">
        <v>40</v>
      </c>
      <c r="M13" s="642">
        <v>42</v>
      </c>
      <c r="N13" s="14">
        <v>263</v>
      </c>
      <c r="O13" s="19">
        <f t="shared" si="0"/>
        <v>111</v>
      </c>
      <c r="P13" s="18">
        <f t="shared" si="1"/>
        <v>116</v>
      </c>
      <c r="Q13" s="18">
        <f t="shared" si="2"/>
        <v>111</v>
      </c>
      <c r="R13" s="18">
        <f t="shared" si="3"/>
        <v>121</v>
      </c>
      <c r="S13" s="25">
        <f t="shared" si="4"/>
        <v>459</v>
      </c>
      <c r="T13" s="14"/>
      <c r="U13" s="657"/>
    </row>
    <row r="14" spans="1:21">
      <c r="A14" s="157" t="s">
        <v>82</v>
      </c>
      <c r="B14" s="645">
        <v>25</v>
      </c>
      <c r="C14" s="248">
        <v>23</v>
      </c>
      <c r="D14" s="287">
        <v>25</v>
      </c>
      <c r="E14" s="645">
        <v>24</v>
      </c>
      <c r="F14" s="248">
        <v>27</v>
      </c>
      <c r="G14" s="287">
        <v>30</v>
      </c>
      <c r="H14" s="645">
        <v>23</v>
      </c>
      <c r="I14" s="248">
        <v>25</v>
      </c>
      <c r="J14" s="287">
        <v>23</v>
      </c>
      <c r="K14" s="645">
        <v>25</v>
      </c>
      <c r="L14" s="248">
        <v>25</v>
      </c>
      <c r="M14" s="287">
        <v>26</v>
      </c>
      <c r="N14" s="14">
        <v>314</v>
      </c>
      <c r="O14" s="19">
        <f t="shared" si="0"/>
        <v>73</v>
      </c>
      <c r="P14" s="18">
        <f t="shared" si="1"/>
        <v>81</v>
      </c>
      <c r="Q14" s="18">
        <f t="shared" si="2"/>
        <v>71</v>
      </c>
      <c r="R14" s="18">
        <f t="shared" si="3"/>
        <v>76</v>
      </c>
      <c r="S14" s="25">
        <f t="shared" si="4"/>
        <v>301</v>
      </c>
      <c r="T14" s="14"/>
      <c r="U14" s="657"/>
    </row>
    <row r="15" spans="1:21">
      <c r="A15" s="157" t="s">
        <v>152</v>
      </c>
      <c r="B15" s="645">
        <v>30</v>
      </c>
      <c r="C15" s="302">
        <v>28</v>
      </c>
      <c r="D15" s="287">
        <v>30</v>
      </c>
      <c r="E15" s="645">
        <v>30</v>
      </c>
      <c r="F15" s="302">
        <v>35</v>
      </c>
      <c r="G15" s="287">
        <v>30</v>
      </c>
      <c r="H15" s="645">
        <v>26</v>
      </c>
      <c r="I15" s="302">
        <v>26</v>
      </c>
      <c r="J15" s="287">
        <v>25</v>
      </c>
      <c r="K15" s="645">
        <v>30</v>
      </c>
      <c r="L15" s="302">
        <v>33</v>
      </c>
      <c r="M15" s="287">
        <v>35</v>
      </c>
      <c r="N15" s="14"/>
      <c r="O15" s="103">
        <f t="shared" ref="O15:O21" si="5">SUM(B15:D15)</f>
        <v>88</v>
      </c>
      <c r="P15" s="102">
        <f t="shared" ref="P15:P21" si="6">SUM(E15:G15)</f>
        <v>95</v>
      </c>
      <c r="Q15" s="102">
        <f t="shared" ref="Q15:Q21" si="7">SUM(H15:J15)</f>
        <v>77</v>
      </c>
      <c r="R15" s="102">
        <f t="shared" ref="R15:R21" si="8">SUM(K15:M15)</f>
        <v>98</v>
      </c>
      <c r="S15" s="25">
        <f t="shared" ref="S15:S23" si="9">SUM(O15:R15)</f>
        <v>358</v>
      </c>
      <c r="T15" s="14"/>
      <c r="U15" s="657"/>
    </row>
    <row r="16" spans="1:21">
      <c r="A16" s="157" t="s">
        <v>153</v>
      </c>
      <c r="B16" s="639">
        <v>45</v>
      </c>
      <c r="C16" s="640">
        <v>40</v>
      </c>
      <c r="D16" s="642">
        <v>40</v>
      </c>
      <c r="E16" s="639">
        <v>40</v>
      </c>
      <c r="F16" s="640">
        <v>40</v>
      </c>
      <c r="G16" s="642">
        <v>40</v>
      </c>
      <c r="H16" s="639">
        <v>35</v>
      </c>
      <c r="I16" s="640">
        <v>35</v>
      </c>
      <c r="J16" s="642">
        <v>35</v>
      </c>
      <c r="K16" s="639">
        <v>40</v>
      </c>
      <c r="L16" s="640">
        <v>44</v>
      </c>
      <c r="M16" s="642">
        <v>50</v>
      </c>
      <c r="N16" s="14"/>
      <c r="O16" s="103">
        <f t="shared" si="5"/>
        <v>125</v>
      </c>
      <c r="P16" s="102">
        <f t="shared" si="6"/>
        <v>120</v>
      </c>
      <c r="Q16" s="102">
        <f t="shared" si="7"/>
        <v>105</v>
      </c>
      <c r="R16" s="102">
        <f t="shared" si="8"/>
        <v>134</v>
      </c>
      <c r="S16" s="25">
        <f t="shared" si="9"/>
        <v>484</v>
      </c>
      <c r="T16" s="14"/>
      <c r="U16" s="657"/>
    </row>
    <row r="17" spans="1:21">
      <c r="A17" s="173" t="s">
        <v>164</v>
      </c>
      <c r="B17" s="645">
        <v>45</v>
      </c>
      <c r="C17" s="302">
        <v>40</v>
      </c>
      <c r="D17" s="287">
        <v>40</v>
      </c>
      <c r="E17" s="645">
        <v>40</v>
      </c>
      <c r="F17" s="302">
        <v>45</v>
      </c>
      <c r="G17" s="287">
        <v>40</v>
      </c>
      <c r="H17" s="645">
        <v>42</v>
      </c>
      <c r="I17" s="302">
        <v>36</v>
      </c>
      <c r="J17" s="287">
        <v>42</v>
      </c>
      <c r="K17" s="645">
        <v>43</v>
      </c>
      <c r="L17" s="302">
        <v>46</v>
      </c>
      <c r="M17" s="287">
        <v>47</v>
      </c>
      <c r="N17" s="11"/>
      <c r="O17" s="639">
        <f t="shared" si="5"/>
        <v>125</v>
      </c>
      <c r="P17" s="640">
        <f t="shared" si="6"/>
        <v>125</v>
      </c>
      <c r="Q17" s="640">
        <f t="shared" si="7"/>
        <v>120</v>
      </c>
      <c r="R17" s="640">
        <f t="shared" si="8"/>
        <v>136</v>
      </c>
      <c r="S17" s="161">
        <f t="shared" si="9"/>
        <v>506</v>
      </c>
      <c r="T17" s="14"/>
      <c r="U17" s="657"/>
    </row>
    <row r="18" spans="1:21">
      <c r="A18" s="173" t="s">
        <v>179</v>
      </c>
      <c r="B18" s="645">
        <v>30</v>
      </c>
      <c r="C18" s="302">
        <v>20</v>
      </c>
      <c r="D18" s="287">
        <v>25</v>
      </c>
      <c r="E18" s="645">
        <v>20</v>
      </c>
      <c r="F18" s="302">
        <v>25</v>
      </c>
      <c r="G18" s="287">
        <v>25</v>
      </c>
      <c r="H18" s="645">
        <v>25</v>
      </c>
      <c r="I18" s="302">
        <v>25</v>
      </c>
      <c r="J18" s="287">
        <v>25</v>
      </c>
      <c r="K18" s="645">
        <v>25</v>
      </c>
      <c r="L18" s="302">
        <v>25</v>
      </c>
      <c r="M18" s="287">
        <v>30</v>
      </c>
      <c r="N18" s="11"/>
      <c r="O18" s="639">
        <f t="shared" si="5"/>
        <v>75</v>
      </c>
      <c r="P18" s="640">
        <f t="shared" si="6"/>
        <v>70</v>
      </c>
      <c r="Q18" s="640">
        <f t="shared" si="7"/>
        <v>75</v>
      </c>
      <c r="R18" s="640">
        <f t="shared" si="8"/>
        <v>80</v>
      </c>
      <c r="S18" s="161">
        <f t="shared" si="9"/>
        <v>300</v>
      </c>
      <c r="T18" s="14"/>
      <c r="U18" s="657"/>
    </row>
    <row r="19" spans="1:21" ht="15.75" thickBot="1">
      <c r="A19" s="183" t="s">
        <v>217</v>
      </c>
      <c r="B19" s="636">
        <v>0</v>
      </c>
      <c r="C19" s="637">
        <v>0</v>
      </c>
      <c r="D19" s="638">
        <v>0</v>
      </c>
      <c r="E19" s="645">
        <v>0</v>
      </c>
      <c r="F19" s="248">
        <v>0</v>
      </c>
      <c r="G19" s="287">
        <v>0</v>
      </c>
      <c r="H19" s="636">
        <v>20</v>
      </c>
      <c r="I19" s="637">
        <v>20</v>
      </c>
      <c r="J19" s="638">
        <v>20</v>
      </c>
      <c r="K19" s="636">
        <v>20</v>
      </c>
      <c r="L19" s="637">
        <v>20</v>
      </c>
      <c r="M19" s="638">
        <v>20</v>
      </c>
      <c r="N19" s="14"/>
      <c r="O19" s="643">
        <f t="shared" si="5"/>
        <v>0</v>
      </c>
      <c r="P19" s="644">
        <f t="shared" si="6"/>
        <v>0</v>
      </c>
      <c r="Q19" s="644">
        <f t="shared" si="7"/>
        <v>60</v>
      </c>
      <c r="R19" s="644">
        <f t="shared" si="8"/>
        <v>60</v>
      </c>
      <c r="S19" s="603">
        <f t="shared" si="9"/>
        <v>120</v>
      </c>
      <c r="T19" s="14"/>
      <c r="U19" s="657"/>
    </row>
    <row r="20" spans="1:21" s="1" customFormat="1">
      <c r="A20" s="166" t="s">
        <v>3</v>
      </c>
      <c r="B20" s="159">
        <f t="shared" ref="B20:M20" si="10">SUM(B6:B19)</f>
        <v>565</v>
      </c>
      <c r="C20" s="160">
        <f t="shared" si="10"/>
        <v>508</v>
      </c>
      <c r="D20" s="153">
        <f t="shared" si="10"/>
        <v>536</v>
      </c>
      <c r="E20" s="283">
        <f t="shared" si="10"/>
        <v>505</v>
      </c>
      <c r="F20" s="67">
        <f t="shared" si="10"/>
        <v>578</v>
      </c>
      <c r="G20" s="67">
        <f t="shared" si="10"/>
        <v>532</v>
      </c>
      <c r="H20" s="159">
        <f t="shared" si="10"/>
        <v>538</v>
      </c>
      <c r="I20" s="160">
        <f t="shared" si="10"/>
        <v>533</v>
      </c>
      <c r="J20" s="153">
        <f t="shared" si="10"/>
        <v>519</v>
      </c>
      <c r="K20" s="284">
        <f t="shared" si="10"/>
        <v>566</v>
      </c>
      <c r="L20" s="111">
        <f t="shared" si="10"/>
        <v>572</v>
      </c>
      <c r="M20" s="113">
        <f t="shared" si="10"/>
        <v>634</v>
      </c>
      <c r="N20" s="12"/>
      <c r="O20" s="66">
        <f t="shared" si="5"/>
        <v>1609</v>
      </c>
      <c r="P20" s="67">
        <f t="shared" si="6"/>
        <v>1615</v>
      </c>
      <c r="Q20" s="67">
        <f t="shared" si="7"/>
        <v>1590</v>
      </c>
      <c r="R20" s="67">
        <f t="shared" si="8"/>
        <v>1772</v>
      </c>
      <c r="S20" s="39">
        <f t="shared" si="9"/>
        <v>6586</v>
      </c>
      <c r="T20" s="11"/>
      <c r="U20" s="657"/>
    </row>
    <row r="21" spans="1:21" s="1" customFormat="1">
      <c r="A21" s="164" t="s">
        <v>39</v>
      </c>
      <c r="B21" s="163">
        <v>560</v>
      </c>
      <c r="C21" s="162">
        <f t="shared" ref="C21:F21" si="11">C20</f>
        <v>508</v>
      </c>
      <c r="D21" s="161">
        <f t="shared" si="11"/>
        <v>536</v>
      </c>
      <c r="E21" s="165">
        <f t="shared" si="11"/>
        <v>505</v>
      </c>
      <c r="F21" s="38">
        <f t="shared" si="11"/>
        <v>578</v>
      </c>
      <c r="G21" s="161">
        <v>530</v>
      </c>
      <c r="H21" s="163">
        <v>530</v>
      </c>
      <c r="I21" s="162">
        <v>525</v>
      </c>
      <c r="J21" s="161">
        <v>505</v>
      </c>
      <c r="K21" s="165">
        <v>555</v>
      </c>
      <c r="L21" s="112">
        <v>565</v>
      </c>
      <c r="M21" s="106">
        <v>625</v>
      </c>
      <c r="N21" s="12"/>
      <c r="O21" s="91">
        <f t="shared" si="5"/>
        <v>1604</v>
      </c>
      <c r="P21" s="87">
        <f t="shared" si="6"/>
        <v>1613</v>
      </c>
      <c r="Q21" s="87">
        <f t="shared" si="7"/>
        <v>1560</v>
      </c>
      <c r="R21" s="87">
        <f t="shared" si="8"/>
        <v>1745</v>
      </c>
      <c r="S21" s="25">
        <f t="shared" si="9"/>
        <v>6522</v>
      </c>
      <c r="T21" s="11"/>
      <c r="U21" s="33"/>
    </row>
    <row r="22" spans="1:21">
      <c r="O22" s="10"/>
      <c r="P22" s="10">
        <f>P20/S20</f>
        <v>0.24521712723959915</v>
      </c>
      <c r="Q22" s="10">
        <f>Q20/S20</f>
        <v>0.24142119647737625</v>
      </c>
      <c r="R22" s="10">
        <f>R20/S20</f>
        <v>0.26905557242635897</v>
      </c>
      <c r="S22" s="9">
        <f t="shared" si="9"/>
        <v>0.75569389614333438</v>
      </c>
      <c r="T22" s="8"/>
      <c r="U22" s="7">
        <f>S22</f>
        <v>0.75569389614333438</v>
      </c>
    </row>
    <row r="23" spans="1:21">
      <c r="E23" s="6"/>
      <c r="F23" s="6"/>
      <c r="G23" s="6"/>
      <c r="H23" s="6"/>
      <c r="I23" s="6"/>
      <c r="J23" s="6"/>
      <c r="K23" s="6"/>
      <c r="L23" s="6"/>
      <c r="M23" s="6"/>
      <c r="O23" s="82">
        <f>O21/S21</f>
        <v>0.24593682919349893</v>
      </c>
      <c r="P23" s="82">
        <f>P21/S21</f>
        <v>0.24731677399570684</v>
      </c>
      <c r="Q23" s="82">
        <f>Q21/S21</f>
        <v>0.23919043238270468</v>
      </c>
      <c r="R23" s="82">
        <f>R21/S21</f>
        <v>0.26755596442808954</v>
      </c>
      <c r="S23" s="5">
        <f t="shared" si="9"/>
        <v>1</v>
      </c>
      <c r="U23" s="4"/>
    </row>
    <row r="24" spans="1:21" s="1" customFormat="1">
      <c r="B24" s="1" t="s">
        <v>146</v>
      </c>
      <c r="G24" s="559"/>
      <c r="H24" s="559"/>
      <c r="I24" s="559"/>
    </row>
    <row r="25" spans="1:21" s="1" customFormat="1">
      <c r="G25" s="559"/>
      <c r="H25" s="559"/>
      <c r="I25" s="559"/>
    </row>
    <row r="26" spans="1:21" s="1" customFormat="1">
      <c r="B26" s="3"/>
      <c r="C26" s="3"/>
      <c r="D26" s="3"/>
      <c r="G26" s="559"/>
      <c r="H26" s="559"/>
      <c r="I26" s="559"/>
    </row>
    <row r="27" spans="1:21" s="1" customFormat="1">
      <c r="B27" s="2" t="s">
        <v>27</v>
      </c>
      <c r="G27" s="559"/>
      <c r="H27" s="559"/>
      <c r="I27" s="559"/>
    </row>
    <row r="28" spans="1:21" s="1" customFormat="1">
      <c r="B28" s="1" t="s">
        <v>222</v>
      </c>
      <c r="G28" s="559"/>
      <c r="H28" s="559"/>
      <c r="I28" s="559"/>
    </row>
    <row r="29" spans="1:21">
      <c r="G29" s="149"/>
      <c r="H29" s="149"/>
      <c r="I29" s="149"/>
    </row>
    <row r="30" spans="1:21"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</row>
  </sheetData>
  <mergeCells count="25">
    <mergeCell ref="P4:P5"/>
    <mergeCell ref="Q4:Q5"/>
    <mergeCell ref="R4:R5"/>
    <mergeCell ref="S4:S5"/>
    <mergeCell ref="G4:G5"/>
    <mergeCell ref="H4:H5"/>
    <mergeCell ref="I4:I5"/>
    <mergeCell ref="J4:J5"/>
    <mergeCell ref="O4:O5"/>
    <mergeCell ref="A1:U1"/>
    <mergeCell ref="A3:A5"/>
    <mergeCell ref="B3:D3"/>
    <mergeCell ref="E3:G3"/>
    <mergeCell ref="H3:J3"/>
    <mergeCell ref="K3:M3"/>
    <mergeCell ref="K4:K5"/>
    <mergeCell ref="L4:L5"/>
    <mergeCell ref="M4:M5"/>
    <mergeCell ref="U4:U5"/>
    <mergeCell ref="O3:S3"/>
    <mergeCell ref="B4:B5"/>
    <mergeCell ref="C4:C5"/>
    <mergeCell ref="D4:D5"/>
    <mergeCell ref="E4:E5"/>
    <mergeCell ref="F4:F5"/>
  </mergeCells>
  <pageMargins left="0.25" right="0.25" top="0.75" bottom="0.75" header="0.3" footer="0.3"/>
  <pageSetup paperSize="768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zoomScaleNormal="100" workbookViewId="0">
      <pane xSplit="1" ySplit="5" topLeftCell="B6" activePane="bottomRight" state="frozen"/>
      <selection pane="topRight"/>
      <selection pane="bottomLeft"/>
      <selection pane="bottomRight" activeCell="L33" sqref="L33"/>
    </sheetView>
  </sheetViews>
  <sheetFormatPr defaultRowHeight="15"/>
  <cols>
    <col min="1" max="1" width="26.140625" customWidth="1"/>
    <col min="2" max="13" width="6.28515625" customWidth="1"/>
    <col min="14" max="14" width="1.42578125" customWidth="1"/>
    <col min="15" max="19" width="6.28515625" customWidth="1"/>
    <col min="20" max="20" width="1.42578125" customWidth="1"/>
    <col min="21" max="21" width="8.140625" customWidth="1"/>
  </cols>
  <sheetData>
    <row r="1" spans="1:23" ht="23.25">
      <c r="A1" s="733" t="s">
        <v>201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</row>
    <row r="2" spans="1:23" ht="15.75" thickBot="1"/>
    <row r="3" spans="1:23">
      <c r="A3" s="748" t="s">
        <v>26</v>
      </c>
      <c r="B3" s="751" t="s">
        <v>25</v>
      </c>
      <c r="C3" s="752"/>
      <c r="D3" s="752"/>
      <c r="E3" s="753" t="s">
        <v>24</v>
      </c>
      <c r="F3" s="754"/>
      <c r="G3" s="754"/>
      <c r="H3" s="753" t="s">
        <v>23</v>
      </c>
      <c r="I3" s="754"/>
      <c r="J3" s="754"/>
      <c r="K3" s="751" t="s">
        <v>22</v>
      </c>
      <c r="L3" s="752"/>
      <c r="M3" s="755"/>
      <c r="N3" s="30"/>
      <c r="O3" s="751" t="s">
        <v>4</v>
      </c>
      <c r="P3" s="752"/>
      <c r="Q3" s="752"/>
      <c r="R3" s="752"/>
      <c r="S3" s="755"/>
      <c r="T3" s="30"/>
      <c r="U3" s="658"/>
    </row>
    <row r="4" spans="1:23">
      <c r="A4" s="749"/>
      <c r="B4" s="737" t="s">
        <v>21</v>
      </c>
      <c r="C4" s="739" t="s">
        <v>20</v>
      </c>
      <c r="D4" s="739" t="s">
        <v>19</v>
      </c>
      <c r="E4" s="737" t="s">
        <v>18</v>
      </c>
      <c r="F4" s="739" t="s">
        <v>17</v>
      </c>
      <c r="G4" s="739" t="s">
        <v>16</v>
      </c>
      <c r="H4" s="737" t="s">
        <v>15</v>
      </c>
      <c r="I4" s="739" t="s">
        <v>14</v>
      </c>
      <c r="J4" s="739" t="s">
        <v>13</v>
      </c>
      <c r="K4" s="737" t="s">
        <v>12</v>
      </c>
      <c r="L4" s="739" t="s">
        <v>11</v>
      </c>
      <c r="M4" s="744" t="s">
        <v>10</v>
      </c>
      <c r="N4" s="29"/>
      <c r="O4" s="737" t="s">
        <v>9</v>
      </c>
      <c r="P4" s="739" t="s">
        <v>8</v>
      </c>
      <c r="Q4" s="739" t="s">
        <v>7</v>
      </c>
      <c r="R4" s="739" t="s">
        <v>6</v>
      </c>
      <c r="S4" s="744" t="s">
        <v>5</v>
      </c>
      <c r="T4" s="29"/>
      <c r="U4" s="743"/>
    </row>
    <row r="5" spans="1:23" ht="15.75" thickBot="1">
      <c r="A5" s="750"/>
      <c r="B5" s="738"/>
      <c r="C5" s="740"/>
      <c r="D5" s="740"/>
      <c r="E5" s="747"/>
      <c r="F5" s="732"/>
      <c r="G5" s="732"/>
      <c r="H5" s="747"/>
      <c r="I5" s="732"/>
      <c r="J5" s="732"/>
      <c r="K5" s="747"/>
      <c r="L5" s="732"/>
      <c r="M5" s="742"/>
      <c r="N5" s="29"/>
      <c r="O5" s="747"/>
      <c r="P5" s="732"/>
      <c r="Q5" s="732"/>
      <c r="R5" s="732"/>
      <c r="S5" s="742"/>
      <c r="T5" s="29"/>
      <c r="U5" s="743"/>
    </row>
    <row r="6" spans="1:23">
      <c r="A6" s="595" t="s">
        <v>93</v>
      </c>
      <c r="B6" s="458">
        <v>40</v>
      </c>
      <c r="C6" s="459">
        <v>35</v>
      </c>
      <c r="D6" s="460">
        <v>45</v>
      </c>
      <c r="E6" s="461">
        <v>35</v>
      </c>
      <c r="F6" s="459">
        <v>50</v>
      </c>
      <c r="G6" s="460">
        <v>50</v>
      </c>
      <c r="H6" s="461">
        <v>45</v>
      </c>
      <c r="I6" s="459">
        <v>45</v>
      </c>
      <c r="J6" s="460">
        <v>35</v>
      </c>
      <c r="K6" s="461">
        <v>45</v>
      </c>
      <c r="L6" s="459">
        <v>48</v>
      </c>
      <c r="M6" s="460">
        <v>48</v>
      </c>
      <c r="N6" s="238"/>
      <c r="O6" s="195">
        <f t="shared" ref="O6:O17" si="0">SUM(B6:D6)</f>
        <v>120</v>
      </c>
      <c r="P6" s="196">
        <f t="shared" ref="P6:P18" si="1">SUM(E6:G6)</f>
        <v>135</v>
      </c>
      <c r="Q6" s="196">
        <f t="shared" ref="Q6:Q18" si="2">SUM(H6:J6)</f>
        <v>125</v>
      </c>
      <c r="R6" s="196">
        <f t="shared" ref="R6:R18" si="3">SUM(K6:M6)</f>
        <v>141</v>
      </c>
      <c r="S6" s="148">
        <f t="shared" ref="S6:S18" si="4">SUM(O6:R6)</f>
        <v>521</v>
      </c>
      <c r="T6" s="14"/>
      <c r="U6" s="657"/>
    </row>
    <row r="7" spans="1:23">
      <c r="A7" s="596" t="s">
        <v>95</v>
      </c>
      <c r="B7" s="462">
        <v>50</v>
      </c>
      <c r="C7" s="463">
        <v>50</v>
      </c>
      <c r="D7" s="464">
        <v>55</v>
      </c>
      <c r="E7" s="465">
        <v>65</v>
      </c>
      <c r="F7" s="463">
        <v>65</v>
      </c>
      <c r="G7" s="464">
        <v>60</v>
      </c>
      <c r="H7" s="465">
        <v>60</v>
      </c>
      <c r="I7" s="463">
        <v>55</v>
      </c>
      <c r="J7" s="464">
        <v>55</v>
      </c>
      <c r="K7" s="465">
        <v>63</v>
      </c>
      <c r="L7" s="463">
        <v>62</v>
      </c>
      <c r="M7" s="464">
        <v>65</v>
      </c>
      <c r="N7" s="238"/>
      <c r="O7" s="194">
        <f t="shared" si="0"/>
        <v>155</v>
      </c>
      <c r="P7" s="197">
        <f t="shared" si="1"/>
        <v>190</v>
      </c>
      <c r="Q7" s="197">
        <f t="shared" si="2"/>
        <v>170</v>
      </c>
      <c r="R7" s="197">
        <f t="shared" si="3"/>
        <v>190</v>
      </c>
      <c r="S7" s="25">
        <f t="shared" si="4"/>
        <v>705</v>
      </c>
      <c r="T7" s="14"/>
      <c r="U7" s="657"/>
    </row>
    <row r="8" spans="1:23">
      <c r="A8" s="596" t="s">
        <v>96</v>
      </c>
      <c r="B8" s="466">
        <v>50</v>
      </c>
      <c r="C8" s="467">
        <v>50</v>
      </c>
      <c r="D8" s="468">
        <v>55</v>
      </c>
      <c r="E8" s="469">
        <v>70</v>
      </c>
      <c r="F8" s="455">
        <v>70</v>
      </c>
      <c r="G8" s="470">
        <v>65</v>
      </c>
      <c r="H8" s="471">
        <v>60</v>
      </c>
      <c r="I8" s="467">
        <v>55</v>
      </c>
      <c r="J8" s="468">
        <v>50</v>
      </c>
      <c r="K8" s="471">
        <v>65</v>
      </c>
      <c r="L8" s="467">
        <v>68</v>
      </c>
      <c r="M8" s="468">
        <v>70</v>
      </c>
      <c r="N8" s="238"/>
      <c r="O8" s="194">
        <f t="shared" si="0"/>
        <v>155</v>
      </c>
      <c r="P8" s="197">
        <f t="shared" si="1"/>
        <v>205</v>
      </c>
      <c r="Q8" s="197">
        <f t="shared" si="2"/>
        <v>165</v>
      </c>
      <c r="R8" s="197">
        <f t="shared" si="3"/>
        <v>203</v>
      </c>
      <c r="S8" s="25">
        <f>SUM(O8:R8)</f>
        <v>728</v>
      </c>
      <c r="T8" s="14"/>
      <c r="U8" s="657"/>
    </row>
    <row r="9" spans="1:23">
      <c r="A9" s="596" t="s">
        <v>88</v>
      </c>
      <c r="B9" s="426">
        <v>25</v>
      </c>
      <c r="C9" s="427">
        <v>25</v>
      </c>
      <c r="D9" s="428">
        <v>28</v>
      </c>
      <c r="E9" s="429">
        <v>28</v>
      </c>
      <c r="F9" s="427">
        <v>28</v>
      </c>
      <c r="G9" s="428">
        <v>30</v>
      </c>
      <c r="H9" s="429">
        <v>25</v>
      </c>
      <c r="I9" s="427">
        <v>25</v>
      </c>
      <c r="J9" s="428">
        <v>25</v>
      </c>
      <c r="K9" s="429">
        <v>25</v>
      </c>
      <c r="L9" s="427">
        <v>25</v>
      </c>
      <c r="M9" s="428">
        <v>25</v>
      </c>
      <c r="N9" s="238"/>
      <c r="O9" s="194">
        <f t="shared" si="0"/>
        <v>78</v>
      </c>
      <c r="P9" s="197">
        <f t="shared" si="1"/>
        <v>86</v>
      </c>
      <c r="Q9" s="197">
        <f t="shared" si="2"/>
        <v>75</v>
      </c>
      <c r="R9" s="197">
        <f t="shared" si="3"/>
        <v>75</v>
      </c>
      <c r="S9" s="25">
        <f t="shared" si="4"/>
        <v>314</v>
      </c>
      <c r="T9" s="14"/>
      <c r="U9" s="657"/>
    </row>
    <row r="10" spans="1:23">
      <c r="A10" s="596" t="s">
        <v>94</v>
      </c>
      <c r="B10" s="458">
        <v>28</v>
      </c>
      <c r="C10" s="459">
        <v>25</v>
      </c>
      <c r="D10" s="460">
        <v>28</v>
      </c>
      <c r="E10" s="461">
        <v>24</v>
      </c>
      <c r="F10" s="459">
        <v>28</v>
      </c>
      <c r="G10" s="460">
        <v>28</v>
      </c>
      <c r="H10" s="461">
        <v>28</v>
      </c>
      <c r="I10" s="459">
        <v>26</v>
      </c>
      <c r="J10" s="460">
        <v>27</v>
      </c>
      <c r="K10" s="461">
        <v>25</v>
      </c>
      <c r="L10" s="459">
        <v>28</v>
      </c>
      <c r="M10" s="460">
        <v>28</v>
      </c>
      <c r="N10" s="238"/>
      <c r="O10" s="194">
        <f t="shared" si="0"/>
        <v>81</v>
      </c>
      <c r="P10" s="197">
        <f t="shared" si="1"/>
        <v>80</v>
      </c>
      <c r="Q10" s="197">
        <f t="shared" si="2"/>
        <v>81</v>
      </c>
      <c r="R10" s="197">
        <f t="shared" si="3"/>
        <v>81</v>
      </c>
      <c r="S10" s="25">
        <f t="shared" si="4"/>
        <v>323</v>
      </c>
      <c r="T10" s="14"/>
      <c r="U10" s="657"/>
    </row>
    <row r="11" spans="1:23">
      <c r="A11" s="596" t="s">
        <v>89</v>
      </c>
      <c r="B11" s="671">
        <v>25</v>
      </c>
      <c r="C11" s="365">
        <v>23</v>
      </c>
      <c r="D11" s="351">
        <v>32</v>
      </c>
      <c r="E11" s="432">
        <v>35</v>
      </c>
      <c r="F11" s="430">
        <v>40</v>
      </c>
      <c r="G11" s="431">
        <v>35</v>
      </c>
      <c r="H11" s="432">
        <v>29</v>
      </c>
      <c r="I11" s="430">
        <v>30</v>
      </c>
      <c r="J11" s="431">
        <v>28</v>
      </c>
      <c r="K11" s="432">
        <v>30</v>
      </c>
      <c r="L11" s="430">
        <v>28</v>
      </c>
      <c r="M11" s="431">
        <v>30</v>
      </c>
      <c r="N11" s="238"/>
      <c r="O11" s="194">
        <f t="shared" si="0"/>
        <v>80</v>
      </c>
      <c r="P11" s="197">
        <f t="shared" si="1"/>
        <v>110</v>
      </c>
      <c r="Q11" s="197">
        <f t="shared" si="2"/>
        <v>87</v>
      </c>
      <c r="R11" s="197">
        <f t="shared" si="3"/>
        <v>88</v>
      </c>
      <c r="S11" s="25">
        <f t="shared" si="4"/>
        <v>365</v>
      </c>
      <c r="T11" s="14"/>
      <c r="U11" s="657"/>
      <c r="W11" s="80"/>
    </row>
    <row r="12" spans="1:23">
      <c r="A12" s="596" t="s">
        <v>90</v>
      </c>
      <c r="B12" s="438">
        <v>20</v>
      </c>
      <c r="C12" s="433">
        <v>24</v>
      </c>
      <c r="D12" s="434">
        <v>25</v>
      </c>
      <c r="E12" s="435">
        <v>28</v>
      </c>
      <c r="F12" s="436">
        <v>29</v>
      </c>
      <c r="G12" s="437">
        <v>29</v>
      </c>
      <c r="H12" s="438">
        <v>27</v>
      </c>
      <c r="I12" s="433">
        <v>27</v>
      </c>
      <c r="J12" s="434">
        <v>27</v>
      </c>
      <c r="K12" s="438">
        <v>29</v>
      </c>
      <c r="L12" s="433">
        <v>29</v>
      </c>
      <c r="M12" s="434">
        <v>29</v>
      </c>
      <c r="N12" s="238"/>
      <c r="O12" s="194">
        <f t="shared" si="0"/>
        <v>69</v>
      </c>
      <c r="P12" s="197">
        <f t="shared" si="1"/>
        <v>86</v>
      </c>
      <c r="Q12" s="197">
        <f t="shared" si="2"/>
        <v>81</v>
      </c>
      <c r="R12" s="197">
        <f t="shared" si="3"/>
        <v>87</v>
      </c>
      <c r="S12" s="25">
        <f t="shared" si="4"/>
        <v>323</v>
      </c>
      <c r="T12" s="14"/>
      <c r="U12" s="657"/>
      <c r="W12" s="80"/>
    </row>
    <row r="13" spans="1:23">
      <c r="A13" s="596" t="s">
        <v>92</v>
      </c>
      <c r="B13" s="456">
        <v>18</v>
      </c>
      <c r="C13" s="452">
        <v>18</v>
      </c>
      <c r="D13" s="453">
        <v>20</v>
      </c>
      <c r="E13" s="454">
        <v>20</v>
      </c>
      <c r="F13" s="452">
        <v>25</v>
      </c>
      <c r="G13" s="457">
        <v>25</v>
      </c>
      <c r="H13" s="456">
        <v>22</v>
      </c>
      <c r="I13" s="452">
        <v>25</v>
      </c>
      <c r="J13" s="452">
        <v>23</v>
      </c>
      <c r="K13" s="454">
        <v>23</v>
      </c>
      <c r="L13" s="452">
        <v>24</v>
      </c>
      <c r="M13" s="457">
        <v>25</v>
      </c>
      <c r="N13" s="238"/>
      <c r="O13" s="194">
        <f t="shared" si="0"/>
        <v>56</v>
      </c>
      <c r="P13" s="197">
        <f t="shared" si="1"/>
        <v>70</v>
      </c>
      <c r="Q13" s="197">
        <f t="shared" si="2"/>
        <v>70</v>
      </c>
      <c r="R13" s="197">
        <f t="shared" si="3"/>
        <v>72</v>
      </c>
      <c r="S13" s="25">
        <f t="shared" si="4"/>
        <v>268</v>
      </c>
      <c r="T13" s="14"/>
      <c r="U13" s="657"/>
      <c r="W13" s="80"/>
    </row>
    <row r="14" spans="1:23">
      <c r="A14" s="596" t="s">
        <v>141</v>
      </c>
      <c r="B14" s="447">
        <v>20</v>
      </c>
      <c r="C14" s="445">
        <v>23</v>
      </c>
      <c r="D14" s="448">
        <v>25</v>
      </c>
      <c r="E14" s="446">
        <v>30</v>
      </c>
      <c r="F14" s="445">
        <v>30</v>
      </c>
      <c r="G14" s="448">
        <v>30</v>
      </c>
      <c r="H14" s="446">
        <v>28</v>
      </c>
      <c r="I14" s="445">
        <v>28</v>
      </c>
      <c r="J14" s="448">
        <v>28</v>
      </c>
      <c r="K14" s="446">
        <v>30</v>
      </c>
      <c r="L14" s="445">
        <v>30</v>
      </c>
      <c r="M14" s="448">
        <v>30</v>
      </c>
      <c r="N14" s="238"/>
      <c r="O14" s="194">
        <f t="shared" si="0"/>
        <v>68</v>
      </c>
      <c r="P14" s="197">
        <f t="shared" si="1"/>
        <v>90</v>
      </c>
      <c r="Q14" s="197">
        <f t="shared" si="2"/>
        <v>84</v>
      </c>
      <c r="R14" s="197">
        <f t="shared" si="3"/>
        <v>90</v>
      </c>
      <c r="S14" s="25">
        <f t="shared" si="4"/>
        <v>332</v>
      </c>
      <c r="T14" s="14"/>
      <c r="U14" s="657"/>
      <c r="W14" s="80"/>
    </row>
    <row r="15" spans="1:23">
      <c r="A15" s="596" t="s">
        <v>91</v>
      </c>
      <c r="B15" s="440">
        <v>28</v>
      </c>
      <c r="C15" s="439">
        <v>27</v>
      </c>
      <c r="D15" s="441">
        <v>28</v>
      </c>
      <c r="E15" s="442">
        <v>25</v>
      </c>
      <c r="F15" s="443">
        <v>28</v>
      </c>
      <c r="G15" s="444">
        <v>28</v>
      </c>
      <c r="H15" s="442">
        <v>28</v>
      </c>
      <c r="I15" s="443">
        <v>28</v>
      </c>
      <c r="J15" s="444">
        <v>28</v>
      </c>
      <c r="K15" s="442">
        <v>28</v>
      </c>
      <c r="L15" s="443">
        <v>28</v>
      </c>
      <c r="M15" s="444">
        <v>28</v>
      </c>
      <c r="N15" s="238"/>
      <c r="O15" s="194">
        <f t="shared" si="0"/>
        <v>83</v>
      </c>
      <c r="P15" s="197">
        <f t="shared" si="1"/>
        <v>81</v>
      </c>
      <c r="Q15" s="197">
        <f t="shared" si="2"/>
        <v>84</v>
      </c>
      <c r="R15" s="197">
        <f t="shared" si="3"/>
        <v>84</v>
      </c>
      <c r="S15" s="25">
        <f t="shared" si="4"/>
        <v>332</v>
      </c>
      <c r="T15" s="14"/>
      <c r="U15" s="657"/>
      <c r="W15" s="80"/>
    </row>
    <row r="16" spans="1:23">
      <c r="A16" s="596" t="s">
        <v>145</v>
      </c>
      <c r="B16" s="408">
        <v>23</v>
      </c>
      <c r="C16" s="409">
        <v>22</v>
      </c>
      <c r="D16" s="411">
        <v>23</v>
      </c>
      <c r="E16" s="410">
        <v>23</v>
      </c>
      <c r="F16" s="409">
        <v>25</v>
      </c>
      <c r="G16" s="411">
        <v>25</v>
      </c>
      <c r="H16" s="410">
        <v>25</v>
      </c>
      <c r="I16" s="409">
        <v>24</v>
      </c>
      <c r="J16" s="411">
        <v>25</v>
      </c>
      <c r="K16" s="410">
        <v>27</v>
      </c>
      <c r="L16" s="409">
        <v>25</v>
      </c>
      <c r="M16" s="411">
        <v>27</v>
      </c>
      <c r="N16" s="238"/>
      <c r="O16" s="194">
        <f t="shared" si="0"/>
        <v>68</v>
      </c>
      <c r="P16" s="197">
        <f t="shared" si="1"/>
        <v>73</v>
      </c>
      <c r="Q16" s="197">
        <f t="shared" si="2"/>
        <v>74</v>
      </c>
      <c r="R16" s="197">
        <f t="shared" si="3"/>
        <v>79</v>
      </c>
      <c r="S16" s="25">
        <f t="shared" si="4"/>
        <v>294</v>
      </c>
      <c r="T16" s="14"/>
      <c r="U16" s="657"/>
      <c r="W16" s="33"/>
    </row>
    <row r="17" spans="1:21">
      <c r="A17" s="596" t="s">
        <v>154</v>
      </c>
      <c r="B17" s="450">
        <v>15</v>
      </c>
      <c r="C17" s="344">
        <v>18</v>
      </c>
      <c r="D17" s="346">
        <v>22</v>
      </c>
      <c r="E17" s="451">
        <v>20</v>
      </c>
      <c r="F17" s="391">
        <v>18</v>
      </c>
      <c r="G17" s="346">
        <v>20</v>
      </c>
      <c r="H17" s="451">
        <v>25</v>
      </c>
      <c r="I17" s="344">
        <v>25</v>
      </c>
      <c r="J17" s="346">
        <v>22</v>
      </c>
      <c r="K17" s="451">
        <v>25</v>
      </c>
      <c r="L17" s="344">
        <v>23</v>
      </c>
      <c r="M17" s="346">
        <v>25</v>
      </c>
      <c r="N17" s="238"/>
      <c r="O17" s="194">
        <f t="shared" si="0"/>
        <v>55</v>
      </c>
      <c r="P17" s="197">
        <f t="shared" si="1"/>
        <v>58</v>
      </c>
      <c r="Q17" s="197">
        <f t="shared" si="2"/>
        <v>72</v>
      </c>
      <c r="R17" s="197">
        <f t="shared" si="3"/>
        <v>73</v>
      </c>
      <c r="S17" s="161">
        <f t="shared" si="4"/>
        <v>258</v>
      </c>
      <c r="T17" s="14"/>
      <c r="U17" s="657"/>
    </row>
    <row r="18" spans="1:21">
      <c r="A18" s="349" t="s">
        <v>158</v>
      </c>
      <c r="B18" s="399">
        <v>17</v>
      </c>
      <c r="C18" s="400">
        <v>15</v>
      </c>
      <c r="D18" s="398">
        <v>18</v>
      </c>
      <c r="E18" s="396">
        <v>17</v>
      </c>
      <c r="F18" s="397">
        <v>20</v>
      </c>
      <c r="G18" s="398">
        <v>19</v>
      </c>
      <c r="H18" s="396">
        <v>17</v>
      </c>
      <c r="I18" s="397">
        <v>17</v>
      </c>
      <c r="J18" s="398">
        <v>17</v>
      </c>
      <c r="K18" s="396">
        <v>18</v>
      </c>
      <c r="L18" s="397">
        <v>19</v>
      </c>
      <c r="M18" s="398">
        <v>20</v>
      </c>
      <c r="N18" s="238"/>
      <c r="O18" s="194">
        <f t="shared" ref="O18:O25" si="5">SUM(B18:D18)</f>
        <v>50</v>
      </c>
      <c r="P18" s="197">
        <f t="shared" si="1"/>
        <v>56</v>
      </c>
      <c r="Q18" s="197">
        <f t="shared" si="2"/>
        <v>51</v>
      </c>
      <c r="R18" s="197">
        <f t="shared" si="3"/>
        <v>57</v>
      </c>
      <c r="S18" s="161">
        <f t="shared" si="4"/>
        <v>214</v>
      </c>
      <c r="T18" s="14"/>
      <c r="U18" s="657"/>
    </row>
    <row r="19" spans="1:21">
      <c r="A19" s="349" t="s">
        <v>163</v>
      </c>
      <c r="B19" s="419">
        <v>26</v>
      </c>
      <c r="C19" s="420">
        <v>25</v>
      </c>
      <c r="D19" s="421">
        <v>29</v>
      </c>
      <c r="E19" s="422">
        <v>25</v>
      </c>
      <c r="F19" s="420">
        <v>30</v>
      </c>
      <c r="G19" s="421">
        <v>30</v>
      </c>
      <c r="H19" s="422">
        <v>30</v>
      </c>
      <c r="I19" s="420">
        <v>28</v>
      </c>
      <c r="J19" s="421">
        <v>28</v>
      </c>
      <c r="K19" s="423">
        <v>30</v>
      </c>
      <c r="L19" s="424">
        <v>30</v>
      </c>
      <c r="M19" s="425">
        <v>32</v>
      </c>
      <c r="N19" s="238"/>
      <c r="O19" s="239">
        <f t="shared" si="5"/>
        <v>80</v>
      </c>
      <c r="P19" s="240">
        <f t="shared" ref="P19:P25" si="6">SUM(E19:G19)</f>
        <v>85</v>
      </c>
      <c r="Q19" s="240">
        <f t="shared" ref="Q19:Q25" si="7">SUM(H19:J19)</f>
        <v>86</v>
      </c>
      <c r="R19" s="240">
        <f t="shared" ref="R19:R25" si="8">SUM(K19:M19)</f>
        <v>92</v>
      </c>
      <c r="S19" s="241">
        <f t="shared" ref="S19:S27" si="9">SUM(O19:R19)</f>
        <v>343</v>
      </c>
      <c r="T19" s="14"/>
      <c r="U19" s="657"/>
    </row>
    <row r="20" spans="1:21">
      <c r="A20" s="349" t="s">
        <v>174</v>
      </c>
      <c r="B20" s="472">
        <v>18</v>
      </c>
      <c r="C20" s="473">
        <v>18</v>
      </c>
      <c r="D20" s="474">
        <v>20</v>
      </c>
      <c r="E20" s="476">
        <v>20</v>
      </c>
      <c r="F20" s="477">
        <v>23</v>
      </c>
      <c r="G20" s="478">
        <v>25</v>
      </c>
      <c r="H20" s="475">
        <v>20</v>
      </c>
      <c r="I20" s="473">
        <v>22</v>
      </c>
      <c r="J20" s="474">
        <v>22</v>
      </c>
      <c r="K20" s="475">
        <v>24</v>
      </c>
      <c r="L20" s="473">
        <v>24</v>
      </c>
      <c r="M20" s="474">
        <v>24</v>
      </c>
      <c r="N20" s="243"/>
      <c r="O20" s="103">
        <f t="shared" si="5"/>
        <v>56</v>
      </c>
      <c r="P20" s="102">
        <f t="shared" si="6"/>
        <v>68</v>
      </c>
      <c r="Q20" s="102">
        <f t="shared" si="7"/>
        <v>64</v>
      </c>
      <c r="R20" s="102">
        <f t="shared" si="8"/>
        <v>72</v>
      </c>
      <c r="S20" s="161">
        <f t="shared" si="9"/>
        <v>260</v>
      </c>
      <c r="T20" s="14"/>
      <c r="U20" s="657"/>
    </row>
    <row r="21" spans="1:21" s="94" customFormat="1">
      <c r="A21" s="597" t="s">
        <v>185</v>
      </c>
      <c r="B21" s="404">
        <v>15</v>
      </c>
      <c r="C21" s="405">
        <v>15</v>
      </c>
      <c r="D21" s="406">
        <v>20</v>
      </c>
      <c r="E21" s="407">
        <v>25</v>
      </c>
      <c r="F21" s="405">
        <v>35</v>
      </c>
      <c r="G21" s="406">
        <v>35</v>
      </c>
      <c r="H21" s="407">
        <v>30</v>
      </c>
      <c r="I21" s="405">
        <v>30</v>
      </c>
      <c r="J21" s="406">
        <v>30</v>
      </c>
      <c r="K21" s="407">
        <v>35</v>
      </c>
      <c r="L21" s="405">
        <v>35</v>
      </c>
      <c r="M21" s="406">
        <v>35</v>
      </c>
      <c r="N21" s="291"/>
      <c r="O21" s="101">
        <f t="shared" si="5"/>
        <v>50</v>
      </c>
      <c r="P21" s="100">
        <f t="shared" si="6"/>
        <v>95</v>
      </c>
      <c r="Q21" s="100">
        <f t="shared" si="7"/>
        <v>90</v>
      </c>
      <c r="R21" s="100">
        <f t="shared" si="8"/>
        <v>105</v>
      </c>
      <c r="S21" s="241">
        <f t="shared" si="9"/>
        <v>340</v>
      </c>
      <c r="T21" s="14"/>
      <c r="U21" s="657"/>
    </row>
    <row r="22" spans="1:21" s="94" customFormat="1">
      <c r="A22" s="597" t="s">
        <v>181</v>
      </c>
      <c r="B22" s="392">
        <v>15</v>
      </c>
      <c r="C22" s="393">
        <v>15</v>
      </c>
      <c r="D22" s="394">
        <v>18</v>
      </c>
      <c r="E22" s="395">
        <v>15</v>
      </c>
      <c r="F22" s="393">
        <v>15</v>
      </c>
      <c r="G22" s="394">
        <v>15</v>
      </c>
      <c r="H22" s="395">
        <v>23</v>
      </c>
      <c r="I22" s="393">
        <v>25</v>
      </c>
      <c r="J22" s="394">
        <v>22</v>
      </c>
      <c r="K22" s="395">
        <v>25</v>
      </c>
      <c r="L22" s="393">
        <v>27</v>
      </c>
      <c r="M22" s="394">
        <v>25</v>
      </c>
      <c r="N22" s="292"/>
      <c r="O22" s="413">
        <f>SUM(B22:D22)</f>
        <v>48</v>
      </c>
      <c r="P22" s="412">
        <f t="shared" si="6"/>
        <v>45</v>
      </c>
      <c r="Q22" s="412">
        <f t="shared" si="7"/>
        <v>70</v>
      </c>
      <c r="R22" s="412">
        <f t="shared" si="8"/>
        <v>77</v>
      </c>
      <c r="S22" s="241">
        <f t="shared" si="9"/>
        <v>240</v>
      </c>
      <c r="T22" s="14"/>
      <c r="U22" s="657"/>
    </row>
    <row r="23" spans="1:21" s="402" customFormat="1" ht="15.75" thickBot="1">
      <c r="A23" s="598" t="s">
        <v>186</v>
      </c>
      <c r="B23" s="415"/>
      <c r="C23" s="416"/>
      <c r="D23" s="417"/>
      <c r="E23" s="418"/>
      <c r="F23" s="416">
        <v>20</v>
      </c>
      <c r="G23" s="417">
        <v>20</v>
      </c>
      <c r="H23" s="418">
        <v>24</v>
      </c>
      <c r="I23" s="416">
        <v>25</v>
      </c>
      <c r="J23" s="417">
        <v>25</v>
      </c>
      <c r="K23" s="418">
        <v>28</v>
      </c>
      <c r="L23" s="416">
        <v>28</v>
      </c>
      <c r="M23" s="417">
        <v>30</v>
      </c>
      <c r="N23" s="401"/>
      <c r="O23" s="75">
        <f>SUM(B23:D23)</f>
        <v>0</v>
      </c>
      <c r="P23" s="76">
        <f>SUM(E23:G23)</f>
        <v>40</v>
      </c>
      <c r="Q23" s="76">
        <f>SUM(H23:J23)</f>
        <v>74</v>
      </c>
      <c r="R23" s="76">
        <f>SUM(K23:M23)</f>
        <v>86</v>
      </c>
      <c r="S23" s="414">
        <f t="shared" si="9"/>
        <v>200</v>
      </c>
      <c r="T23" s="403"/>
      <c r="U23" s="657"/>
    </row>
    <row r="24" spans="1:21" s="1" customFormat="1">
      <c r="A24" s="290" t="s">
        <v>3</v>
      </c>
      <c r="B24" s="167">
        <f t="shared" ref="B24:M24" si="10">SUM(B6:B23)</f>
        <v>433</v>
      </c>
      <c r="C24" s="167">
        <f t="shared" si="10"/>
        <v>428</v>
      </c>
      <c r="D24" s="167">
        <f t="shared" si="10"/>
        <v>491</v>
      </c>
      <c r="E24" s="167">
        <f t="shared" si="10"/>
        <v>505</v>
      </c>
      <c r="F24" s="167">
        <f t="shared" si="10"/>
        <v>579</v>
      </c>
      <c r="G24" s="167">
        <f t="shared" si="10"/>
        <v>569</v>
      </c>
      <c r="H24" s="167">
        <f t="shared" si="10"/>
        <v>546</v>
      </c>
      <c r="I24" s="167">
        <f t="shared" si="10"/>
        <v>540</v>
      </c>
      <c r="J24" s="167">
        <f t="shared" si="10"/>
        <v>517</v>
      </c>
      <c r="K24" s="167">
        <f t="shared" si="10"/>
        <v>575</v>
      </c>
      <c r="L24" s="167">
        <f t="shared" si="10"/>
        <v>581</v>
      </c>
      <c r="M24" s="167">
        <f t="shared" si="10"/>
        <v>596</v>
      </c>
      <c r="N24" s="12"/>
      <c r="O24" s="66">
        <f t="shared" si="5"/>
        <v>1352</v>
      </c>
      <c r="P24" s="67">
        <f t="shared" si="6"/>
        <v>1653</v>
      </c>
      <c r="Q24" s="67">
        <f t="shared" si="7"/>
        <v>1603</v>
      </c>
      <c r="R24" s="67">
        <f t="shared" si="8"/>
        <v>1752</v>
      </c>
      <c r="S24" s="242">
        <f t="shared" si="9"/>
        <v>6360</v>
      </c>
      <c r="T24" s="11"/>
      <c r="U24" s="657"/>
    </row>
    <row r="25" spans="1:21" s="1" customFormat="1">
      <c r="A25" s="161" t="s">
        <v>39</v>
      </c>
      <c r="B25" s="163">
        <v>431</v>
      </c>
      <c r="C25" s="162">
        <v>428</v>
      </c>
      <c r="D25" s="161">
        <v>485</v>
      </c>
      <c r="E25" s="165">
        <v>505</v>
      </c>
      <c r="F25" s="162">
        <v>572</v>
      </c>
      <c r="G25" s="164">
        <v>560</v>
      </c>
      <c r="H25" s="163">
        <v>546</v>
      </c>
      <c r="I25" s="162">
        <v>540</v>
      </c>
      <c r="J25" s="161">
        <v>517</v>
      </c>
      <c r="K25" s="165">
        <v>566</v>
      </c>
      <c r="L25" s="162">
        <v>576</v>
      </c>
      <c r="M25" s="161">
        <v>586</v>
      </c>
      <c r="N25" s="12"/>
      <c r="O25" s="91">
        <f t="shared" si="5"/>
        <v>1344</v>
      </c>
      <c r="P25" s="87">
        <f t="shared" si="6"/>
        <v>1637</v>
      </c>
      <c r="Q25" s="87">
        <f t="shared" si="7"/>
        <v>1603</v>
      </c>
      <c r="R25" s="87">
        <f t="shared" si="8"/>
        <v>1728</v>
      </c>
      <c r="S25" s="25">
        <f t="shared" si="9"/>
        <v>6312</v>
      </c>
      <c r="T25" s="11"/>
      <c r="U25" s="33"/>
    </row>
    <row r="26" spans="1:21">
      <c r="H26" s="168"/>
      <c r="I26" s="168"/>
      <c r="J26" s="168"/>
      <c r="O26" s="10">
        <f>O24/S24</f>
        <v>0.21257861635220127</v>
      </c>
      <c r="P26" s="10">
        <f>P24/S24</f>
        <v>0.25990566037735852</v>
      </c>
      <c r="Q26" s="10">
        <f>Q24/S24</f>
        <v>0.25204402515723273</v>
      </c>
      <c r="R26" s="10">
        <f>R24/S24</f>
        <v>0.27547169811320754</v>
      </c>
      <c r="S26" s="9">
        <f t="shared" si="9"/>
        <v>1</v>
      </c>
      <c r="T26" s="8"/>
      <c r="U26" s="7">
        <f>S26</f>
        <v>1</v>
      </c>
    </row>
    <row r="27" spans="1:21">
      <c r="E27" s="6"/>
      <c r="F27" s="6"/>
      <c r="G27" s="6"/>
      <c r="H27" s="6"/>
      <c r="I27" s="6"/>
      <c r="J27" s="6"/>
      <c r="K27" s="6"/>
      <c r="L27" s="6"/>
      <c r="M27" s="6"/>
      <c r="O27" s="82">
        <f>O25/S25</f>
        <v>0.21292775665399238</v>
      </c>
      <c r="P27" s="82">
        <f>P25/S25</f>
        <v>0.2593472750316857</v>
      </c>
      <c r="Q27" s="82">
        <f>Q25/S25</f>
        <v>0.25396070975918883</v>
      </c>
      <c r="R27" s="82">
        <f>R25/S25</f>
        <v>0.27376425855513309</v>
      </c>
      <c r="S27" s="5">
        <f t="shared" si="9"/>
        <v>1</v>
      </c>
      <c r="U27" s="4"/>
    </row>
    <row r="28" spans="1:21" s="1" customFormat="1">
      <c r="B28" s="1" t="s">
        <v>146</v>
      </c>
      <c r="G28" s="559"/>
      <c r="H28" s="559"/>
      <c r="I28" s="559"/>
    </row>
    <row r="29" spans="1:21" s="1" customFormat="1">
      <c r="G29" s="559"/>
      <c r="H29" s="559"/>
      <c r="I29" s="559"/>
    </row>
    <row r="30" spans="1:21" s="1" customFormat="1">
      <c r="B30" s="3"/>
      <c r="C30" s="3"/>
      <c r="D30" s="3"/>
      <c r="G30" s="559"/>
      <c r="H30" s="559"/>
      <c r="I30" s="559"/>
    </row>
    <row r="31" spans="1:21" s="1" customFormat="1">
      <c r="B31" s="2" t="s">
        <v>27</v>
      </c>
      <c r="G31" s="559"/>
      <c r="H31" s="559"/>
      <c r="I31" s="559"/>
    </row>
    <row r="32" spans="1:21" s="1" customFormat="1">
      <c r="B32" s="1" t="s">
        <v>222</v>
      </c>
      <c r="G32" s="559"/>
      <c r="H32" s="559"/>
      <c r="I32" s="559"/>
    </row>
    <row r="33" spans="7:9">
      <c r="G33" s="149"/>
      <c r="H33" s="149"/>
      <c r="I33" s="149"/>
    </row>
  </sheetData>
  <mergeCells count="25">
    <mergeCell ref="P4:P5"/>
    <mergeCell ref="Q4:Q5"/>
    <mergeCell ref="R4:R5"/>
    <mergeCell ref="S4:S5"/>
    <mergeCell ref="G4:G5"/>
    <mergeCell ref="H4:H5"/>
    <mergeCell ref="I4:I5"/>
    <mergeCell ref="J4:J5"/>
    <mergeCell ref="O4:O5"/>
    <mergeCell ref="A1:U1"/>
    <mergeCell ref="A3:A5"/>
    <mergeCell ref="B3:D3"/>
    <mergeCell ref="E3:G3"/>
    <mergeCell ref="H3:J3"/>
    <mergeCell ref="K3:M3"/>
    <mergeCell ref="K4:K5"/>
    <mergeCell ref="L4:L5"/>
    <mergeCell ref="M4:M5"/>
    <mergeCell ref="U4:U5"/>
    <mergeCell ref="O3:S3"/>
    <mergeCell ref="B4:B5"/>
    <mergeCell ref="C4:C5"/>
    <mergeCell ref="D4:D5"/>
    <mergeCell ref="E4:E5"/>
    <mergeCell ref="F4:F5"/>
  </mergeCells>
  <pageMargins left="0.25" right="0.25" top="0.75" bottom="0.75" header="0.3" footer="0.3"/>
  <pageSetup paperSize="768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zoomScaleNormal="100" workbookViewId="0">
      <pane xSplit="1" ySplit="5" topLeftCell="B6" activePane="bottomRight" state="frozen"/>
      <selection pane="topRight"/>
      <selection pane="bottomLeft"/>
      <selection pane="bottomRight" activeCell="B29" sqref="B29"/>
    </sheetView>
  </sheetViews>
  <sheetFormatPr defaultRowHeight="15"/>
  <cols>
    <col min="1" max="1" width="23.7109375" customWidth="1"/>
    <col min="2" max="13" width="6.28515625" customWidth="1"/>
    <col min="14" max="14" width="1.42578125" customWidth="1"/>
    <col min="15" max="19" width="6.28515625" customWidth="1"/>
    <col min="20" max="20" width="1.42578125" customWidth="1"/>
    <col min="21" max="21" width="8.140625" customWidth="1"/>
  </cols>
  <sheetData>
    <row r="1" spans="1:23" ht="23.25">
      <c r="A1" s="733" t="s">
        <v>202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</row>
    <row r="2" spans="1:23" ht="15.75" thickBot="1"/>
    <row r="3" spans="1:23">
      <c r="A3" s="748" t="s">
        <v>26</v>
      </c>
      <c r="B3" s="751" t="s">
        <v>25</v>
      </c>
      <c r="C3" s="752"/>
      <c r="D3" s="752"/>
      <c r="E3" s="753" t="s">
        <v>24</v>
      </c>
      <c r="F3" s="754"/>
      <c r="G3" s="754"/>
      <c r="H3" s="753" t="s">
        <v>23</v>
      </c>
      <c r="I3" s="754"/>
      <c r="J3" s="754"/>
      <c r="K3" s="751" t="s">
        <v>22</v>
      </c>
      <c r="L3" s="752"/>
      <c r="M3" s="755"/>
      <c r="N3" s="30"/>
      <c r="O3" s="751" t="s">
        <v>4</v>
      </c>
      <c r="P3" s="752"/>
      <c r="Q3" s="752"/>
      <c r="R3" s="752"/>
      <c r="S3" s="755"/>
      <c r="T3" s="30"/>
      <c r="U3" s="658"/>
    </row>
    <row r="4" spans="1:23">
      <c r="A4" s="749"/>
      <c r="B4" s="737" t="s">
        <v>21</v>
      </c>
      <c r="C4" s="739" t="s">
        <v>20</v>
      </c>
      <c r="D4" s="739" t="s">
        <v>19</v>
      </c>
      <c r="E4" s="737" t="s">
        <v>18</v>
      </c>
      <c r="F4" s="739" t="s">
        <v>17</v>
      </c>
      <c r="G4" s="739" t="s">
        <v>16</v>
      </c>
      <c r="H4" s="737" t="s">
        <v>15</v>
      </c>
      <c r="I4" s="739" t="s">
        <v>14</v>
      </c>
      <c r="J4" s="739" t="s">
        <v>13</v>
      </c>
      <c r="K4" s="737" t="s">
        <v>12</v>
      </c>
      <c r="L4" s="739" t="s">
        <v>11</v>
      </c>
      <c r="M4" s="744" t="s">
        <v>10</v>
      </c>
      <c r="N4" s="29"/>
      <c r="O4" s="737" t="s">
        <v>9</v>
      </c>
      <c r="P4" s="739" t="s">
        <v>8</v>
      </c>
      <c r="Q4" s="739" t="s">
        <v>7</v>
      </c>
      <c r="R4" s="739" t="s">
        <v>6</v>
      </c>
      <c r="S4" s="744" t="s">
        <v>5</v>
      </c>
      <c r="T4" s="29"/>
      <c r="U4" s="743"/>
    </row>
    <row r="5" spans="1:23" ht="15.75" thickBot="1">
      <c r="A5" s="750"/>
      <c r="B5" s="738"/>
      <c r="C5" s="740"/>
      <c r="D5" s="740"/>
      <c r="E5" s="747"/>
      <c r="F5" s="732"/>
      <c r="G5" s="732"/>
      <c r="H5" s="747"/>
      <c r="I5" s="732"/>
      <c r="J5" s="732"/>
      <c r="K5" s="747"/>
      <c r="L5" s="732"/>
      <c r="M5" s="742"/>
      <c r="N5" s="29"/>
      <c r="O5" s="747"/>
      <c r="P5" s="732"/>
      <c r="Q5" s="732"/>
      <c r="R5" s="732"/>
      <c r="S5" s="742"/>
      <c r="T5" s="29"/>
      <c r="U5" s="743"/>
    </row>
    <row r="6" spans="1:23">
      <c r="A6" s="387" t="s">
        <v>101</v>
      </c>
      <c r="B6" s="352">
        <v>100</v>
      </c>
      <c r="C6" s="365">
        <v>92</v>
      </c>
      <c r="D6" s="351">
        <v>100</v>
      </c>
      <c r="E6" s="352">
        <v>92</v>
      </c>
      <c r="F6" s="365">
        <v>100</v>
      </c>
      <c r="G6" s="351">
        <v>96</v>
      </c>
      <c r="H6" s="352">
        <v>104</v>
      </c>
      <c r="I6" s="365">
        <v>98</v>
      </c>
      <c r="J6" s="351">
        <v>98</v>
      </c>
      <c r="K6" s="352">
        <v>104</v>
      </c>
      <c r="L6" s="365">
        <v>90</v>
      </c>
      <c r="M6" s="351">
        <v>90</v>
      </c>
      <c r="N6" s="14"/>
      <c r="O6" s="105">
        <f t="shared" ref="O6:O8" si="0">SUM(B6:D6)</f>
        <v>292</v>
      </c>
      <c r="P6" s="104">
        <f t="shared" ref="P6:P16" si="1">SUM(E6:G6)</f>
        <v>288</v>
      </c>
      <c r="Q6" s="104">
        <f t="shared" ref="Q6:Q16" si="2">SUM(H6:J6)</f>
        <v>300</v>
      </c>
      <c r="R6" s="104">
        <f t="shared" ref="R6:R16" si="3">SUM(K6:M6)</f>
        <v>284</v>
      </c>
      <c r="S6" s="148">
        <f t="shared" ref="S6:S17" si="4">SUM(O6:R6)</f>
        <v>1164</v>
      </c>
      <c r="T6" s="14"/>
      <c r="U6" s="657"/>
    </row>
    <row r="7" spans="1:23">
      <c r="A7" s="388" t="s">
        <v>97</v>
      </c>
      <c r="B7" s="372">
        <v>50</v>
      </c>
      <c r="C7" s="373">
        <v>46</v>
      </c>
      <c r="D7" s="374">
        <v>50</v>
      </c>
      <c r="E7" s="372">
        <v>46</v>
      </c>
      <c r="F7" s="373">
        <v>50</v>
      </c>
      <c r="G7" s="374">
        <v>48</v>
      </c>
      <c r="H7" s="372">
        <v>52</v>
      </c>
      <c r="I7" s="373">
        <v>50</v>
      </c>
      <c r="J7" s="374">
        <v>48</v>
      </c>
      <c r="K7" s="372">
        <v>52</v>
      </c>
      <c r="L7" s="373">
        <v>46</v>
      </c>
      <c r="M7" s="374">
        <v>45</v>
      </c>
      <c r="N7" s="14"/>
      <c r="O7" s="115">
        <f>SUM(B7:D7)</f>
        <v>146</v>
      </c>
      <c r="P7" s="18">
        <f t="shared" si="1"/>
        <v>144</v>
      </c>
      <c r="Q7" s="18">
        <f t="shared" si="2"/>
        <v>150</v>
      </c>
      <c r="R7" s="18">
        <f t="shared" si="3"/>
        <v>143</v>
      </c>
      <c r="S7" s="25">
        <f t="shared" si="4"/>
        <v>583</v>
      </c>
      <c r="T7" s="14"/>
      <c r="U7" s="657"/>
    </row>
    <row r="8" spans="1:23">
      <c r="A8" s="388" t="s">
        <v>103</v>
      </c>
      <c r="B8" s="378">
        <v>54</v>
      </c>
      <c r="C8" s="379">
        <v>50</v>
      </c>
      <c r="D8" s="380">
        <v>54</v>
      </c>
      <c r="E8" s="378">
        <v>50</v>
      </c>
      <c r="F8" s="379">
        <v>54</v>
      </c>
      <c r="G8" s="380">
        <v>52</v>
      </c>
      <c r="H8" s="378">
        <v>56</v>
      </c>
      <c r="I8" s="379">
        <v>54</v>
      </c>
      <c r="J8" s="380">
        <v>54</v>
      </c>
      <c r="K8" s="378">
        <v>56</v>
      </c>
      <c r="L8" s="379">
        <v>50</v>
      </c>
      <c r="M8" s="380">
        <v>50</v>
      </c>
      <c r="N8" s="14"/>
      <c r="O8" s="19">
        <f t="shared" si="0"/>
        <v>158</v>
      </c>
      <c r="P8" s="18">
        <f t="shared" si="1"/>
        <v>156</v>
      </c>
      <c r="Q8" s="18">
        <f t="shared" si="2"/>
        <v>164</v>
      </c>
      <c r="R8" s="18">
        <f t="shared" si="3"/>
        <v>156</v>
      </c>
      <c r="S8" s="25">
        <f t="shared" si="4"/>
        <v>634</v>
      </c>
      <c r="T8" s="14"/>
      <c r="U8" s="657"/>
      <c r="W8" s="80"/>
    </row>
    <row r="9" spans="1:23">
      <c r="A9" s="388" t="s">
        <v>105</v>
      </c>
      <c r="B9" s="384">
        <v>42</v>
      </c>
      <c r="C9" s="385">
        <v>39</v>
      </c>
      <c r="D9" s="386">
        <v>42</v>
      </c>
      <c r="E9" s="384">
        <v>39</v>
      </c>
      <c r="F9" s="385">
        <v>42</v>
      </c>
      <c r="G9" s="386">
        <v>40</v>
      </c>
      <c r="H9" s="384">
        <v>43</v>
      </c>
      <c r="I9" s="385">
        <v>42</v>
      </c>
      <c r="J9" s="386">
        <v>42</v>
      </c>
      <c r="K9" s="384">
        <v>44</v>
      </c>
      <c r="L9" s="385">
        <v>40</v>
      </c>
      <c r="M9" s="386">
        <v>40</v>
      </c>
      <c r="N9" s="14"/>
      <c r="O9" s="115">
        <f t="shared" ref="O9:O15" si="5">SUM(B9:D9)</f>
        <v>123</v>
      </c>
      <c r="P9" s="18">
        <f t="shared" si="1"/>
        <v>121</v>
      </c>
      <c r="Q9" s="18">
        <f t="shared" si="2"/>
        <v>127</v>
      </c>
      <c r="R9" s="18">
        <f t="shared" si="3"/>
        <v>124</v>
      </c>
      <c r="S9" s="25">
        <f t="shared" si="4"/>
        <v>495</v>
      </c>
      <c r="T9" s="14"/>
      <c r="U9" s="657"/>
      <c r="W9" s="80"/>
    </row>
    <row r="10" spans="1:23">
      <c r="A10" s="388" t="s">
        <v>98</v>
      </c>
      <c r="B10" s="356">
        <v>42</v>
      </c>
      <c r="C10" s="357">
        <v>37</v>
      </c>
      <c r="D10" s="358">
        <v>41</v>
      </c>
      <c r="E10" s="356">
        <v>36</v>
      </c>
      <c r="F10" s="357">
        <v>41</v>
      </c>
      <c r="G10" s="358">
        <v>39</v>
      </c>
      <c r="H10" s="356">
        <v>42</v>
      </c>
      <c r="I10" s="357">
        <v>40</v>
      </c>
      <c r="J10" s="358">
        <v>40</v>
      </c>
      <c r="K10" s="356">
        <v>42</v>
      </c>
      <c r="L10" s="357">
        <v>37</v>
      </c>
      <c r="M10" s="358">
        <v>36</v>
      </c>
      <c r="N10" s="14"/>
      <c r="O10" s="115">
        <f t="shared" si="5"/>
        <v>120</v>
      </c>
      <c r="P10" s="18">
        <f t="shared" si="1"/>
        <v>116</v>
      </c>
      <c r="Q10" s="18">
        <f t="shared" si="2"/>
        <v>122</v>
      </c>
      <c r="R10" s="18">
        <f t="shared" si="3"/>
        <v>115</v>
      </c>
      <c r="S10" s="25">
        <f t="shared" si="4"/>
        <v>473</v>
      </c>
      <c r="T10" s="14"/>
      <c r="U10" s="657"/>
      <c r="W10" s="80"/>
    </row>
    <row r="11" spans="1:23">
      <c r="A11" s="388" t="s">
        <v>99</v>
      </c>
      <c r="B11" s="366">
        <v>50</v>
      </c>
      <c r="C11" s="367">
        <v>46</v>
      </c>
      <c r="D11" s="368">
        <v>50</v>
      </c>
      <c r="E11" s="366">
        <v>46</v>
      </c>
      <c r="F11" s="367">
        <v>50</v>
      </c>
      <c r="G11" s="368">
        <v>48</v>
      </c>
      <c r="H11" s="366">
        <v>50</v>
      </c>
      <c r="I11" s="367">
        <v>50</v>
      </c>
      <c r="J11" s="368">
        <v>48</v>
      </c>
      <c r="K11" s="366">
        <v>52</v>
      </c>
      <c r="L11" s="367">
        <v>46</v>
      </c>
      <c r="M11" s="368">
        <v>44</v>
      </c>
      <c r="N11" s="14"/>
      <c r="O11" s="115">
        <f t="shared" si="5"/>
        <v>146</v>
      </c>
      <c r="P11" s="18">
        <f t="shared" si="1"/>
        <v>144</v>
      </c>
      <c r="Q11" s="18">
        <f t="shared" si="2"/>
        <v>148</v>
      </c>
      <c r="R11" s="18">
        <f t="shared" si="3"/>
        <v>142</v>
      </c>
      <c r="S11" s="25">
        <f t="shared" si="4"/>
        <v>580</v>
      </c>
      <c r="T11" s="14"/>
      <c r="U11" s="657"/>
      <c r="W11" s="80"/>
    </row>
    <row r="12" spans="1:23">
      <c r="A12" s="388" t="s">
        <v>142</v>
      </c>
      <c r="B12" s="353">
        <v>36</v>
      </c>
      <c r="C12" s="354">
        <v>33</v>
      </c>
      <c r="D12" s="355">
        <v>36</v>
      </c>
      <c r="E12" s="353">
        <v>33</v>
      </c>
      <c r="F12" s="354">
        <v>36</v>
      </c>
      <c r="G12" s="355">
        <v>35</v>
      </c>
      <c r="H12" s="353">
        <v>37</v>
      </c>
      <c r="I12" s="354">
        <v>35</v>
      </c>
      <c r="J12" s="355">
        <v>36</v>
      </c>
      <c r="K12" s="353">
        <v>37</v>
      </c>
      <c r="L12" s="354">
        <v>33</v>
      </c>
      <c r="M12" s="355">
        <v>33</v>
      </c>
      <c r="N12" s="14"/>
      <c r="O12" s="115">
        <f t="shared" si="5"/>
        <v>105</v>
      </c>
      <c r="P12" s="18">
        <f t="shared" si="1"/>
        <v>104</v>
      </c>
      <c r="Q12" s="18">
        <f t="shared" si="2"/>
        <v>108</v>
      </c>
      <c r="R12" s="18">
        <f t="shared" si="3"/>
        <v>103</v>
      </c>
      <c r="S12" s="25">
        <f t="shared" si="4"/>
        <v>420</v>
      </c>
      <c r="T12" s="14"/>
      <c r="U12" s="657"/>
      <c r="W12" s="80"/>
    </row>
    <row r="13" spans="1:23">
      <c r="A13" s="388" t="s">
        <v>100</v>
      </c>
      <c r="B13" s="369">
        <v>28</v>
      </c>
      <c r="C13" s="370">
        <v>26</v>
      </c>
      <c r="D13" s="371">
        <v>29</v>
      </c>
      <c r="E13" s="369">
        <v>27</v>
      </c>
      <c r="F13" s="370">
        <v>29</v>
      </c>
      <c r="G13" s="371">
        <v>28</v>
      </c>
      <c r="H13" s="369">
        <v>29</v>
      </c>
      <c r="I13" s="370">
        <v>29</v>
      </c>
      <c r="J13" s="371">
        <v>28</v>
      </c>
      <c r="K13" s="369">
        <v>30</v>
      </c>
      <c r="L13" s="370">
        <v>27</v>
      </c>
      <c r="M13" s="371">
        <v>26</v>
      </c>
      <c r="N13" s="14"/>
      <c r="O13" s="115">
        <f t="shared" si="5"/>
        <v>83</v>
      </c>
      <c r="P13" s="18">
        <f t="shared" si="1"/>
        <v>84</v>
      </c>
      <c r="Q13" s="18">
        <f t="shared" si="2"/>
        <v>86</v>
      </c>
      <c r="R13" s="18">
        <f t="shared" si="3"/>
        <v>83</v>
      </c>
      <c r="S13" s="25">
        <f t="shared" si="4"/>
        <v>336</v>
      </c>
      <c r="T13" s="14"/>
      <c r="U13" s="657"/>
      <c r="W13" s="80"/>
    </row>
    <row r="14" spans="1:23">
      <c r="A14" s="388" t="s">
        <v>104</v>
      </c>
      <c r="B14" s="381">
        <v>36</v>
      </c>
      <c r="C14" s="382">
        <v>34</v>
      </c>
      <c r="D14" s="383">
        <v>36</v>
      </c>
      <c r="E14" s="381">
        <v>34</v>
      </c>
      <c r="F14" s="382">
        <v>36</v>
      </c>
      <c r="G14" s="383">
        <v>35</v>
      </c>
      <c r="H14" s="381">
        <v>38</v>
      </c>
      <c r="I14" s="382">
        <v>35</v>
      </c>
      <c r="J14" s="383">
        <v>36</v>
      </c>
      <c r="K14" s="381">
        <v>38</v>
      </c>
      <c r="L14" s="382">
        <v>34</v>
      </c>
      <c r="M14" s="383">
        <v>33</v>
      </c>
      <c r="N14" s="14"/>
      <c r="O14" s="115">
        <f t="shared" si="5"/>
        <v>106</v>
      </c>
      <c r="P14" s="18">
        <f t="shared" si="1"/>
        <v>105</v>
      </c>
      <c r="Q14" s="18">
        <f t="shared" si="2"/>
        <v>109</v>
      </c>
      <c r="R14" s="18">
        <f t="shared" si="3"/>
        <v>105</v>
      </c>
      <c r="S14" s="25">
        <f t="shared" si="4"/>
        <v>425</v>
      </c>
      <c r="T14" s="14"/>
      <c r="U14" s="657"/>
      <c r="W14" s="80"/>
    </row>
    <row r="15" spans="1:23">
      <c r="A15" s="388" t="s">
        <v>102</v>
      </c>
      <c r="B15" s="375">
        <v>26</v>
      </c>
      <c r="C15" s="376">
        <v>24</v>
      </c>
      <c r="D15" s="377">
        <v>26</v>
      </c>
      <c r="E15" s="375">
        <v>24</v>
      </c>
      <c r="F15" s="376">
        <v>26</v>
      </c>
      <c r="G15" s="377">
        <v>24</v>
      </c>
      <c r="H15" s="375">
        <v>27</v>
      </c>
      <c r="I15" s="376">
        <v>26</v>
      </c>
      <c r="J15" s="377">
        <v>26</v>
      </c>
      <c r="K15" s="375">
        <v>28</v>
      </c>
      <c r="L15" s="376">
        <v>25</v>
      </c>
      <c r="M15" s="377">
        <v>26</v>
      </c>
      <c r="N15" s="14"/>
      <c r="O15" s="115">
        <f t="shared" si="5"/>
        <v>76</v>
      </c>
      <c r="P15" s="18">
        <f t="shared" si="1"/>
        <v>74</v>
      </c>
      <c r="Q15" s="18">
        <f t="shared" si="2"/>
        <v>79</v>
      </c>
      <c r="R15" s="18">
        <f t="shared" si="3"/>
        <v>79</v>
      </c>
      <c r="S15" s="25">
        <f t="shared" si="4"/>
        <v>308</v>
      </c>
      <c r="T15" s="14"/>
      <c r="U15" s="657"/>
      <c r="W15" s="80"/>
    </row>
    <row r="16" spans="1:23">
      <c r="A16" s="389" t="s">
        <v>173</v>
      </c>
      <c r="B16" s="359">
        <v>36</v>
      </c>
      <c r="C16" s="360">
        <v>33</v>
      </c>
      <c r="D16" s="361">
        <v>36</v>
      </c>
      <c r="E16" s="359">
        <v>33</v>
      </c>
      <c r="F16" s="360">
        <v>36</v>
      </c>
      <c r="G16" s="361">
        <v>35</v>
      </c>
      <c r="H16" s="359">
        <v>37</v>
      </c>
      <c r="I16" s="360">
        <v>36</v>
      </c>
      <c r="J16" s="361">
        <v>35</v>
      </c>
      <c r="K16" s="359">
        <v>37</v>
      </c>
      <c r="L16" s="360">
        <v>33</v>
      </c>
      <c r="M16" s="361">
        <v>33</v>
      </c>
      <c r="N16" s="14"/>
      <c r="O16" s="88">
        <f>SUM(B16:D16)</f>
        <v>105</v>
      </c>
      <c r="P16" s="132">
        <f t="shared" si="1"/>
        <v>104</v>
      </c>
      <c r="Q16" s="132">
        <f t="shared" si="2"/>
        <v>108</v>
      </c>
      <c r="R16" s="132">
        <f t="shared" si="3"/>
        <v>103</v>
      </c>
      <c r="S16" s="172">
        <f t="shared" si="4"/>
        <v>420</v>
      </c>
      <c r="T16" s="14"/>
      <c r="U16" s="657"/>
    </row>
    <row r="17" spans="1:21">
      <c r="A17" s="390" t="s">
        <v>184</v>
      </c>
      <c r="B17" s="362">
        <v>0</v>
      </c>
      <c r="C17" s="363">
        <v>0</v>
      </c>
      <c r="D17" s="364">
        <v>0</v>
      </c>
      <c r="E17" s="362">
        <v>0</v>
      </c>
      <c r="F17" s="363">
        <v>0</v>
      </c>
      <c r="G17" s="364">
        <v>0</v>
      </c>
      <c r="H17" s="362">
        <v>15</v>
      </c>
      <c r="I17" s="363">
        <v>20</v>
      </c>
      <c r="J17" s="364">
        <v>25</v>
      </c>
      <c r="K17" s="362">
        <v>25</v>
      </c>
      <c r="L17" s="363">
        <v>25</v>
      </c>
      <c r="M17" s="364">
        <v>30</v>
      </c>
      <c r="N17" s="14"/>
      <c r="O17" s="19">
        <f>SUM(B17:D17)</f>
        <v>0</v>
      </c>
      <c r="P17" s="18">
        <f>SUM(E17:G17)</f>
        <v>0</v>
      </c>
      <c r="Q17" s="18">
        <f>SUM(H17:J17)</f>
        <v>60</v>
      </c>
      <c r="R17" s="18">
        <f>SUM(K17:M17)</f>
        <v>80</v>
      </c>
      <c r="S17" s="172">
        <f t="shared" si="4"/>
        <v>140</v>
      </c>
      <c r="T17" s="14"/>
      <c r="U17" s="657"/>
    </row>
    <row r="18" spans="1:21">
      <c r="A18" s="13"/>
      <c r="B18" s="19"/>
      <c r="C18" s="18"/>
      <c r="D18" s="18"/>
      <c r="E18" s="19"/>
      <c r="F18" s="18"/>
      <c r="G18" s="18"/>
      <c r="H18" s="19"/>
      <c r="I18" s="18"/>
      <c r="J18" s="18"/>
      <c r="K18" s="103"/>
      <c r="L18" s="102"/>
      <c r="M18" s="126"/>
      <c r="N18" s="14"/>
      <c r="O18" s="19"/>
      <c r="P18" s="18"/>
      <c r="Q18" s="18"/>
      <c r="R18" s="18"/>
      <c r="S18" s="21"/>
      <c r="T18" s="14"/>
      <c r="U18" s="657"/>
    </row>
    <row r="19" spans="1:21" ht="15.75" thickBot="1">
      <c r="A19" s="20"/>
      <c r="B19" s="17"/>
      <c r="C19" s="16"/>
      <c r="D19" s="16"/>
      <c r="E19" s="68"/>
      <c r="F19" s="69"/>
      <c r="G19" s="70"/>
      <c r="H19" s="17"/>
      <c r="I19" s="16"/>
      <c r="J19" s="16"/>
      <c r="K19" s="101"/>
      <c r="L19" s="100"/>
      <c r="M19" s="152"/>
      <c r="N19" s="14"/>
      <c r="O19" s="68"/>
      <c r="P19" s="69"/>
      <c r="Q19" s="69"/>
      <c r="R19" s="69"/>
      <c r="S19" s="15"/>
      <c r="T19" s="14"/>
      <c r="U19" s="657"/>
    </row>
    <row r="20" spans="1:21" s="1" customFormat="1">
      <c r="A20" s="35" t="s">
        <v>3</v>
      </c>
      <c r="B20" s="36">
        <f t="shared" ref="B20:M20" si="6">SUM(B6:B19)</f>
        <v>500</v>
      </c>
      <c r="C20" s="37">
        <f t="shared" si="6"/>
        <v>460</v>
      </c>
      <c r="D20" s="37">
        <f t="shared" si="6"/>
        <v>500</v>
      </c>
      <c r="E20" s="66">
        <f t="shared" si="6"/>
        <v>460</v>
      </c>
      <c r="F20" s="67">
        <f t="shared" si="6"/>
        <v>500</v>
      </c>
      <c r="G20" s="67">
        <f t="shared" si="6"/>
        <v>480</v>
      </c>
      <c r="H20" s="36">
        <f t="shared" si="6"/>
        <v>530</v>
      </c>
      <c r="I20" s="37">
        <f t="shared" si="6"/>
        <v>515</v>
      </c>
      <c r="J20" s="37">
        <f t="shared" si="6"/>
        <v>516</v>
      </c>
      <c r="K20" s="110">
        <f t="shared" si="6"/>
        <v>545</v>
      </c>
      <c r="L20" s="111">
        <f t="shared" si="6"/>
        <v>486</v>
      </c>
      <c r="M20" s="113">
        <f t="shared" si="6"/>
        <v>486</v>
      </c>
      <c r="N20" s="12"/>
      <c r="O20" s="71">
        <f>SUM(B20:D20)</f>
        <v>1460</v>
      </c>
      <c r="P20" s="72">
        <f>SUM(E20:G20)</f>
        <v>1440</v>
      </c>
      <c r="Q20" s="72">
        <f>SUM(H20:J20)</f>
        <v>1561</v>
      </c>
      <c r="R20" s="72">
        <f>SUM(K20:M20)</f>
        <v>1517</v>
      </c>
      <c r="S20" s="39">
        <f>SUM(O20:R20)</f>
        <v>5978</v>
      </c>
      <c r="T20" s="11"/>
      <c r="U20" s="657"/>
    </row>
    <row r="21" spans="1:21" s="1" customFormat="1">
      <c r="A21" s="161" t="s">
        <v>39</v>
      </c>
      <c r="B21" s="165">
        <f t="shared" ref="B21:M21" si="7">B20</f>
        <v>500</v>
      </c>
      <c r="C21" s="38">
        <f t="shared" si="7"/>
        <v>460</v>
      </c>
      <c r="D21" s="161">
        <f t="shared" si="7"/>
        <v>500</v>
      </c>
      <c r="E21" s="165">
        <f t="shared" si="7"/>
        <v>460</v>
      </c>
      <c r="F21" s="38">
        <f t="shared" si="7"/>
        <v>500</v>
      </c>
      <c r="G21" s="38">
        <f t="shared" si="7"/>
        <v>480</v>
      </c>
      <c r="H21" s="38">
        <f t="shared" si="7"/>
        <v>530</v>
      </c>
      <c r="I21" s="38">
        <f t="shared" si="7"/>
        <v>515</v>
      </c>
      <c r="J21" s="161">
        <f t="shared" si="7"/>
        <v>516</v>
      </c>
      <c r="K21" s="165">
        <f t="shared" si="7"/>
        <v>545</v>
      </c>
      <c r="L21" s="162">
        <f t="shared" si="7"/>
        <v>486</v>
      </c>
      <c r="M21" s="161">
        <f t="shared" si="7"/>
        <v>486</v>
      </c>
      <c r="N21" s="12"/>
      <c r="O21" s="31">
        <f>SUM(B21:D21)</f>
        <v>1460</v>
      </c>
      <c r="P21" s="32">
        <f>SUM(E21:G21)</f>
        <v>1440</v>
      </c>
      <c r="Q21" s="32">
        <f>SUM(H21:J21)</f>
        <v>1561</v>
      </c>
      <c r="R21" s="32">
        <f>SUM(K21:M21)</f>
        <v>1517</v>
      </c>
      <c r="S21" s="25">
        <f>SUM(O21:R21)</f>
        <v>5978</v>
      </c>
      <c r="T21" s="11"/>
      <c r="U21" s="33"/>
    </row>
    <row r="22" spans="1:21">
      <c r="O22" s="10">
        <f>O20/S20</f>
        <v>0.24422883907661425</v>
      </c>
      <c r="P22" s="10">
        <f>P20/S20</f>
        <v>0.24088323854131816</v>
      </c>
      <c r="Q22" s="10">
        <f>Q20/S20</f>
        <v>0.2611241217798595</v>
      </c>
      <c r="R22" s="10">
        <f>R20/S20</f>
        <v>0.2537638006022081</v>
      </c>
      <c r="S22" s="9">
        <f>SUM(O22:R22)</f>
        <v>1</v>
      </c>
      <c r="T22" s="8"/>
      <c r="U22" s="7">
        <f>S22</f>
        <v>1</v>
      </c>
    </row>
    <row r="23" spans="1:21">
      <c r="E23" s="6"/>
      <c r="F23" s="6"/>
      <c r="G23" s="6"/>
      <c r="H23" s="6"/>
      <c r="I23" s="6"/>
      <c r="J23" s="6"/>
      <c r="K23" s="6"/>
      <c r="L23" s="6"/>
      <c r="M23" s="6"/>
      <c r="O23" s="82">
        <f>O21/S21</f>
        <v>0.24422883907661425</v>
      </c>
      <c r="P23" s="82">
        <f>P21/S21</f>
        <v>0.24088323854131816</v>
      </c>
      <c r="Q23" s="82">
        <f>Q21/S21</f>
        <v>0.2611241217798595</v>
      </c>
      <c r="R23" s="82">
        <f>R21/S21</f>
        <v>0.2537638006022081</v>
      </c>
      <c r="S23" s="5">
        <f>SUM(O23:R23)</f>
        <v>1</v>
      </c>
      <c r="U23" s="4"/>
    </row>
    <row r="24" spans="1:21" s="1" customFormat="1">
      <c r="B24" s="1" t="s">
        <v>146</v>
      </c>
      <c r="G24" s="559"/>
      <c r="H24" s="559"/>
      <c r="I24" s="559"/>
    </row>
    <row r="25" spans="1:21" s="1" customFormat="1">
      <c r="G25" s="559"/>
      <c r="H25" s="559"/>
      <c r="I25" s="559"/>
    </row>
    <row r="26" spans="1:21" s="1" customFormat="1">
      <c r="B26" s="3"/>
      <c r="C26" s="3"/>
      <c r="D26" s="3"/>
      <c r="G26" s="559"/>
      <c r="H26" s="559"/>
      <c r="I26" s="559"/>
    </row>
    <row r="27" spans="1:21" s="1" customFormat="1">
      <c r="B27" s="2" t="s">
        <v>27</v>
      </c>
      <c r="G27" s="559"/>
      <c r="H27" s="559"/>
      <c r="I27" s="559"/>
    </row>
    <row r="28" spans="1:21" s="1" customFormat="1">
      <c r="B28" s="1" t="s">
        <v>222</v>
      </c>
      <c r="G28" s="559"/>
      <c r="H28" s="559"/>
      <c r="I28" s="559"/>
    </row>
    <row r="29" spans="1:21">
      <c r="G29" s="149"/>
      <c r="H29" s="149"/>
      <c r="I29" s="149"/>
    </row>
  </sheetData>
  <mergeCells count="25">
    <mergeCell ref="P4:P5"/>
    <mergeCell ref="Q4:Q5"/>
    <mergeCell ref="R4:R5"/>
    <mergeCell ref="S4:S5"/>
    <mergeCell ref="G4:G5"/>
    <mergeCell ref="H4:H5"/>
    <mergeCell ref="I4:I5"/>
    <mergeCell ref="J4:J5"/>
    <mergeCell ref="O4:O5"/>
    <mergeCell ref="A1:U1"/>
    <mergeCell ref="A3:A5"/>
    <mergeCell ref="B3:D3"/>
    <mergeCell ref="E3:G3"/>
    <mergeCell ref="H3:J3"/>
    <mergeCell ref="K3:M3"/>
    <mergeCell ref="K4:K5"/>
    <mergeCell ref="L4:L5"/>
    <mergeCell ref="M4:M5"/>
    <mergeCell ref="U4:U5"/>
    <mergeCell ref="O3:S3"/>
    <mergeCell ref="B4:B5"/>
    <mergeCell ref="C4:C5"/>
    <mergeCell ref="D4:D5"/>
    <mergeCell ref="E4:E5"/>
    <mergeCell ref="F4:F5"/>
  </mergeCells>
  <pageMargins left="0.25" right="0.25" top="0.75" bottom="0.75" header="0.3" footer="0.3"/>
  <pageSetup paperSize="768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zoomScaleNormal="100" workbookViewId="0">
      <pane xSplit="1" ySplit="5" topLeftCell="B6" activePane="bottomRight" state="frozen"/>
      <selection pane="topRight"/>
      <selection pane="bottomLeft"/>
      <selection pane="bottomRight" activeCell="J27" sqref="J27"/>
    </sheetView>
  </sheetViews>
  <sheetFormatPr defaultRowHeight="15"/>
  <cols>
    <col min="1" max="1" width="20" customWidth="1"/>
    <col min="2" max="13" width="6.28515625" customWidth="1"/>
    <col min="14" max="14" width="1.42578125" customWidth="1"/>
    <col min="15" max="19" width="6.28515625" customWidth="1"/>
    <col min="20" max="20" width="1.42578125" customWidth="1"/>
    <col min="21" max="21" width="8.140625" customWidth="1"/>
  </cols>
  <sheetData>
    <row r="1" spans="1:22" ht="23.25">
      <c r="A1" s="733" t="s">
        <v>203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</row>
    <row r="2" spans="1:22" ht="15.75" thickBot="1"/>
    <row r="3" spans="1:22">
      <c r="A3" s="748" t="s">
        <v>26</v>
      </c>
      <c r="B3" s="751" t="s">
        <v>25</v>
      </c>
      <c r="C3" s="752"/>
      <c r="D3" s="752"/>
      <c r="E3" s="753" t="s">
        <v>24</v>
      </c>
      <c r="F3" s="754"/>
      <c r="G3" s="754"/>
      <c r="H3" s="753" t="s">
        <v>23</v>
      </c>
      <c r="I3" s="754"/>
      <c r="J3" s="754"/>
      <c r="K3" s="751" t="s">
        <v>22</v>
      </c>
      <c r="L3" s="752"/>
      <c r="M3" s="755"/>
      <c r="N3" s="30"/>
      <c r="O3" s="751" t="s">
        <v>4</v>
      </c>
      <c r="P3" s="752"/>
      <c r="Q3" s="752"/>
      <c r="R3" s="752"/>
      <c r="S3" s="755"/>
      <c r="T3" s="30"/>
      <c r="U3" s="658"/>
    </row>
    <row r="4" spans="1:22">
      <c r="A4" s="749"/>
      <c r="B4" s="737" t="s">
        <v>21</v>
      </c>
      <c r="C4" s="739" t="s">
        <v>20</v>
      </c>
      <c r="D4" s="739" t="s">
        <v>19</v>
      </c>
      <c r="E4" s="737" t="s">
        <v>18</v>
      </c>
      <c r="F4" s="739" t="s">
        <v>17</v>
      </c>
      <c r="G4" s="739" t="s">
        <v>16</v>
      </c>
      <c r="H4" s="737" t="s">
        <v>15</v>
      </c>
      <c r="I4" s="739" t="s">
        <v>14</v>
      </c>
      <c r="J4" s="739" t="s">
        <v>13</v>
      </c>
      <c r="K4" s="737" t="s">
        <v>12</v>
      </c>
      <c r="L4" s="739" t="s">
        <v>11</v>
      </c>
      <c r="M4" s="744" t="s">
        <v>10</v>
      </c>
      <c r="N4" s="29"/>
      <c r="O4" s="737" t="s">
        <v>9</v>
      </c>
      <c r="P4" s="739" t="s">
        <v>8</v>
      </c>
      <c r="Q4" s="739" t="s">
        <v>7</v>
      </c>
      <c r="R4" s="739" t="s">
        <v>6</v>
      </c>
      <c r="S4" s="744" t="s">
        <v>5</v>
      </c>
      <c r="T4" s="29"/>
      <c r="U4" s="743"/>
    </row>
    <row r="5" spans="1:22" ht="15.75" thickBot="1">
      <c r="A5" s="750"/>
      <c r="B5" s="738"/>
      <c r="C5" s="732"/>
      <c r="D5" s="732"/>
      <c r="E5" s="747"/>
      <c r="F5" s="732"/>
      <c r="G5" s="732"/>
      <c r="H5" s="747"/>
      <c r="I5" s="732"/>
      <c r="J5" s="732"/>
      <c r="K5" s="747"/>
      <c r="L5" s="732"/>
      <c r="M5" s="742"/>
      <c r="N5" s="29"/>
      <c r="O5" s="747"/>
      <c r="P5" s="732"/>
      <c r="Q5" s="732"/>
      <c r="R5" s="732"/>
      <c r="S5" s="742"/>
      <c r="T5" s="29"/>
      <c r="U5" s="743"/>
    </row>
    <row r="6" spans="1:22">
      <c r="A6" s="156" t="s">
        <v>160</v>
      </c>
      <c r="B6" s="617">
        <v>65</v>
      </c>
      <c r="C6" s="618">
        <v>60</v>
      </c>
      <c r="D6" s="619">
        <v>65</v>
      </c>
      <c r="E6" s="620">
        <v>60</v>
      </c>
      <c r="F6" s="618">
        <v>65</v>
      </c>
      <c r="G6" s="616">
        <v>65</v>
      </c>
      <c r="H6" s="622">
        <v>65</v>
      </c>
      <c r="I6" s="618">
        <v>65</v>
      </c>
      <c r="J6" s="619">
        <v>60</v>
      </c>
      <c r="K6" s="620">
        <v>65</v>
      </c>
      <c r="L6" s="618">
        <v>65</v>
      </c>
      <c r="M6" s="616">
        <v>70</v>
      </c>
      <c r="N6" s="14"/>
      <c r="O6" s="203">
        <f t="shared" ref="O6:O14" si="0">SUM(B6:D6)</f>
        <v>190</v>
      </c>
      <c r="P6" s="202">
        <f t="shared" ref="P6:P14" si="1">SUM(E6:G6)</f>
        <v>190</v>
      </c>
      <c r="Q6" s="202">
        <f t="shared" ref="Q6:Q14" si="2">SUM(H6:J6)</f>
        <v>190</v>
      </c>
      <c r="R6" s="202">
        <f t="shared" ref="R6:R15" si="3">SUM(K6:M6)</f>
        <v>200</v>
      </c>
      <c r="S6" s="206">
        <f t="shared" ref="S6:S15" si="4">SUM(O6:R6)</f>
        <v>770</v>
      </c>
      <c r="T6" s="155"/>
      <c r="U6" s="501"/>
      <c r="V6" s="155"/>
    </row>
    <row r="7" spans="1:22">
      <c r="A7" s="157" t="s">
        <v>107</v>
      </c>
      <c r="B7" s="623">
        <v>35</v>
      </c>
      <c r="C7" s="624">
        <v>25</v>
      </c>
      <c r="D7" s="625">
        <v>34</v>
      </c>
      <c r="E7" s="626">
        <v>28</v>
      </c>
      <c r="F7" s="624">
        <v>34</v>
      </c>
      <c r="G7" s="627">
        <v>32</v>
      </c>
      <c r="H7" s="628">
        <v>32</v>
      </c>
      <c r="I7" s="624">
        <v>30</v>
      </c>
      <c r="J7" s="625">
        <v>30</v>
      </c>
      <c r="K7" s="626">
        <v>35</v>
      </c>
      <c r="L7" s="624">
        <v>37</v>
      </c>
      <c r="M7" s="627">
        <v>38</v>
      </c>
      <c r="N7" s="14"/>
      <c r="O7" s="88">
        <f t="shared" si="0"/>
        <v>94</v>
      </c>
      <c r="P7" s="132">
        <f t="shared" si="1"/>
        <v>94</v>
      </c>
      <c r="Q7" s="132">
        <f t="shared" si="2"/>
        <v>92</v>
      </c>
      <c r="R7" s="132">
        <f t="shared" si="3"/>
        <v>110</v>
      </c>
      <c r="S7" s="172">
        <f t="shared" si="4"/>
        <v>390</v>
      </c>
      <c r="T7" s="155"/>
      <c r="U7" s="501"/>
      <c r="V7" s="155"/>
    </row>
    <row r="8" spans="1:22">
      <c r="A8" s="157" t="s">
        <v>110</v>
      </c>
      <c r="B8" s="617">
        <v>35</v>
      </c>
      <c r="C8" s="618">
        <v>28</v>
      </c>
      <c r="D8" s="619">
        <v>35</v>
      </c>
      <c r="E8" s="620">
        <v>30</v>
      </c>
      <c r="F8" s="618">
        <v>32</v>
      </c>
      <c r="G8" s="616">
        <v>33</v>
      </c>
      <c r="H8" s="622">
        <v>30</v>
      </c>
      <c r="I8" s="618">
        <v>30</v>
      </c>
      <c r="J8" s="619">
        <v>30</v>
      </c>
      <c r="K8" s="620">
        <v>35</v>
      </c>
      <c r="L8" s="618">
        <v>35</v>
      </c>
      <c r="M8" s="616">
        <v>35</v>
      </c>
      <c r="N8" s="14"/>
      <c r="O8" s="88">
        <f t="shared" si="0"/>
        <v>98</v>
      </c>
      <c r="P8" s="132">
        <f t="shared" si="1"/>
        <v>95</v>
      </c>
      <c r="Q8" s="132">
        <f t="shared" si="2"/>
        <v>90</v>
      </c>
      <c r="R8" s="132">
        <f t="shared" si="3"/>
        <v>105</v>
      </c>
      <c r="S8" s="172">
        <f t="shared" si="4"/>
        <v>388</v>
      </c>
      <c r="T8" s="155"/>
      <c r="U8" s="501"/>
      <c r="V8" s="155"/>
    </row>
    <row r="9" spans="1:22">
      <c r="A9" s="157" t="s">
        <v>109</v>
      </c>
      <c r="B9" s="617">
        <v>35</v>
      </c>
      <c r="C9" s="618">
        <v>28</v>
      </c>
      <c r="D9" s="619">
        <v>35</v>
      </c>
      <c r="E9" s="620">
        <v>30</v>
      </c>
      <c r="F9" s="618">
        <v>35</v>
      </c>
      <c r="G9" s="616">
        <v>35</v>
      </c>
      <c r="H9" s="622">
        <v>30</v>
      </c>
      <c r="I9" s="618">
        <v>30</v>
      </c>
      <c r="J9" s="619">
        <v>30</v>
      </c>
      <c r="K9" s="620">
        <v>34</v>
      </c>
      <c r="L9" s="618">
        <v>38</v>
      </c>
      <c r="M9" s="616">
        <v>40</v>
      </c>
      <c r="N9" s="14"/>
      <c r="O9" s="88">
        <f t="shared" si="0"/>
        <v>98</v>
      </c>
      <c r="P9" s="132">
        <f t="shared" si="1"/>
        <v>100</v>
      </c>
      <c r="Q9" s="132">
        <f t="shared" si="2"/>
        <v>90</v>
      </c>
      <c r="R9" s="132">
        <f t="shared" si="3"/>
        <v>112</v>
      </c>
      <c r="S9" s="172">
        <f t="shared" si="4"/>
        <v>400</v>
      </c>
      <c r="T9" s="155"/>
      <c r="U9" s="501"/>
      <c r="V9" s="155"/>
    </row>
    <row r="10" spans="1:22">
      <c r="A10" s="157" t="s">
        <v>106</v>
      </c>
      <c r="B10" s="617">
        <v>40</v>
      </c>
      <c r="C10" s="618">
        <v>35</v>
      </c>
      <c r="D10" s="619">
        <v>40</v>
      </c>
      <c r="E10" s="620">
        <v>35</v>
      </c>
      <c r="F10" s="618">
        <v>40</v>
      </c>
      <c r="G10" s="616">
        <v>40</v>
      </c>
      <c r="H10" s="622">
        <v>40</v>
      </c>
      <c r="I10" s="618">
        <v>40</v>
      </c>
      <c r="J10" s="619">
        <v>35</v>
      </c>
      <c r="K10" s="620">
        <v>45</v>
      </c>
      <c r="L10" s="618">
        <v>45</v>
      </c>
      <c r="M10" s="616">
        <v>45</v>
      </c>
      <c r="N10" s="14"/>
      <c r="O10" s="88">
        <f t="shared" si="0"/>
        <v>115</v>
      </c>
      <c r="P10" s="132">
        <f t="shared" si="1"/>
        <v>115</v>
      </c>
      <c r="Q10" s="132">
        <f t="shared" si="2"/>
        <v>115</v>
      </c>
      <c r="R10" s="132">
        <f t="shared" si="3"/>
        <v>135</v>
      </c>
      <c r="S10" s="172">
        <f t="shared" si="4"/>
        <v>480</v>
      </c>
      <c r="T10" s="155"/>
      <c r="U10" s="501"/>
      <c r="V10" s="155"/>
    </row>
    <row r="11" spans="1:22">
      <c r="A11" s="157" t="s">
        <v>108</v>
      </c>
      <c r="B11" s="617">
        <v>30</v>
      </c>
      <c r="C11" s="618">
        <v>28</v>
      </c>
      <c r="D11" s="619">
        <v>34</v>
      </c>
      <c r="E11" s="620">
        <v>30</v>
      </c>
      <c r="F11" s="618">
        <v>34</v>
      </c>
      <c r="G11" s="616">
        <v>34</v>
      </c>
      <c r="H11" s="622">
        <v>35</v>
      </c>
      <c r="I11" s="618">
        <v>30</v>
      </c>
      <c r="J11" s="619">
        <v>30</v>
      </c>
      <c r="K11" s="620">
        <v>32</v>
      </c>
      <c r="L11" s="618">
        <v>34</v>
      </c>
      <c r="M11" s="616">
        <v>36</v>
      </c>
      <c r="N11" s="14"/>
      <c r="O11" s="88">
        <f t="shared" si="0"/>
        <v>92</v>
      </c>
      <c r="P11" s="132">
        <f t="shared" si="1"/>
        <v>98</v>
      </c>
      <c r="Q11" s="132">
        <f t="shared" si="2"/>
        <v>95</v>
      </c>
      <c r="R11" s="132">
        <f t="shared" si="3"/>
        <v>102</v>
      </c>
      <c r="S11" s="172">
        <f t="shared" si="4"/>
        <v>387</v>
      </c>
      <c r="T11" s="155"/>
      <c r="U11" s="501"/>
      <c r="V11" s="155"/>
    </row>
    <row r="12" spans="1:22">
      <c r="A12" s="157" t="s">
        <v>111</v>
      </c>
      <c r="B12" s="629">
        <v>25</v>
      </c>
      <c r="C12" s="630">
        <v>20</v>
      </c>
      <c r="D12" s="630">
        <v>32</v>
      </c>
      <c r="E12" s="631">
        <v>22</v>
      </c>
      <c r="F12" s="630">
        <v>30</v>
      </c>
      <c r="G12" s="630">
        <v>30</v>
      </c>
      <c r="H12" s="631">
        <v>28</v>
      </c>
      <c r="I12" s="630">
        <v>25</v>
      </c>
      <c r="J12" s="630">
        <v>25</v>
      </c>
      <c r="K12" s="631">
        <v>28</v>
      </c>
      <c r="L12" s="630">
        <v>31</v>
      </c>
      <c r="M12" s="632">
        <v>33</v>
      </c>
      <c r="N12" s="14"/>
      <c r="O12" s="88">
        <f t="shared" si="0"/>
        <v>77</v>
      </c>
      <c r="P12" s="132">
        <f t="shared" si="1"/>
        <v>82</v>
      </c>
      <c r="Q12" s="132">
        <f t="shared" si="2"/>
        <v>78</v>
      </c>
      <c r="R12" s="132">
        <f t="shared" si="3"/>
        <v>92</v>
      </c>
      <c r="S12" s="172">
        <f t="shared" si="4"/>
        <v>329</v>
      </c>
      <c r="T12" s="155"/>
      <c r="U12" s="501"/>
      <c r="V12" s="155"/>
    </row>
    <row r="13" spans="1:22">
      <c r="A13" s="157" t="s">
        <v>112</v>
      </c>
      <c r="B13" s="633">
        <v>25</v>
      </c>
      <c r="C13" s="634">
        <v>20</v>
      </c>
      <c r="D13" s="634">
        <v>25</v>
      </c>
      <c r="E13" s="631">
        <v>20</v>
      </c>
      <c r="F13" s="630">
        <v>30</v>
      </c>
      <c r="G13" s="630">
        <v>25</v>
      </c>
      <c r="H13" s="631">
        <v>25</v>
      </c>
      <c r="I13" s="630">
        <v>21</v>
      </c>
      <c r="J13" s="630">
        <v>20</v>
      </c>
      <c r="K13" s="631">
        <v>25</v>
      </c>
      <c r="L13" s="630">
        <v>25</v>
      </c>
      <c r="M13" s="632">
        <v>30</v>
      </c>
      <c r="N13" s="14"/>
      <c r="O13" s="88">
        <f t="shared" si="0"/>
        <v>70</v>
      </c>
      <c r="P13" s="132">
        <f t="shared" si="1"/>
        <v>75</v>
      </c>
      <c r="Q13" s="132">
        <f t="shared" si="2"/>
        <v>66</v>
      </c>
      <c r="R13" s="132">
        <f t="shared" si="3"/>
        <v>80</v>
      </c>
      <c r="S13" s="172">
        <f t="shared" si="4"/>
        <v>291</v>
      </c>
      <c r="T13" s="155"/>
      <c r="U13" s="501"/>
      <c r="V13" s="155"/>
    </row>
    <row r="14" spans="1:22">
      <c r="A14" s="157" t="s">
        <v>155</v>
      </c>
      <c r="B14" s="615">
        <v>34</v>
      </c>
      <c r="C14" s="618">
        <v>30</v>
      </c>
      <c r="D14" s="619">
        <v>30</v>
      </c>
      <c r="E14" s="620">
        <v>34</v>
      </c>
      <c r="F14" s="618">
        <v>35</v>
      </c>
      <c r="G14" s="616">
        <v>34</v>
      </c>
      <c r="H14" s="622">
        <v>30</v>
      </c>
      <c r="I14" s="618">
        <v>35</v>
      </c>
      <c r="J14" s="619">
        <v>35</v>
      </c>
      <c r="K14" s="620">
        <v>34</v>
      </c>
      <c r="L14" s="618">
        <v>34</v>
      </c>
      <c r="M14" s="616">
        <v>35</v>
      </c>
      <c r="N14" s="14"/>
      <c r="O14" s="88">
        <f t="shared" si="0"/>
        <v>94</v>
      </c>
      <c r="P14" s="132">
        <f t="shared" si="1"/>
        <v>103</v>
      </c>
      <c r="Q14" s="132">
        <f t="shared" si="2"/>
        <v>100</v>
      </c>
      <c r="R14" s="132">
        <f t="shared" si="3"/>
        <v>103</v>
      </c>
      <c r="S14" s="172">
        <f t="shared" si="4"/>
        <v>400</v>
      </c>
      <c r="T14" s="155"/>
      <c r="U14" s="501"/>
      <c r="V14" s="155"/>
    </row>
    <row r="15" spans="1:22">
      <c r="A15" s="187" t="s">
        <v>159</v>
      </c>
      <c r="B15" s="629">
        <v>22</v>
      </c>
      <c r="C15" s="630">
        <v>20</v>
      </c>
      <c r="D15" s="630">
        <v>21</v>
      </c>
      <c r="E15" s="631">
        <v>22</v>
      </c>
      <c r="F15" s="630">
        <v>28</v>
      </c>
      <c r="G15" s="630">
        <v>28</v>
      </c>
      <c r="H15" s="631">
        <v>30</v>
      </c>
      <c r="I15" s="630">
        <v>25</v>
      </c>
      <c r="J15" s="630">
        <v>25</v>
      </c>
      <c r="K15" s="631">
        <v>30</v>
      </c>
      <c r="L15" s="630">
        <v>32</v>
      </c>
      <c r="M15" s="632">
        <v>32</v>
      </c>
      <c r="N15" s="14"/>
      <c r="O15" s="88">
        <f>SUM(B15:D15)</f>
        <v>63</v>
      </c>
      <c r="P15" s="132">
        <f>SUM(E15:G15)</f>
        <v>78</v>
      </c>
      <c r="Q15" s="132">
        <f>SUM(H15:J15)</f>
        <v>80</v>
      </c>
      <c r="R15" s="132">
        <f t="shared" si="3"/>
        <v>94</v>
      </c>
      <c r="S15" s="172">
        <f t="shared" si="4"/>
        <v>315</v>
      </c>
      <c r="T15" s="155"/>
      <c r="U15" s="501"/>
      <c r="V15" s="155"/>
    </row>
    <row r="16" spans="1:22">
      <c r="A16" s="13"/>
      <c r="B16" s="88"/>
      <c r="C16" s="132"/>
      <c r="D16" s="132"/>
      <c r="E16" s="88"/>
      <c r="F16" s="132"/>
      <c r="G16" s="132"/>
      <c r="H16" s="88"/>
      <c r="I16" s="132"/>
      <c r="J16" s="132"/>
      <c r="K16" s="88"/>
      <c r="L16" s="132"/>
      <c r="M16" s="191"/>
      <c r="N16" s="14"/>
      <c r="O16" s="88"/>
      <c r="P16" s="132"/>
      <c r="Q16" s="132"/>
      <c r="R16" s="132"/>
      <c r="S16" s="192"/>
      <c r="T16" s="155"/>
      <c r="U16" s="501"/>
      <c r="V16" s="155"/>
    </row>
    <row r="17" spans="1:22">
      <c r="A17" s="13"/>
      <c r="B17" s="19"/>
      <c r="C17" s="18"/>
      <c r="D17" s="18"/>
      <c r="E17" s="19"/>
      <c r="F17" s="18"/>
      <c r="G17" s="18"/>
      <c r="H17" s="19"/>
      <c r="I17" s="18"/>
      <c r="J17" s="18"/>
      <c r="K17" s="19"/>
      <c r="L17" s="18"/>
      <c r="M17" s="126"/>
      <c r="N17" s="14"/>
      <c r="O17" s="88"/>
      <c r="P17" s="132"/>
      <c r="Q17" s="132"/>
      <c r="R17" s="132"/>
      <c r="S17" s="192"/>
      <c r="T17" s="155"/>
      <c r="U17" s="501"/>
      <c r="V17" s="155"/>
    </row>
    <row r="18" spans="1:22" ht="15.75" thickBot="1">
      <c r="A18" s="20"/>
      <c r="B18" s="17"/>
      <c r="C18" s="16"/>
      <c r="D18" s="16"/>
      <c r="E18" s="68"/>
      <c r="F18" s="69"/>
      <c r="G18" s="70"/>
      <c r="H18" s="17"/>
      <c r="I18" s="16"/>
      <c r="J18" s="16"/>
      <c r="K18" s="17"/>
      <c r="L18" s="16"/>
      <c r="M18" s="152"/>
      <c r="N18" s="14"/>
      <c r="O18" s="189"/>
      <c r="P18" s="190"/>
      <c r="Q18" s="190"/>
      <c r="R18" s="190"/>
      <c r="S18" s="207"/>
      <c r="T18" s="155"/>
      <c r="U18" s="501"/>
      <c r="V18" s="155"/>
    </row>
    <row r="19" spans="1:22" s="1" customFormat="1">
      <c r="A19" s="35" t="s">
        <v>3</v>
      </c>
      <c r="B19" s="36">
        <f>SUM(B6:B18)</f>
        <v>346</v>
      </c>
      <c r="C19" s="37">
        <f t="shared" ref="C19:M19" si="5">SUM(C6:C18)</f>
        <v>294</v>
      </c>
      <c r="D19" s="37">
        <f t="shared" si="5"/>
        <v>351</v>
      </c>
      <c r="E19" s="66">
        <f t="shared" si="5"/>
        <v>311</v>
      </c>
      <c r="F19" s="67">
        <f t="shared" si="5"/>
        <v>363</v>
      </c>
      <c r="G19" s="67">
        <f t="shared" si="5"/>
        <v>356</v>
      </c>
      <c r="H19" s="36">
        <f t="shared" si="5"/>
        <v>345</v>
      </c>
      <c r="I19" s="37">
        <f t="shared" si="5"/>
        <v>331</v>
      </c>
      <c r="J19" s="37">
        <f t="shared" si="5"/>
        <v>320</v>
      </c>
      <c r="K19" s="36">
        <f t="shared" si="5"/>
        <v>363</v>
      </c>
      <c r="L19" s="37">
        <f t="shared" si="5"/>
        <v>376</v>
      </c>
      <c r="M19" s="113">
        <f t="shared" si="5"/>
        <v>394</v>
      </c>
      <c r="N19" s="12"/>
      <c r="O19" s="208">
        <f>SUM(B19:D19)</f>
        <v>991</v>
      </c>
      <c r="P19" s="209">
        <f>SUM(E19:G19)</f>
        <v>1030</v>
      </c>
      <c r="Q19" s="209">
        <f>SUM(H19:J19)</f>
        <v>996</v>
      </c>
      <c r="R19" s="209">
        <f>SUM(K19:M19)</f>
        <v>1133</v>
      </c>
      <c r="S19" s="210">
        <f>SUM(O19:R19)</f>
        <v>4150</v>
      </c>
      <c r="T19" s="95"/>
      <c r="U19" s="501"/>
      <c r="V19" s="95"/>
    </row>
    <row r="20" spans="1:22" s="1" customFormat="1">
      <c r="A20" s="161" t="s">
        <v>39</v>
      </c>
      <c r="B20" s="163">
        <v>310</v>
      </c>
      <c r="C20" s="162">
        <v>310</v>
      </c>
      <c r="D20" s="161">
        <v>340</v>
      </c>
      <c r="E20" s="165">
        <v>300</v>
      </c>
      <c r="F20" s="38">
        <v>350</v>
      </c>
      <c r="G20" s="161">
        <v>330</v>
      </c>
      <c r="H20" s="165">
        <v>339</v>
      </c>
      <c r="I20" s="38">
        <v>320</v>
      </c>
      <c r="J20" s="161">
        <v>330</v>
      </c>
      <c r="K20" s="165">
        <v>340</v>
      </c>
      <c r="L20" s="38">
        <v>330</v>
      </c>
      <c r="M20" s="106">
        <v>360</v>
      </c>
      <c r="N20" s="12"/>
      <c r="O20" s="211">
        <f>SUM(B20:D20)</f>
        <v>960</v>
      </c>
      <c r="P20" s="188">
        <f>SUM(E20:G20)</f>
        <v>980</v>
      </c>
      <c r="Q20" s="188">
        <f>SUM(H20:J20)</f>
        <v>989</v>
      </c>
      <c r="R20" s="188">
        <f>SUM(K20:M20)</f>
        <v>1030</v>
      </c>
      <c r="S20" s="172">
        <f>SUM(O20:R20)</f>
        <v>3959</v>
      </c>
      <c r="T20" s="95"/>
      <c r="U20" s="182"/>
      <c r="V20" s="95"/>
    </row>
    <row r="21" spans="1:22"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O21" s="10">
        <f>O19/S19</f>
        <v>0.23879518072289158</v>
      </c>
      <c r="P21" s="10">
        <f>P19/S19</f>
        <v>0.24819277108433735</v>
      </c>
      <c r="Q21" s="10">
        <f>Q19/S19</f>
        <v>0.24</v>
      </c>
      <c r="R21" s="10">
        <f>R19/S19</f>
        <v>0.27301204819277108</v>
      </c>
      <c r="S21" s="9">
        <f>SUM(O21:R21)</f>
        <v>1</v>
      </c>
      <c r="T21" s="8"/>
      <c r="U21" s="7">
        <f>S21</f>
        <v>1</v>
      </c>
    </row>
    <row r="22" spans="1:22">
      <c r="B22" s="295"/>
      <c r="C22" s="295"/>
      <c r="D22" s="295"/>
      <c r="E22" s="295"/>
      <c r="F22" s="295"/>
      <c r="G22" s="295"/>
      <c r="H22" s="295"/>
      <c r="I22" s="295"/>
      <c r="J22" s="295"/>
      <c r="K22" s="295"/>
      <c r="L22" s="295"/>
      <c r="M22" s="295"/>
      <c r="O22" s="82">
        <f>O20/S20</f>
        <v>0.24248547613033594</v>
      </c>
      <c r="P22" s="82">
        <f>P20/S20</f>
        <v>0.24753725688305128</v>
      </c>
      <c r="Q22" s="82">
        <f>Q20/S20</f>
        <v>0.24981055822177317</v>
      </c>
      <c r="R22" s="82">
        <f>R20/S20</f>
        <v>0.2601667087648396</v>
      </c>
      <c r="S22" s="81">
        <f>SUM(O22:R22)</f>
        <v>1</v>
      </c>
      <c r="U22" s="4"/>
    </row>
    <row r="23" spans="1:22" s="1" customFormat="1">
      <c r="B23" s="1" t="s">
        <v>146</v>
      </c>
      <c r="G23" s="559"/>
      <c r="H23" s="559"/>
      <c r="I23" s="559"/>
    </row>
    <row r="24" spans="1:22" s="1" customFormat="1">
      <c r="G24" s="559"/>
      <c r="H24" s="559"/>
      <c r="I24" s="559"/>
    </row>
    <row r="25" spans="1:22" s="1" customFormat="1">
      <c r="B25" s="3"/>
      <c r="C25" s="3"/>
      <c r="D25" s="3"/>
      <c r="G25" s="559"/>
      <c r="H25" s="559"/>
      <c r="I25" s="559"/>
    </row>
    <row r="26" spans="1:22" s="1" customFormat="1">
      <c r="B26" s="2" t="s">
        <v>27</v>
      </c>
      <c r="G26" s="559"/>
      <c r="H26" s="559"/>
      <c r="I26" s="559"/>
    </row>
    <row r="27" spans="1:22" s="1" customFormat="1">
      <c r="B27" s="1" t="s">
        <v>222</v>
      </c>
      <c r="G27" s="559"/>
      <c r="H27" s="559"/>
      <c r="I27" s="559"/>
    </row>
    <row r="28" spans="1:22">
      <c r="G28" s="149"/>
      <c r="H28" s="149"/>
      <c r="I28" s="149"/>
    </row>
  </sheetData>
  <mergeCells count="25">
    <mergeCell ref="P4:P5"/>
    <mergeCell ref="Q4:Q5"/>
    <mergeCell ref="R4:R5"/>
    <mergeCell ref="S4:S5"/>
    <mergeCell ref="G4:G5"/>
    <mergeCell ref="H4:H5"/>
    <mergeCell ref="I4:I5"/>
    <mergeCell ref="J4:J5"/>
    <mergeCell ref="O4:O5"/>
    <mergeCell ref="A1:U1"/>
    <mergeCell ref="A3:A5"/>
    <mergeCell ref="B3:D3"/>
    <mergeCell ref="E3:G3"/>
    <mergeCell ref="H3:J3"/>
    <mergeCell ref="K3:M3"/>
    <mergeCell ref="K4:K5"/>
    <mergeCell ref="L4:L5"/>
    <mergeCell ref="M4:M5"/>
    <mergeCell ref="U4:U5"/>
    <mergeCell ref="O3:S3"/>
    <mergeCell ref="B4:B5"/>
    <mergeCell ref="C4:C5"/>
    <mergeCell ref="D4:D5"/>
    <mergeCell ref="E4:E5"/>
    <mergeCell ref="F4:F5"/>
  </mergeCells>
  <pageMargins left="0.25" right="0.25" top="0.75" bottom="0.75" header="0.3" footer="0.3"/>
  <pageSetup paperSize="768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zoomScaleNormal="100" workbookViewId="0">
      <selection activeCell="B27" sqref="B27"/>
    </sheetView>
  </sheetViews>
  <sheetFormatPr defaultRowHeight="15"/>
  <cols>
    <col min="1" max="1" width="22.140625" bestFit="1" customWidth="1"/>
    <col min="2" max="13" width="6.28515625" customWidth="1"/>
    <col min="14" max="14" width="1.42578125" customWidth="1"/>
    <col min="15" max="19" width="6.28515625" customWidth="1"/>
    <col min="20" max="20" width="1.42578125" customWidth="1"/>
    <col min="21" max="21" width="8.140625" customWidth="1"/>
  </cols>
  <sheetData>
    <row r="1" spans="1:21" ht="23.25">
      <c r="A1" s="733" t="s">
        <v>204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</row>
    <row r="2" spans="1:21" ht="15.75" thickBot="1"/>
    <row r="3" spans="1:21">
      <c r="A3" s="748" t="s">
        <v>26</v>
      </c>
      <c r="B3" s="751" t="s">
        <v>25</v>
      </c>
      <c r="C3" s="752"/>
      <c r="D3" s="752"/>
      <c r="E3" s="753" t="s">
        <v>24</v>
      </c>
      <c r="F3" s="754"/>
      <c r="G3" s="754"/>
      <c r="H3" s="753" t="s">
        <v>23</v>
      </c>
      <c r="I3" s="754"/>
      <c r="J3" s="754"/>
      <c r="K3" s="751" t="s">
        <v>22</v>
      </c>
      <c r="L3" s="752"/>
      <c r="M3" s="755"/>
      <c r="N3" s="30"/>
      <c r="O3" s="751" t="s">
        <v>4</v>
      </c>
      <c r="P3" s="752"/>
      <c r="Q3" s="752"/>
      <c r="R3" s="752"/>
      <c r="S3" s="755"/>
      <c r="T3" s="30"/>
      <c r="U3" s="658"/>
    </row>
    <row r="4" spans="1:21">
      <c r="A4" s="749"/>
      <c r="B4" s="737" t="s">
        <v>21</v>
      </c>
      <c r="C4" s="739" t="s">
        <v>20</v>
      </c>
      <c r="D4" s="739" t="s">
        <v>19</v>
      </c>
      <c r="E4" s="737" t="s">
        <v>18</v>
      </c>
      <c r="F4" s="739" t="s">
        <v>17</v>
      </c>
      <c r="G4" s="739" t="s">
        <v>16</v>
      </c>
      <c r="H4" s="737" t="s">
        <v>15</v>
      </c>
      <c r="I4" s="739" t="s">
        <v>14</v>
      </c>
      <c r="J4" s="739" t="s">
        <v>13</v>
      </c>
      <c r="K4" s="737" t="s">
        <v>12</v>
      </c>
      <c r="L4" s="739" t="s">
        <v>11</v>
      </c>
      <c r="M4" s="744" t="s">
        <v>10</v>
      </c>
      <c r="N4" s="29"/>
      <c r="O4" s="737" t="s">
        <v>9</v>
      </c>
      <c r="P4" s="739" t="s">
        <v>8</v>
      </c>
      <c r="Q4" s="739" t="s">
        <v>7</v>
      </c>
      <c r="R4" s="739" t="s">
        <v>6</v>
      </c>
      <c r="S4" s="744" t="s">
        <v>5</v>
      </c>
      <c r="T4" s="29"/>
      <c r="U4" s="743"/>
    </row>
    <row r="5" spans="1:21" ht="15.75" thickBot="1">
      <c r="A5" s="750"/>
      <c r="B5" s="738"/>
      <c r="C5" s="740"/>
      <c r="D5" s="740"/>
      <c r="E5" s="738"/>
      <c r="F5" s="740"/>
      <c r="G5" s="740"/>
      <c r="H5" s="738"/>
      <c r="I5" s="740"/>
      <c r="J5" s="740"/>
      <c r="K5" s="738"/>
      <c r="L5" s="740"/>
      <c r="M5" s="745"/>
      <c r="N5" s="29"/>
      <c r="O5" s="747"/>
      <c r="P5" s="732"/>
      <c r="Q5" s="732"/>
      <c r="R5" s="732"/>
      <c r="S5" s="742"/>
      <c r="T5" s="29"/>
      <c r="U5" s="743"/>
    </row>
    <row r="6" spans="1:21">
      <c r="A6" s="28" t="s">
        <v>148</v>
      </c>
      <c r="B6" s="485">
        <v>15</v>
      </c>
      <c r="C6" s="482">
        <v>15</v>
      </c>
      <c r="D6" s="482">
        <v>18</v>
      </c>
      <c r="E6" s="483">
        <v>17</v>
      </c>
      <c r="F6" s="482">
        <v>16</v>
      </c>
      <c r="G6" s="482">
        <v>16</v>
      </c>
      <c r="H6" s="483">
        <v>16</v>
      </c>
      <c r="I6" s="482">
        <v>16</v>
      </c>
      <c r="J6" s="482">
        <v>16</v>
      </c>
      <c r="K6" s="483">
        <v>18</v>
      </c>
      <c r="L6" s="482">
        <v>20</v>
      </c>
      <c r="M6" s="484">
        <v>23</v>
      </c>
      <c r="N6" s="155"/>
      <c r="O6" s="203">
        <f>SUM(B6:D6)</f>
        <v>48</v>
      </c>
      <c r="P6" s="202">
        <f>SUM(E6:G6)</f>
        <v>49</v>
      </c>
      <c r="Q6" s="202">
        <f>SUM(H6:J6)</f>
        <v>48</v>
      </c>
      <c r="R6" s="202">
        <f>SUM(K6:M6)</f>
        <v>61</v>
      </c>
      <c r="S6" s="206">
        <f>SUM(O6:R6)</f>
        <v>206</v>
      </c>
      <c r="T6" s="155"/>
      <c r="U6" s="501"/>
    </row>
    <row r="7" spans="1:21">
      <c r="A7" s="27" t="s">
        <v>118</v>
      </c>
      <c r="B7" s="502">
        <v>16</v>
      </c>
      <c r="C7" s="487">
        <v>15</v>
      </c>
      <c r="D7" s="487">
        <v>20</v>
      </c>
      <c r="E7" s="488">
        <v>18</v>
      </c>
      <c r="F7" s="487">
        <v>20</v>
      </c>
      <c r="G7" s="487">
        <v>18</v>
      </c>
      <c r="H7" s="488">
        <v>18</v>
      </c>
      <c r="I7" s="487">
        <v>20</v>
      </c>
      <c r="J7" s="487">
        <v>18</v>
      </c>
      <c r="K7" s="488">
        <v>20</v>
      </c>
      <c r="L7" s="487">
        <v>21</v>
      </c>
      <c r="M7" s="489">
        <v>22</v>
      </c>
      <c r="N7" s="155"/>
      <c r="O7" s="88">
        <f>SUM(B7:D7)</f>
        <v>51</v>
      </c>
      <c r="P7" s="132">
        <f>SUM(E7:G7)</f>
        <v>56</v>
      </c>
      <c r="Q7" s="132">
        <f>SUM(H7:J7)</f>
        <v>56</v>
      </c>
      <c r="R7" s="132">
        <f>SUM(K7:M7)</f>
        <v>63</v>
      </c>
      <c r="S7" s="172">
        <f>SUM(O7:R7)</f>
        <v>226</v>
      </c>
      <c r="T7" s="155"/>
      <c r="U7" s="501"/>
    </row>
    <row r="8" spans="1:21">
      <c r="A8" s="27" t="s">
        <v>165</v>
      </c>
      <c r="B8" s="205">
        <v>15</v>
      </c>
      <c r="C8" s="132">
        <v>15</v>
      </c>
      <c r="D8" s="132">
        <v>15</v>
      </c>
      <c r="E8" s="88">
        <v>15</v>
      </c>
      <c r="F8" s="132">
        <v>16</v>
      </c>
      <c r="G8" s="132">
        <v>17</v>
      </c>
      <c r="H8" s="88">
        <v>15</v>
      </c>
      <c r="I8" s="132">
        <v>15</v>
      </c>
      <c r="J8" s="132">
        <v>15</v>
      </c>
      <c r="K8" s="88">
        <v>17</v>
      </c>
      <c r="L8" s="132">
        <v>18</v>
      </c>
      <c r="M8" s="191">
        <v>20</v>
      </c>
      <c r="N8" s="155"/>
      <c r="O8" s="88">
        <f>SUM(B8:D8)</f>
        <v>45</v>
      </c>
      <c r="P8" s="132">
        <f>SUM(E8:G8)</f>
        <v>48</v>
      </c>
      <c r="Q8" s="132">
        <f>SUM(H8:J8)</f>
        <v>45</v>
      </c>
      <c r="R8" s="132">
        <f>SUM(K8:M8)</f>
        <v>55</v>
      </c>
      <c r="S8" s="172">
        <f>SUM(O8:R8)</f>
        <v>193</v>
      </c>
      <c r="T8" s="155"/>
      <c r="U8" s="501"/>
    </row>
    <row r="9" spans="1:21">
      <c r="A9" s="27" t="s">
        <v>187</v>
      </c>
      <c r="B9" s="205"/>
      <c r="C9" s="132"/>
      <c r="D9" s="132"/>
      <c r="E9" s="88"/>
      <c r="F9" s="132"/>
      <c r="G9" s="132"/>
      <c r="H9" s="88"/>
      <c r="I9" s="132"/>
      <c r="J9" s="132"/>
      <c r="K9" s="88"/>
      <c r="L9" s="132"/>
      <c r="M9" s="191"/>
      <c r="N9" s="155"/>
      <c r="O9" s="88"/>
      <c r="P9" s="132"/>
      <c r="Q9" s="132"/>
      <c r="R9" s="132"/>
      <c r="S9" s="172"/>
      <c r="T9" s="155"/>
      <c r="U9" s="501"/>
    </row>
    <row r="10" spans="1:21">
      <c r="A10" s="27"/>
      <c r="B10" s="205"/>
      <c r="C10" s="132"/>
      <c r="D10" s="132"/>
      <c r="E10" s="88"/>
      <c r="F10" s="132"/>
      <c r="G10" s="132"/>
      <c r="H10" s="88"/>
      <c r="I10" s="132"/>
      <c r="J10" s="132"/>
      <c r="K10" s="88"/>
      <c r="L10" s="132"/>
      <c r="M10" s="191"/>
      <c r="N10" s="155"/>
      <c r="O10" s="88"/>
      <c r="P10" s="132"/>
      <c r="Q10" s="132"/>
      <c r="R10" s="132"/>
      <c r="S10" s="172"/>
      <c r="T10" s="155"/>
      <c r="U10" s="501"/>
    </row>
    <row r="11" spans="1:21">
      <c r="A11" s="27"/>
      <c r="B11" s="205"/>
      <c r="C11" s="132"/>
      <c r="D11" s="132"/>
      <c r="E11" s="88"/>
      <c r="F11" s="132"/>
      <c r="G11" s="132"/>
      <c r="H11" s="88"/>
      <c r="I11" s="132"/>
      <c r="J11" s="132"/>
      <c r="K11" s="88"/>
      <c r="L11" s="132"/>
      <c r="M11" s="191"/>
      <c r="N11" s="155"/>
      <c r="O11" s="88"/>
      <c r="P11" s="132"/>
      <c r="Q11" s="132"/>
      <c r="R11" s="132"/>
      <c r="S11" s="172"/>
      <c r="T11" s="155"/>
      <c r="U11" s="501"/>
    </row>
    <row r="12" spans="1:21">
      <c r="A12" s="27"/>
      <c r="B12" s="205"/>
      <c r="C12" s="132"/>
      <c r="D12" s="132"/>
      <c r="E12" s="88"/>
      <c r="F12" s="132"/>
      <c r="G12" s="132"/>
      <c r="H12" s="88"/>
      <c r="I12" s="132"/>
      <c r="J12" s="132"/>
      <c r="K12" s="88"/>
      <c r="L12" s="132"/>
      <c r="M12" s="191"/>
      <c r="N12" s="155"/>
      <c r="O12" s="88"/>
      <c r="P12" s="132"/>
      <c r="Q12" s="132"/>
      <c r="R12" s="132"/>
      <c r="S12" s="172"/>
      <c r="T12" s="155"/>
      <c r="U12" s="501"/>
    </row>
    <row r="13" spans="1:21">
      <c r="A13" s="27"/>
      <c r="B13" s="205"/>
      <c r="C13" s="132"/>
      <c r="D13" s="132"/>
      <c r="E13" s="88"/>
      <c r="F13" s="132"/>
      <c r="G13" s="132"/>
      <c r="H13" s="88"/>
      <c r="I13" s="132"/>
      <c r="J13" s="132"/>
      <c r="K13" s="88"/>
      <c r="L13" s="132"/>
      <c r="M13" s="191"/>
      <c r="N13" s="155"/>
      <c r="O13" s="88"/>
      <c r="P13" s="132"/>
      <c r="Q13" s="132"/>
      <c r="R13" s="132"/>
      <c r="S13" s="172"/>
      <c r="T13" s="155"/>
      <c r="U13" s="501"/>
    </row>
    <row r="14" spans="1:21">
      <c r="A14" s="24"/>
      <c r="B14" s="203"/>
      <c r="C14" s="202"/>
      <c r="D14" s="202"/>
      <c r="E14" s="88"/>
      <c r="F14" s="132"/>
      <c r="G14" s="132"/>
      <c r="H14" s="88"/>
      <c r="I14" s="132"/>
      <c r="J14" s="132"/>
      <c r="K14" s="88"/>
      <c r="L14" s="132"/>
      <c r="M14" s="191"/>
      <c r="N14" s="155"/>
      <c r="O14" s="88"/>
      <c r="P14" s="132"/>
      <c r="Q14" s="132"/>
      <c r="R14" s="132"/>
      <c r="S14" s="192"/>
      <c r="T14" s="155"/>
      <c r="U14" s="501"/>
    </row>
    <row r="15" spans="1:21">
      <c r="A15" s="13"/>
      <c r="B15" s="88"/>
      <c r="C15" s="132"/>
      <c r="D15" s="132"/>
      <c r="E15" s="88"/>
      <c r="F15" s="132"/>
      <c r="G15" s="132"/>
      <c r="H15" s="88"/>
      <c r="I15" s="132"/>
      <c r="J15" s="132"/>
      <c r="K15" s="88"/>
      <c r="L15" s="132"/>
      <c r="M15" s="191"/>
      <c r="N15" s="155"/>
      <c r="O15" s="88"/>
      <c r="P15" s="132"/>
      <c r="Q15" s="132"/>
      <c r="R15" s="132"/>
      <c r="S15" s="192"/>
      <c r="T15" s="155"/>
      <c r="U15" s="501"/>
    </row>
    <row r="16" spans="1:21">
      <c r="A16" s="13"/>
      <c r="B16" s="88"/>
      <c r="C16" s="132"/>
      <c r="D16" s="132"/>
      <c r="E16" s="88"/>
      <c r="F16" s="132"/>
      <c r="G16" s="132"/>
      <c r="H16" s="88"/>
      <c r="I16" s="132"/>
      <c r="J16" s="132"/>
      <c r="K16" s="88"/>
      <c r="L16" s="132"/>
      <c r="M16" s="191"/>
      <c r="N16" s="155"/>
      <c r="O16" s="88"/>
      <c r="P16" s="132"/>
      <c r="Q16" s="132"/>
      <c r="R16" s="132"/>
      <c r="S16" s="192"/>
      <c r="T16" s="155"/>
      <c r="U16" s="501"/>
    </row>
    <row r="17" spans="1:21" ht="15.75" thickBot="1">
      <c r="A17" s="20"/>
      <c r="B17" s="174"/>
      <c r="C17" s="175"/>
      <c r="D17" s="175"/>
      <c r="E17" s="189"/>
      <c r="F17" s="190"/>
      <c r="G17" s="236"/>
      <c r="H17" s="174"/>
      <c r="I17" s="175"/>
      <c r="J17" s="175"/>
      <c r="K17" s="174"/>
      <c r="L17" s="175"/>
      <c r="M17" s="237"/>
      <c r="N17" s="155"/>
      <c r="O17" s="189"/>
      <c r="P17" s="190"/>
      <c r="Q17" s="190"/>
      <c r="R17" s="190"/>
      <c r="S17" s="207"/>
      <c r="T17" s="155"/>
      <c r="U17" s="501"/>
    </row>
    <row r="18" spans="1:21" s="1" customFormat="1">
      <c r="A18" s="35" t="s">
        <v>3</v>
      </c>
      <c r="B18" s="225">
        <f t="shared" ref="B18:M18" si="0">SUM(B6:B17)</f>
        <v>46</v>
      </c>
      <c r="C18" s="226">
        <f t="shared" si="0"/>
        <v>45</v>
      </c>
      <c r="D18" s="226">
        <f t="shared" si="0"/>
        <v>53</v>
      </c>
      <c r="E18" s="225">
        <f t="shared" si="0"/>
        <v>50</v>
      </c>
      <c r="F18" s="226">
        <f t="shared" si="0"/>
        <v>52</v>
      </c>
      <c r="G18" s="226">
        <f t="shared" si="0"/>
        <v>51</v>
      </c>
      <c r="H18" s="225">
        <f t="shared" si="0"/>
        <v>49</v>
      </c>
      <c r="I18" s="226">
        <f t="shared" si="0"/>
        <v>51</v>
      </c>
      <c r="J18" s="226">
        <f t="shared" si="0"/>
        <v>49</v>
      </c>
      <c r="K18" s="225">
        <f t="shared" si="0"/>
        <v>55</v>
      </c>
      <c r="L18" s="226">
        <f t="shared" si="0"/>
        <v>59</v>
      </c>
      <c r="M18" s="210">
        <f t="shared" si="0"/>
        <v>65</v>
      </c>
      <c r="N18" s="178"/>
      <c r="O18" s="176">
        <f>SUM(B18:D18)</f>
        <v>144</v>
      </c>
      <c r="P18" s="177">
        <f>SUM(E18:G18)</f>
        <v>153</v>
      </c>
      <c r="Q18" s="177">
        <f>SUM(H18:J18)</f>
        <v>149</v>
      </c>
      <c r="R18" s="177">
        <f>SUM(K18:M18)</f>
        <v>179</v>
      </c>
      <c r="S18" s="210">
        <f>SUM(O18:R18)</f>
        <v>625</v>
      </c>
      <c r="T18" s="95"/>
      <c r="U18" s="501"/>
    </row>
    <row r="19" spans="1:21" s="1" customFormat="1" ht="15.75" thickBot="1">
      <c r="A19" s="481" t="s">
        <v>39</v>
      </c>
      <c r="B19" s="480">
        <v>46</v>
      </c>
      <c r="C19" s="272">
        <v>46</v>
      </c>
      <c r="D19" s="184">
        <v>52</v>
      </c>
      <c r="E19" s="479">
        <v>48</v>
      </c>
      <c r="F19" s="272">
        <v>50</v>
      </c>
      <c r="G19" s="184">
        <v>49</v>
      </c>
      <c r="H19" s="479">
        <v>48</v>
      </c>
      <c r="I19" s="272">
        <v>49</v>
      </c>
      <c r="J19" s="184">
        <v>48</v>
      </c>
      <c r="K19" s="479">
        <v>54</v>
      </c>
      <c r="L19" s="272">
        <v>57</v>
      </c>
      <c r="M19" s="184">
        <v>64</v>
      </c>
      <c r="N19" s="178"/>
      <c r="O19" s="480">
        <f>SUM(B19:D19)</f>
        <v>144</v>
      </c>
      <c r="P19" s="272">
        <f>SUM(E19:G19)</f>
        <v>147</v>
      </c>
      <c r="Q19" s="272">
        <f>SUM(H19:J19)</f>
        <v>145</v>
      </c>
      <c r="R19" s="272">
        <f>SUM(K19:M19)</f>
        <v>175</v>
      </c>
      <c r="S19" s="184">
        <f>SUM(O19:R19)</f>
        <v>611</v>
      </c>
      <c r="T19" s="95"/>
      <c r="U19" s="182"/>
    </row>
    <row r="20" spans="1:21">
      <c r="B20" s="270">
        <v>18</v>
      </c>
      <c r="C20" s="270">
        <v>15</v>
      </c>
      <c r="D20" s="270">
        <v>16</v>
      </c>
      <c r="E20" s="270">
        <v>18</v>
      </c>
      <c r="F20" s="270">
        <v>18</v>
      </c>
      <c r="G20" s="270">
        <v>16</v>
      </c>
      <c r="H20" s="270">
        <v>16</v>
      </c>
      <c r="I20" s="270">
        <v>15</v>
      </c>
      <c r="J20" s="270">
        <v>15</v>
      </c>
      <c r="K20" s="270">
        <v>18</v>
      </c>
      <c r="L20" s="270">
        <v>20</v>
      </c>
      <c r="M20" s="270">
        <v>24</v>
      </c>
      <c r="O20" s="10">
        <f>O18/S18</f>
        <v>0.23039999999999999</v>
      </c>
      <c r="P20" s="10">
        <f>P18/S18</f>
        <v>0.24479999999999999</v>
      </c>
      <c r="Q20" s="10">
        <f>Q18/S18</f>
        <v>0.2384</v>
      </c>
      <c r="R20" s="10">
        <f>R18/S18</f>
        <v>0.28639999999999999</v>
      </c>
      <c r="S20" s="9">
        <f>SUM(O20:R20)</f>
        <v>1</v>
      </c>
      <c r="T20" s="8"/>
      <c r="U20" s="7">
        <f>S20</f>
        <v>1</v>
      </c>
    </row>
    <row r="21" spans="1:21">
      <c r="B21" s="271">
        <v>50</v>
      </c>
      <c r="C21" s="271">
        <v>45</v>
      </c>
      <c r="D21" s="271">
        <v>58</v>
      </c>
      <c r="E21" s="271">
        <v>60</v>
      </c>
      <c r="F21" s="271">
        <v>61</v>
      </c>
      <c r="G21" s="271">
        <v>61</v>
      </c>
      <c r="H21" s="271">
        <v>60</v>
      </c>
      <c r="I21" s="271">
        <v>57</v>
      </c>
      <c r="J21" s="271">
        <v>58</v>
      </c>
      <c r="K21" s="271">
        <v>64</v>
      </c>
      <c r="L21" s="271">
        <v>67</v>
      </c>
      <c r="M21" s="271">
        <v>77</v>
      </c>
      <c r="O21" s="82">
        <f>O19/S19</f>
        <v>0.23567921440261866</v>
      </c>
      <c r="P21" s="82">
        <f>P19/S19</f>
        <v>0.24058919803600654</v>
      </c>
      <c r="Q21" s="82">
        <f>Q19/S19</f>
        <v>0.23731587561374795</v>
      </c>
      <c r="R21" s="82">
        <f>R19/S19</f>
        <v>0.28641571194762683</v>
      </c>
      <c r="S21" s="5">
        <f>SUM(O21:R21)</f>
        <v>0.99999999999999989</v>
      </c>
      <c r="U21" s="4"/>
    </row>
    <row r="22" spans="1:21" s="1" customFormat="1">
      <c r="B22" s="1" t="s">
        <v>146</v>
      </c>
      <c r="G22" s="559"/>
      <c r="H22" s="559"/>
      <c r="I22" s="559"/>
    </row>
    <row r="23" spans="1:21" s="1" customFormat="1">
      <c r="G23" s="559"/>
      <c r="H23" s="559"/>
      <c r="I23" s="559"/>
    </row>
    <row r="24" spans="1:21" s="1" customFormat="1">
      <c r="B24" s="3"/>
      <c r="C24" s="3"/>
      <c r="D24" s="3"/>
      <c r="G24" s="559"/>
      <c r="H24" s="559"/>
      <c r="I24" s="559"/>
    </row>
    <row r="25" spans="1:21" s="1" customFormat="1">
      <c r="B25" s="2" t="s">
        <v>27</v>
      </c>
      <c r="G25" s="559"/>
      <c r="H25" s="559"/>
      <c r="I25" s="559"/>
    </row>
    <row r="26" spans="1:21" s="1" customFormat="1">
      <c r="B26" s="1" t="s">
        <v>222</v>
      </c>
      <c r="G26" s="559"/>
      <c r="H26" s="559"/>
      <c r="I26" s="559"/>
    </row>
    <row r="27" spans="1:21">
      <c r="G27" s="149"/>
      <c r="H27" s="149"/>
      <c r="I27" s="149"/>
    </row>
  </sheetData>
  <mergeCells count="25">
    <mergeCell ref="P4:P5"/>
    <mergeCell ref="Q4:Q5"/>
    <mergeCell ref="R4:R5"/>
    <mergeCell ref="S4:S5"/>
    <mergeCell ref="G4:G5"/>
    <mergeCell ref="H4:H5"/>
    <mergeCell ref="I4:I5"/>
    <mergeCell ref="J4:J5"/>
    <mergeCell ref="O4:O5"/>
    <mergeCell ref="A1:U1"/>
    <mergeCell ref="A3:A5"/>
    <mergeCell ref="B3:D3"/>
    <mergeCell ref="E3:G3"/>
    <mergeCell ref="H3:J3"/>
    <mergeCell ref="K3:M3"/>
    <mergeCell ref="K4:K5"/>
    <mergeCell ref="L4:L5"/>
    <mergeCell ref="M4:M5"/>
    <mergeCell ref="U4:U5"/>
    <mergeCell ref="O3:S3"/>
    <mergeCell ref="B4:B5"/>
    <mergeCell ref="C4:C5"/>
    <mergeCell ref="D4:D5"/>
    <mergeCell ref="E4:E5"/>
    <mergeCell ref="F4:F5"/>
  </mergeCells>
  <pageMargins left="0.25" right="0.25" top="0.75" bottom="0.75" header="0.3" footer="0.3"/>
  <pageSetup paperSize="768" scale="90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zoomScaleNormal="100" workbookViewId="0">
      <pane xSplit="1" ySplit="5" topLeftCell="B6" activePane="bottomRight" state="frozen"/>
      <selection pane="topRight"/>
      <selection pane="bottomLeft"/>
      <selection pane="bottomRight" activeCell="B28" sqref="B28"/>
    </sheetView>
  </sheetViews>
  <sheetFormatPr defaultRowHeight="15"/>
  <cols>
    <col min="1" max="1" width="23.7109375" customWidth="1"/>
    <col min="2" max="13" width="6.28515625" customWidth="1"/>
    <col min="14" max="14" width="1.42578125" customWidth="1"/>
    <col min="15" max="19" width="6.28515625" customWidth="1"/>
    <col min="20" max="20" width="1.42578125" customWidth="1"/>
    <col min="21" max="21" width="8.140625" customWidth="1"/>
  </cols>
  <sheetData>
    <row r="1" spans="1:21" ht="23.25">
      <c r="A1" s="733" t="s">
        <v>205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</row>
    <row r="2" spans="1:21" ht="15.75" thickBot="1"/>
    <row r="3" spans="1:21" ht="15.75" thickBot="1">
      <c r="A3" s="748" t="s">
        <v>26</v>
      </c>
      <c r="B3" s="734" t="s">
        <v>25</v>
      </c>
      <c r="C3" s="735"/>
      <c r="D3" s="735"/>
      <c r="E3" s="760" t="s">
        <v>24</v>
      </c>
      <c r="F3" s="761"/>
      <c r="G3" s="761"/>
      <c r="H3" s="760" t="s">
        <v>23</v>
      </c>
      <c r="I3" s="761"/>
      <c r="J3" s="761"/>
      <c r="K3" s="734" t="s">
        <v>22</v>
      </c>
      <c r="L3" s="735"/>
      <c r="M3" s="736"/>
      <c r="N3" s="30"/>
      <c r="O3" s="751" t="s">
        <v>4</v>
      </c>
      <c r="P3" s="752"/>
      <c r="Q3" s="752"/>
      <c r="R3" s="752"/>
      <c r="S3" s="755"/>
      <c r="T3" s="30"/>
      <c r="U3" s="658"/>
    </row>
    <row r="4" spans="1:21">
      <c r="A4" s="749"/>
      <c r="B4" s="746" t="s">
        <v>21</v>
      </c>
      <c r="C4" s="731" t="s">
        <v>20</v>
      </c>
      <c r="D4" s="731" t="s">
        <v>19</v>
      </c>
      <c r="E4" s="746" t="s">
        <v>18</v>
      </c>
      <c r="F4" s="731" t="s">
        <v>17</v>
      </c>
      <c r="G4" s="731" t="s">
        <v>16</v>
      </c>
      <c r="H4" s="746" t="s">
        <v>15</v>
      </c>
      <c r="I4" s="731" t="s">
        <v>14</v>
      </c>
      <c r="J4" s="731" t="s">
        <v>13</v>
      </c>
      <c r="K4" s="746" t="s">
        <v>12</v>
      </c>
      <c r="L4" s="731" t="s">
        <v>11</v>
      </c>
      <c r="M4" s="741" t="s">
        <v>10</v>
      </c>
      <c r="N4" s="29"/>
      <c r="O4" s="737" t="s">
        <v>9</v>
      </c>
      <c r="P4" s="739" t="s">
        <v>8</v>
      </c>
      <c r="Q4" s="739" t="s">
        <v>7</v>
      </c>
      <c r="R4" s="739" t="s">
        <v>6</v>
      </c>
      <c r="S4" s="744" t="s">
        <v>5</v>
      </c>
      <c r="T4" s="29"/>
      <c r="U4" s="743"/>
    </row>
    <row r="5" spans="1:21" ht="15.75" thickBot="1">
      <c r="A5" s="750"/>
      <c r="B5" s="747"/>
      <c r="C5" s="732"/>
      <c r="D5" s="732"/>
      <c r="E5" s="747"/>
      <c r="F5" s="732"/>
      <c r="G5" s="732"/>
      <c r="H5" s="747"/>
      <c r="I5" s="732"/>
      <c r="J5" s="732"/>
      <c r="K5" s="747"/>
      <c r="L5" s="732"/>
      <c r="M5" s="742"/>
      <c r="N5" s="29"/>
      <c r="O5" s="747"/>
      <c r="P5" s="732"/>
      <c r="Q5" s="732"/>
      <c r="R5" s="732"/>
      <c r="S5" s="742"/>
      <c r="T5" s="29"/>
      <c r="U5" s="743"/>
    </row>
    <row r="6" spans="1:21">
      <c r="A6" s="267" t="s">
        <v>116</v>
      </c>
      <c r="B6" s="539">
        <v>44</v>
      </c>
      <c r="C6" s="540">
        <v>37</v>
      </c>
      <c r="D6" s="541">
        <v>37</v>
      </c>
      <c r="E6" s="539">
        <v>33</v>
      </c>
      <c r="F6" s="540">
        <v>48</v>
      </c>
      <c r="G6" s="541">
        <v>43</v>
      </c>
      <c r="H6" s="539">
        <v>38</v>
      </c>
      <c r="I6" s="540">
        <v>30</v>
      </c>
      <c r="J6" s="541">
        <v>34</v>
      </c>
      <c r="K6" s="539">
        <v>36</v>
      </c>
      <c r="L6" s="540">
        <v>34</v>
      </c>
      <c r="M6" s="541">
        <v>50</v>
      </c>
      <c r="N6" s="212"/>
      <c r="O6" s="213">
        <f t="shared" ref="O6:O13" si="0">SUM(B6:D6)</f>
        <v>118</v>
      </c>
      <c r="P6" s="214">
        <f t="shared" ref="P6:P13" si="1">SUM(E6:G6)</f>
        <v>124</v>
      </c>
      <c r="Q6" s="214">
        <f t="shared" ref="Q6:Q13" si="2">SUM(H6:J6)</f>
        <v>102</v>
      </c>
      <c r="R6" s="214">
        <f t="shared" ref="R6:R15" si="3">SUM(K6:M6)</f>
        <v>120</v>
      </c>
      <c r="S6" s="206">
        <f t="shared" ref="S6:S15" si="4">SUM(O6:R6)</f>
        <v>464</v>
      </c>
      <c r="T6" s="212"/>
      <c r="U6" s="235"/>
    </row>
    <row r="7" spans="1:21">
      <c r="A7" s="268" t="s">
        <v>117</v>
      </c>
      <c r="B7" s="542">
        <v>31</v>
      </c>
      <c r="C7" s="543">
        <v>30</v>
      </c>
      <c r="D7" s="544">
        <v>33</v>
      </c>
      <c r="E7" s="542">
        <v>30</v>
      </c>
      <c r="F7" s="543">
        <v>35</v>
      </c>
      <c r="G7" s="544">
        <v>30</v>
      </c>
      <c r="H7" s="542">
        <v>29</v>
      </c>
      <c r="I7" s="543">
        <v>30</v>
      </c>
      <c r="J7" s="544">
        <v>28</v>
      </c>
      <c r="K7" s="542">
        <v>32</v>
      </c>
      <c r="L7" s="543">
        <v>30</v>
      </c>
      <c r="M7" s="544">
        <v>35</v>
      </c>
      <c r="N7" s="212"/>
      <c r="O7" s="215">
        <f t="shared" si="0"/>
        <v>94</v>
      </c>
      <c r="P7" s="216">
        <f t="shared" si="1"/>
        <v>95</v>
      </c>
      <c r="Q7" s="216">
        <f t="shared" si="2"/>
        <v>87</v>
      </c>
      <c r="R7" s="216">
        <f t="shared" si="3"/>
        <v>97</v>
      </c>
      <c r="S7" s="172">
        <f t="shared" si="4"/>
        <v>373</v>
      </c>
      <c r="T7" s="212"/>
      <c r="U7" s="235"/>
    </row>
    <row r="8" spans="1:21">
      <c r="A8" s="268" t="s">
        <v>113</v>
      </c>
      <c r="B8" s="516">
        <v>30</v>
      </c>
      <c r="C8" s="517">
        <v>28</v>
      </c>
      <c r="D8" s="518">
        <v>34</v>
      </c>
      <c r="E8" s="516">
        <v>26</v>
      </c>
      <c r="F8" s="517">
        <v>30</v>
      </c>
      <c r="G8" s="518">
        <v>40</v>
      </c>
      <c r="H8" s="516">
        <v>39</v>
      </c>
      <c r="I8" s="517">
        <v>29</v>
      </c>
      <c r="J8" s="518">
        <v>31</v>
      </c>
      <c r="K8" s="516">
        <v>32</v>
      </c>
      <c r="L8" s="517">
        <v>32</v>
      </c>
      <c r="M8" s="518">
        <v>35</v>
      </c>
      <c r="N8" s="212"/>
      <c r="O8" s="215">
        <f t="shared" si="0"/>
        <v>92</v>
      </c>
      <c r="P8" s="216">
        <f t="shared" si="1"/>
        <v>96</v>
      </c>
      <c r="Q8" s="216">
        <f t="shared" si="2"/>
        <v>99</v>
      </c>
      <c r="R8" s="216">
        <f t="shared" si="3"/>
        <v>99</v>
      </c>
      <c r="S8" s="172">
        <f t="shared" si="4"/>
        <v>386</v>
      </c>
      <c r="T8" s="212"/>
      <c r="U8" s="235"/>
    </row>
    <row r="9" spans="1:21">
      <c r="A9" s="268" t="s">
        <v>144</v>
      </c>
      <c r="B9" s="571">
        <v>35</v>
      </c>
      <c r="C9" s="572">
        <v>27</v>
      </c>
      <c r="D9" s="573">
        <v>28</v>
      </c>
      <c r="E9" s="571">
        <v>21</v>
      </c>
      <c r="F9" s="572">
        <v>39</v>
      </c>
      <c r="G9" s="573">
        <v>36</v>
      </c>
      <c r="H9" s="571">
        <v>24</v>
      </c>
      <c r="I9" s="572">
        <v>30</v>
      </c>
      <c r="J9" s="573">
        <v>37</v>
      </c>
      <c r="K9" s="571">
        <v>32</v>
      </c>
      <c r="L9" s="572">
        <v>35</v>
      </c>
      <c r="M9" s="573">
        <v>40</v>
      </c>
      <c r="N9" s="212"/>
      <c r="O9" s="215">
        <f t="shared" si="0"/>
        <v>90</v>
      </c>
      <c r="P9" s="216">
        <f t="shared" si="1"/>
        <v>96</v>
      </c>
      <c r="Q9" s="216">
        <f t="shared" si="2"/>
        <v>91</v>
      </c>
      <c r="R9" s="216">
        <f t="shared" si="3"/>
        <v>107</v>
      </c>
      <c r="S9" s="172">
        <f t="shared" si="4"/>
        <v>384</v>
      </c>
      <c r="T9" s="212"/>
      <c r="U9" s="235"/>
    </row>
    <row r="10" spans="1:21">
      <c r="A10" s="268" t="s">
        <v>114</v>
      </c>
      <c r="B10" s="530">
        <v>37</v>
      </c>
      <c r="C10" s="531">
        <v>32</v>
      </c>
      <c r="D10" s="532">
        <v>30</v>
      </c>
      <c r="E10" s="530">
        <v>25</v>
      </c>
      <c r="F10" s="531">
        <v>30</v>
      </c>
      <c r="G10" s="532">
        <v>28</v>
      </c>
      <c r="H10" s="530">
        <v>35</v>
      </c>
      <c r="I10" s="531">
        <v>35</v>
      </c>
      <c r="J10" s="532">
        <v>33</v>
      </c>
      <c r="K10" s="530">
        <v>32</v>
      </c>
      <c r="L10" s="531">
        <v>33</v>
      </c>
      <c r="M10" s="532">
        <v>35</v>
      </c>
      <c r="N10" s="212"/>
      <c r="O10" s="215">
        <f t="shared" si="0"/>
        <v>99</v>
      </c>
      <c r="P10" s="216">
        <f t="shared" si="1"/>
        <v>83</v>
      </c>
      <c r="Q10" s="216">
        <f t="shared" si="2"/>
        <v>103</v>
      </c>
      <c r="R10" s="216">
        <f t="shared" si="3"/>
        <v>100</v>
      </c>
      <c r="S10" s="172">
        <f t="shared" si="4"/>
        <v>385</v>
      </c>
      <c r="T10" s="212"/>
      <c r="U10" s="235"/>
    </row>
    <row r="11" spans="1:21">
      <c r="A11" s="268" t="s">
        <v>115</v>
      </c>
      <c r="B11" s="533">
        <v>32</v>
      </c>
      <c r="C11" s="534">
        <v>29</v>
      </c>
      <c r="D11" s="535">
        <v>29</v>
      </c>
      <c r="E11" s="533">
        <v>26</v>
      </c>
      <c r="F11" s="534">
        <v>32</v>
      </c>
      <c r="G11" s="535">
        <v>34</v>
      </c>
      <c r="H11" s="533">
        <v>27</v>
      </c>
      <c r="I11" s="534">
        <v>28</v>
      </c>
      <c r="J11" s="535">
        <v>28</v>
      </c>
      <c r="K11" s="533">
        <v>29</v>
      </c>
      <c r="L11" s="534">
        <v>30</v>
      </c>
      <c r="M11" s="535">
        <v>35</v>
      </c>
      <c r="N11" s="212"/>
      <c r="O11" s="215">
        <f t="shared" si="0"/>
        <v>90</v>
      </c>
      <c r="P11" s="216">
        <f t="shared" si="1"/>
        <v>92</v>
      </c>
      <c r="Q11" s="216">
        <f t="shared" si="2"/>
        <v>83</v>
      </c>
      <c r="R11" s="216">
        <f t="shared" si="3"/>
        <v>94</v>
      </c>
      <c r="S11" s="172">
        <f t="shared" si="4"/>
        <v>359</v>
      </c>
      <c r="T11" s="212"/>
      <c r="U11" s="235"/>
    </row>
    <row r="12" spans="1:21">
      <c r="A12" s="268" t="s">
        <v>143</v>
      </c>
      <c r="B12" s="536">
        <v>18</v>
      </c>
      <c r="C12" s="537">
        <v>16</v>
      </c>
      <c r="D12" s="538">
        <v>20</v>
      </c>
      <c r="E12" s="536">
        <v>17</v>
      </c>
      <c r="F12" s="537">
        <v>22</v>
      </c>
      <c r="G12" s="538">
        <v>20</v>
      </c>
      <c r="H12" s="536">
        <v>18</v>
      </c>
      <c r="I12" s="537">
        <v>18</v>
      </c>
      <c r="J12" s="538">
        <v>17</v>
      </c>
      <c r="K12" s="536">
        <v>19</v>
      </c>
      <c r="L12" s="537">
        <v>20</v>
      </c>
      <c r="M12" s="538">
        <v>20</v>
      </c>
      <c r="N12" s="212"/>
      <c r="O12" s="215">
        <f t="shared" si="0"/>
        <v>54</v>
      </c>
      <c r="P12" s="216">
        <f t="shared" si="1"/>
        <v>59</v>
      </c>
      <c r="Q12" s="216">
        <f t="shared" si="2"/>
        <v>53</v>
      </c>
      <c r="R12" s="216">
        <f t="shared" si="3"/>
        <v>59</v>
      </c>
      <c r="S12" s="172">
        <f t="shared" si="4"/>
        <v>225</v>
      </c>
      <c r="T12" s="212"/>
      <c r="U12" s="235"/>
    </row>
    <row r="13" spans="1:21">
      <c r="A13" s="515" t="s">
        <v>156</v>
      </c>
      <c r="B13" s="519">
        <v>18</v>
      </c>
      <c r="C13" s="520">
        <v>17</v>
      </c>
      <c r="D13" s="521">
        <v>25</v>
      </c>
      <c r="E13" s="519">
        <v>22</v>
      </c>
      <c r="F13" s="520">
        <v>28</v>
      </c>
      <c r="G13" s="521">
        <v>23</v>
      </c>
      <c r="H13" s="519">
        <v>24</v>
      </c>
      <c r="I13" s="520">
        <v>24</v>
      </c>
      <c r="J13" s="521">
        <v>22</v>
      </c>
      <c r="K13" s="519">
        <v>25</v>
      </c>
      <c r="L13" s="520">
        <v>24</v>
      </c>
      <c r="M13" s="521">
        <v>24</v>
      </c>
      <c r="N13" s="212"/>
      <c r="O13" s="215">
        <f t="shared" si="0"/>
        <v>60</v>
      </c>
      <c r="P13" s="216">
        <f t="shared" si="1"/>
        <v>73</v>
      </c>
      <c r="Q13" s="216">
        <f t="shared" si="2"/>
        <v>70</v>
      </c>
      <c r="R13" s="216">
        <f t="shared" si="3"/>
        <v>73</v>
      </c>
      <c r="S13" s="172">
        <f t="shared" si="4"/>
        <v>276</v>
      </c>
      <c r="T13" s="212"/>
      <c r="U13" s="235"/>
    </row>
    <row r="14" spans="1:21">
      <c r="A14" s="515" t="s">
        <v>161</v>
      </c>
      <c r="B14" s="527">
        <v>27</v>
      </c>
      <c r="C14" s="528">
        <v>26</v>
      </c>
      <c r="D14" s="529">
        <v>29</v>
      </c>
      <c r="E14" s="527">
        <v>26</v>
      </c>
      <c r="F14" s="528">
        <v>32</v>
      </c>
      <c r="G14" s="529">
        <v>31</v>
      </c>
      <c r="H14" s="527">
        <v>26</v>
      </c>
      <c r="I14" s="528">
        <v>26</v>
      </c>
      <c r="J14" s="529">
        <v>31</v>
      </c>
      <c r="K14" s="527">
        <v>28</v>
      </c>
      <c r="L14" s="528">
        <v>33</v>
      </c>
      <c r="M14" s="529">
        <v>33</v>
      </c>
      <c r="N14" s="212"/>
      <c r="O14" s="215">
        <f>SUM(B14:D14)</f>
        <v>82</v>
      </c>
      <c r="P14" s="216">
        <f>SUM(E14:G14)</f>
        <v>89</v>
      </c>
      <c r="Q14" s="216">
        <f>SUM(H14:J14)</f>
        <v>83</v>
      </c>
      <c r="R14" s="216">
        <f t="shared" si="3"/>
        <v>94</v>
      </c>
      <c r="S14" s="172">
        <f t="shared" si="4"/>
        <v>348</v>
      </c>
      <c r="T14" s="212"/>
      <c r="U14" s="235"/>
    </row>
    <row r="15" spans="1:21">
      <c r="A15" s="576" t="s">
        <v>180</v>
      </c>
      <c r="B15" s="525">
        <v>28</v>
      </c>
      <c r="C15" s="523">
        <v>25</v>
      </c>
      <c r="D15" s="526">
        <v>30</v>
      </c>
      <c r="E15" s="522">
        <v>25</v>
      </c>
      <c r="F15" s="523">
        <v>31</v>
      </c>
      <c r="G15" s="524">
        <v>28</v>
      </c>
      <c r="H15" s="525">
        <v>28</v>
      </c>
      <c r="I15" s="523">
        <v>24</v>
      </c>
      <c r="J15" s="526">
        <v>26</v>
      </c>
      <c r="K15" s="522">
        <v>30</v>
      </c>
      <c r="L15" s="523">
        <v>28</v>
      </c>
      <c r="M15" s="524">
        <v>33</v>
      </c>
      <c r="N15" s="289"/>
      <c r="O15" s="562">
        <f>SUM(B15:D15)</f>
        <v>83</v>
      </c>
      <c r="P15" s="561">
        <f>SUM(E15:G15)</f>
        <v>84</v>
      </c>
      <c r="Q15" s="561">
        <f>SUM(H15:J15)</f>
        <v>78</v>
      </c>
      <c r="R15" s="561">
        <f t="shared" si="3"/>
        <v>91</v>
      </c>
      <c r="S15" s="491">
        <f t="shared" si="4"/>
        <v>336</v>
      </c>
      <c r="T15" s="212"/>
      <c r="U15" s="235"/>
    </row>
    <row r="16" spans="1:21">
      <c r="A16" s="13"/>
      <c r="B16" s="215"/>
      <c r="C16" s="216"/>
      <c r="D16" s="216"/>
      <c r="E16" s="215"/>
      <c r="F16" s="216"/>
      <c r="G16" s="216"/>
      <c r="H16" s="215"/>
      <c r="I16" s="216"/>
      <c r="J16" s="216"/>
      <c r="K16" s="215"/>
      <c r="L16" s="216"/>
      <c r="M16" s="217"/>
      <c r="N16" s="212"/>
      <c r="O16" s="215"/>
      <c r="P16" s="216"/>
      <c r="Q16" s="216"/>
      <c r="R16" s="216"/>
      <c r="S16" s="218"/>
      <c r="T16" s="212"/>
      <c r="U16" s="235"/>
    </row>
    <row r="17" spans="1:21">
      <c r="A17" s="13"/>
      <c r="B17" s="215"/>
      <c r="C17" s="216"/>
      <c r="D17" s="216"/>
      <c r="E17" s="215"/>
      <c r="F17" s="216"/>
      <c r="G17" s="216"/>
      <c r="H17" s="215"/>
      <c r="I17" s="216"/>
      <c r="J17" s="216"/>
      <c r="K17" s="215"/>
      <c r="L17" s="216"/>
      <c r="M17" s="217"/>
      <c r="N17" s="212"/>
      <c r="O17" s="215"/>
      <c r="P17" s="216"/>
      <c r="Q17" s="216"/>
      <c r="R17" s="216"/>
      <c r="S17" s="218"/>
      <c r="T17" s="212"/>
      <c r="U17" s="235"/>
    </row>
    <row r="18" spans="1:21" ht="15.75" thickBot="1">
      <c r="A18" s="20"/>
      <c r="B18" s="219"/>
      <c r="C18" s="220"/>
      <c r="D18" s="220"/>
      <c r="E18" s="219"/>
      <c r="F18" s="220"/>
      <c r="G18" s="220"/>
      <c r="H18" s="219"/>
      <c r="I18" s="220"/>
      <c r="J18" s="220"/>
      <c r="K18" s="219"/>
      <c r="L18" s="220"/>
      <c r="M18" s="221"/>
      <c r="N18" s="212"/>
      <c r="O18" s="222"/>
      <c r="P18" s="223"/>
      <c r="Q18" s="223"/>
      <c r="R18" s="223"/>
      <c r="S18" s="224"/>
      <c r="T18" s="212"/>
      <c r="U18" s="235"/>
    </row>
    <row r="19" spans="1:21" s="1" customFormat="1">
      <c r="A19" s="35" t="s">
        <v>3</v>
      </c>
      <c r="B19" s="225">
        <f t="shared" ref="B19:M19" si="5">SUM(B6:B18)</f>
        <v>300</v>
      </c>
      <c r="C19" s="226">
        <f t="shared" si="5"/>
        <v>267</v>
      </c>
      <c r="D19" s="226">
        <f t="shared" si="5"/>
        <v>295</v>
      </c>
      <c r="E19" s="227">
        <f t="shared" si="5"/>
        <v>251</v>
      </c>
      <c r="F19" s="228">
        <f t="shared" si="5"/>
        <v>327</v>
      </c>
      <c r="G19" s="229">
        <f t="shared" si="5"/>
        <v>313</v>
      </c>
      <c r="H19" s="225">
        <f t="shared" si="5"/>
        <v>288</v>
      </c>
      <c r="I19" s="226">
        <f t="shared" si="5"/>
        <v>274</v>
      </c>
      <c r="J19" s="226">
        <f t="shared" si="5"/>
        <v>287</v>
      </c>
      <c r="K19" s="225">
        <f t="shared" si="5"/>
        <v>295</v>
      </c>
      <c r="L19" s="226">
        <f t="shared" si="5"/>
        <v>299</v>
      </c>
      <c r="M19" s="210">
        <f t="shared" si="5"/>
        <v>340</v>
      </c>
      <c r="N19" s="178"/>
      <c r="O19" s="176">
        <f>SUM(B19:D19)</f>
        <v>862</v>
      </c>
      <c r="P19" s="177">
        <f>SUM(E19:G19)</f>
        <v>891</v>
      </c>
      <c r="Q19" s="177">
        <f>SUM(H19:J19)</f>
        <v>849</v>
      </c>
      <c r="R19" s="177">
        <f>SUM(K19:M19)</f>
        <v>934</v>
      </c>
      <c r="S19" s="210">
        <f>SUM(O19:R19)</f>
        <v>3536</v>
      </c>
      <c r="T19" s="95"/>
      <c r="U19" s="235"/>
    </row>
    <row r="20" spans="1:21" s="1" customFormat="1" ht="15.75" thickBot="1">
      <c r="A20" s="106" t="s">
        <v>39</v>
      </c>
      <c r="B20" s="230">
        <f t="shared" ref="B20:M20" si="6">B19</f>
        <v>300</v>
      </c>
      <c r="C20" s="231">
        <f t="shared" si="6"/>
        <v>267</v>
      </c>
      <c r="D20" s="232">
        <f t="shared" si="6"/>
        <v>295</v>
      </c>
      <c r="E20" s="233">
        <f t="shared" si="6"/>
        <v>251</v>
      </c>
      <c r="F20" s="231">
        <f t="shared" si="6"/>
        <v>327</v>
      </c>
      <c r="G20" s="234">
        <f t="shared" si="6"/>
        <v>313</v>
      </c>
      <c r="H20" s="233">
        <f t="shared" si="6"/>
        <v>288</v>
      </c>
      <c r="I20" s="231">
        <f t="shared" si="6"/>
        <v>274</v>
      </c>
      <c r="J20" s="234">
        <f t="shared" si="6"/>
        <v>287</v>
      </c>
      <c r="K20" s="233">
        <f t="shared" si="6"/>
        <v>295</v>
      </c>
      <c r="L20" s="231">
        <f t="shared" si="6"/>
        <v>299</v>
      </c>
      <c r="M20" s="234">
        <f t="shared" si="6"/>
        <v>340</v>
      </c>
      <c r="N20" s="178"/>
      <c r="O20" s="181">
        <f>SUM(B20:D20)</f>
        <v>862</v>
      </c>
      <c r="P20" s="180">
        <f>SUM(E20:G20)</f>
        <v>891</v>
      </c>
      <c r="Q20" s="180">
        <f>SUM(H20:J20)</f>
        <v>849</v>
      </c>
      <c r="R20" s="180">
        <f>SUM(K20:M20)</f>
        <v>934</v>
      </c>
      <c r="S20" s="172">
        <f>SUM(O20:R20)</f>
        <v>3536</v>
      </c>
      <c r="T20" s="95"/>
      <c r="U20" s="235"/>
    </row>
    <row r="21" spans="1:21">
      <c r="O21" s="10">
        <f>O19/S19</f>
        <v>0.24377828054298642</v>
      </c>
      <c r="P21" s="10">
        <f>P19/S19</f>
        <v>0.25197963800904977</v>
      </c>
      <c r="Q21" s="10">
        <f>Q19/S19</f>
        <v>0.24010180995475114</v>
      </c>
      <c r="R21" s="10">
        <f>R19/S19</f>
        <v>0.26414027149321267</v>
      </c>
      <c r="S21" s="9">
        <f>SUM(O21:R21)</f>
        <v>1</v>
      </c>
      <c r="T21" s="8"/>
      <c r="U21" s="7">
        <f>S21</f>
        <v>1</v>
      </c>
    </row>
    <row r="22" spans="1:21"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O22" s="82">
        <f>O20/S20</f>
        <v>0.24377828054298642</v>
      </c>
      <c r="P22" s="82">
        <f>P20/S20</f>
        <v>0.25197963800904977</v>
      </c>
      <c r="Q22" s="82">
        <f>Q20/S20</f>
        <v>0.24010180995475114</v>
      </c>
      <c r="R22" s="82">
        <f>R20/S20</f>
        <v>0.26414027149321267</v>
      </c>
      <c r="S22" s="5">
        <f>SUM(O22:R22)</f>
        <v>1</v>
      </c>
      <c r="U22" s="4"/>
    </row>
    <row r="23" spans="1:21" s="1" customFormat="1">
      <c r="B23" s="1" t="s">
        <v>146</v>
      </c>
      <c r="G23" s="559"/>
      <c r="H23" s="559"/>
      <c r="I23" s="559"/>
      <c r="J23" s="559"/>
    </row>
    <row r="24" spans="1:21" s="1" customFormat="1">
      <c r="G24" s="559"/>
      <c r="H24" s="559"/>
      <c r="I24" s="559"/>
      <c r="J24" s="559"/>
    </row>
    <row r="25" spans="1:21" s="1" customFormat="1">
      <c r="B25" s="3"/>
      <c r="C25" s="3"/>
      <c r="D25" s="3"/>
      <c r="G25" s="559"/>
      <c r="H25" s="559"/>
      <c r="I25" s="559"/>
      <c r="J25" s="559"/>
    </row>
    <row r="26" spans="1:21" s="1" customFormat="1">
      <c r="B26" s="2" t="s">
        <v>27</v>
      </c>
      <c r="G26" s="559"/>
      <c r="H26" s="559"/>
      <c r="I26" s="559"/>
      <c r="J26" s="559"/>
    </row>
    <row r="27" spans="1:21" s="1" customFormat="1">
      <c r="B27" s="1" t="s">
        <v>222</v>
      </c>
      <c r="G27" s="559"/>
      <c r="H27" s="559"/>
      <c r="I27" s="559"/>
      <c r="J27" s="559"/>
    </row>
    <row r="28" spans="1:21">
      <c r="G28" s="149"/>
      <c r="H28" s="149"/>
      <c r="I28" s="149"/>
      <c r="J28" s="149"/>
    </row>
  </sheetData>
  <mergeCells count="25">
    <mergeCell ref="P4:P5"/>
    <mergeCell ref="Q4:Q5"/>
    <mergeCell ref="R4:R5"/>
    <mergeCell ref="S4:S5"/>
    <mergeCell ref="G4:G5"/>
    <mergeCell ref="H4:H5"/>
    <mergeCell ref="I4:I5"/>
    <mergeCell ref="J4:J5"/>
    <mergeCell ref="O4:O5"/>
    <mergeCell ref="A1:U1"/>
    <mergeCell ref="A3:A5"/>
    <mergeCell ref="B3:D3"/>
    <mergeCell ref="E3:G3"/>
    <mergeCell ref="H3:J3"/>
    <mergeCell ref="K3:M3"/>
    <mergeCell ref="K4:K5"/>
    <mergeCell ref="L4:L5"/>
    <mergeCell ref="M4:M5"/>
    <mergeCell ref="U4:U5"/>
    <mergeCell ref="O3:S3"/>
    <mergeCell ref="B4:B5"/>
    <mergeCell ref="C4:C5"/>
    <mergeCell ref="D4:D5"/>
    <mergeCell ref="E4:E5"/>
    <mergeCell ref="F4:F5"/>
  </mergeCells>
  <pageMargins left="0.25" right="0.25" top="0.75" bottom="0.75" header="0.3" footer="0.3"/>
  <pageSetup paperSize="768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>
      <selection activeCell="P25" sqref="P25"/>
    </sheetView>
  </sheetViews>
  <sheetFormatPr defaultRowHeight="15"/>
  <cols>
    <col min="1" max="1" width="22.140625" style="94" bestFit="1" customWidth="1"/>
    <col min="2" max="13" width="6.28515625" style="94" customWidth="1"/>
    <col min="14" max="14" width="1.42578125" style="94" customWidth="1"/>
    <col min="15" max="19" width="7.7109375" style="94" bestFit="1" customWidth="1"/>
    <col min="20" max="20" width="1.42578125" style="94" customWidth="1"/>
    <col min="21" max="21" width="8.140625" style="94" customWidth="1"/>
    <col min="22" max="16384" width="9.140625" style="94"/>
  </cols>
  <sheetData>
    <row r="1" spans="1:21" ht="23.25">
      <c r="A1" s="733" t="s">
        <v>206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</row>
    <row r="2" spans="1:21" ht="15.75" thickBot="1"/>
    <row r="3" spans="1:21">
      <c r="A3" s="748" t="s">
        <v>26</v>
      </c>
      <c r="B3" s="751" t="s">
        <v>25</v>
      </c>
      <c r="C3" s="752"/>
      <c r="D3" s="752"/>
      <c r="E3" s="753" t="s">
        <v>24</v>
      </c>
      <c r="F3" s="754"/>
      <c r="G3" s="754"/>
      <c r="H3" s="753" t="s">
        <v>23</v>
      </c>
      <c r="I3" s="754"/>
      <c r="J3" s="754"/>
      <c r="K3" s="751" t="s">
        <v>22</v>
      </c>
      <c r="L3" s="752"/>
      <c r="M3" s="755"/>
      <c r="N3" s="30"/>
      <c r="O3" s="751" t="s">
        <v>4</v>
      </c>
      <c r="P3" s="752"/>
      <c r="Q3" s="752"/>
      <c r="R3" s="752"/>
      <c r="S3" s="755"/>
      <c r="T3" s="30"/>
      <c r="U3" s="658"/>
    </row>
    <row r="4" spans="1:21">
      <c r="A4" s="749"/>
      <c r="B4" s="737" t="s">
        <v>21</v>
      </c>
      <c r="C4" s="739" t="s">
        <v>20</v>
      </c>
      <c r="D4" s="739" t="s">
        <v>19</v>
      </c>
      <c r="E4" s="737" t="s">
        <v>18</v>
      </c>
      <c r="F4" s="739" t="s">
        <v>17</v>
      </c>
      <c r="G4" s="739" t="s">
        <v>16</v>
      </c>
      <c r="H4" s="737" t="s">
        <v>15</v>
      </c>
      <c r="I4" s="739" t="s">
        <v>14</v>
      </c>
      <c r="J4" s="739" t="s">
        <v>13</v>
      </c>
      <c r="K4" s="737" t="s">
        <v>12</v>
      </c>
      <c r="L4" s="739" t="s">
        <v>11</v>
      </c>
      <c r="M4" s="744" t="s">
        <v>10</v>
      </c>
      <c r="N4" s="29"/>
      <c r="O4" s="737" t="s">
        <v>9</v>
      </c>
      <c r="P4" s="739" t="s">
        <v>8</v>
      </c>
      <c r="Q4" s="739" t="s">
        <v>7</v>
      </c>
      <c r="R4" s="739" t="s">
        <v>6</v>
      </c>
      <c r="S4" s="744" t="s">
        <v>5</v>
      </c>
      <c r="T4" s="29"/>
      <c r="U4" s="743"/>
    </row>
    <row r="5" spans="1:21" ht="15.75" thickBot="1">
      <c r="A5" s="750"/>
      <c r="B5" s="738"/>
      <c r="C5" s="740"/>
      <c r="D5" s="740"/>
      <c r="E5" s="738"/>
      <c r="F5" s="740"/>
      <c r="G5" s="740"/>
      <c r="H5" s="738"/>
      <c r="I5" s="740"/>
      <c r="J5" s="740"/>
      <c r="K5" s="738"/>
      <c r="L5" s="740"/>
      <c r="M5" s="745"/>
      <c r="N5" s="29"/>
      <c r="O5" s="747"/>
      <c r="P5" s="732"/>
      <c r="Q5" s="732"/>
      <c r="R5" s="732"/>
      <c r="S5" s="742"/>
      <c r="T5" s="29"/>
      <c r="U5" s="743"/>
    </row>
    <row r="6" spans="1:21">
      <c r="A6" s="27" t="s">
        <v>166</v>
      </c>
      <c r="B6" s="502">
        <v>23</v>
      </c>
      <c r="C6" s="487">
        <v>20</v>
      </c>
      <c r="D6" s="487">
        <v>19</v>
      </c>
      <c r="E6" s="488">
        <v>18</v>
      </c>
      <c r="F6" s="487">
        <v>24</v>
      </c>
      <c r="G6" s="487">
        <v>18</v>
      </c>
      <c r="H6" s="488">
        <v>20</v>
      </c>
      <c r="I6" s="487">
        <v>20</v>
      </c>
      <c r="J6" s="487">
        <v>23</v>
      </c>
      <c r="K6" s="488">
        <v>20</v>
      </c>
      <c r="L6" s="487">
        <v>27</v>
      </c>
      <c r="M6" s="489">
        <v>27</v>
      </c>
      <c r="N6" s="155"/>
      <c r="O6" s="88">
        <f t="shared" ref="O6:O11" si="0">SUM(B6:D6)</f>
        <v>62</v>
      </c>
      <c r="P6" s="132">
        <f t="shared" ref="P6:P11" si="1">SUM(E6:G6)</f>
        <v>60</v>
      </c>
      <c r="Q6" s="132">
        <f t="shared" ref="Q6:Q11" si="2">SUM(H6:J6)</f>
        <v>63</v>
      </c>
      <c r="R6" s="132">
        <f t="shared" ref="R6:R11" si="3">SUM(K6:M6)</f>
        <v>74</v>
      </c>
      <c r="S6" s="172">
        <f t="shared" ref="S6:S11" si="4">SUM(O6:R6)</f>
        <v>259</v>
      </c>
      <c r="T6" s="155"/>
      <c r="U6" s="501"/>
    </row>
    <row r="7" spans="1:21">
      <c r="A7" s="27" t="s">
        <v>189</v>
      </c>
      <c r="B7" s="502">
        <v>0</v>
      </c>
      <c r="C7" s="487">
        <v>12</v>
      </c>
      <c r="D7" s="487">
        <v>14</v>
      </c>
      <c r="E7" s="488">
        <v>13</v>
      </c>
      <c r="F7" s="487">
        <v>17</v>
      </c>
      <c r="G7" s="487">
        <v>15</v>
      </c>
      <c r="H7" s="488">
        <v>14</v>
      </c>
      <c r="I7" s="487">
        <v>15</v>
      </c>
      <c r="J7" s="487">
        <v>16</v>
      </c>
      <c r="K7" s="488">
        <v>15</v>
      </c>
      <c r="L7" s="487">
        <v>16</v>
      </c>
      <c r="M7" s="489">
        <v>18</v>
      </c>
      <c r="N7" s="155"/>
      <c r="O7" s="88">
        <f t="shared" si="0"/>
        <v>26</v>
      </c>
      <c r="P7" s="132">
        <f t="shared" si="1"/>
        <v>45</v>
      </c>
      <c r="Q7" s="132">
        <f t="shared" si="2"/>
        <v>45</v>
      </c>
      <c r="R7" s="132">
        <f t="shared" si="3"/>
        <v>49</v>
      </c>
      <c r="S7" s="172">
        <f t="shared" si="4"/>
        <v>165</v>
      </c>
      <c r="T7" s="155"/>
      <c r="U7" s="501"/>
    </row>
    <row r="8" spans="1:21">
      <c r="A8" s="27" t="s">
        <v>190</v>
      </c>
      <c r="B8" s="502">
        <v>0</v>
      </c>
      <c r="C8" s="487">
        <v>10</v>
      </c>
      <c r="D8" s="487">
        <v>12</v>
      </c>
      <c r="E8" s="488">
        <v>12</v>
      </c>
      <c r="F8" s="487">
        <v>15</v>
      </c>
      <c r="G8" s="487">
        <v>15</v>
      </c>
      <c r="H8" s="488">
        <v>15</v>
      </c>
      <c r="I8" s="487">
        <v>16</v>
      </c>
      <c r="J8" s="487">
        <v>16</v>
      </c>
      <c r="K8" s="488">
        <v>18</v>
      </c>
      <c r="L8" s="487">
        <v>18</v>
      </c>
      <c r="M8" s="489">
        <v>18</v>
      </c>
      <c r="N8" s="155"/>
      <c r="O8" s="88">
        <f t="shared" si="0"/>
        <v>22</v>
      </c>
      <c r="P8" s="132">
        <f t="shared" si="1"/>
        <v>42</v>
      </c>
      <c r="Q8" s="132">
        <f t="shared" si="2"/>
        <v>47</v>
      </c>
      <c r="R8" s="132">
        <f t="shared" si="3"/>
        <v>54</v>
      </c>
      <c r="S8" s="172">
        <f t="shared" si="4"/>
        <v>165</v>
      </c>
      <c r="T8" s="155"/>
      <c r="U8" s="501"/>
    </row>
    <row r="9" spans="1:21">
      <c r="A9" s="27" t="s">
        <v>191</v>
      </c>
      <c r="B9" s="205"/>
      <c r="C9" s="132"/>
      <c r="D9" s="132"/>
      <c r="E9" s="88"/>
      <c r="F9" s="132"/>
      <c r="G9" s="132"/>
      <c r="H9" s="88"/>
      <c r="I9" s="132"/>
      <c r="J9" s="132"/>
      <c r="K9" s="88"/>
      <c r="L9" s="132"/>
      <c r="M9" s="191"/>
      <c r="N9" s="155"/>
      <c r="O9" s="88">
        <f t="shared" si="0"/>
        <v>0</v>
      </c>
      <c r="P9" s="132">
        <f t="shared" si="1"/>
        <v>0</v>
      </c>
      <c r="Q9" s="132">
        <f t="shared" si="2"/>
        <v>0</v>
      </c>
      <c r="R9" s="132">
        <f t="shared" si="3"/>
        <v>0</v>
      </c>
      <c r="S9" s="172">
        <f t="shared" si="4"/>
        <v>0</v>
      </c>
      <c r="T9" s="155"/>
      <c r="U9" s="501"/>
    </row>
    <row r="10" spans="1:21">
      <c r="A10" s="27" t="s">
        <v>192</v>
      </c>
      <c r="B10" s="205"/>
      <c r="C10" s="132"/>
      <c r="D10" s="132"/>
      <c r="E10" s="88"/>
      <c r="F10" s="132"/>
      <c r="G10" s="132"/>
      <c r="H10" s="88"/>
      <c r="I10" s="132"/>
      <c r="J10" s="132"/>
      <c r="K10" s="88"/>
      <c r="L10" s="132"/>
      <c r="M10" s="191"/>
      <c r="N10" s="155"/>
      <c r="O10" s="88">
        <f t="shared" si="0"/>
        <v>0</v>
      </c>
      <c r="P10" s="132">
        <f t="shared" si="1"/>
        <v>0</v>
      </c>
      <c r="Q10" s="132">
        <f t="shared" si="2"/>
        <v>0</v>
      </c>
      <c r="R10" s="132">
        <f t="shared" si="3"/>
        <v>0</v>
      </c>
      <c r="S10" s="172">
        <f t="shared" si="4"/>
        <v>0</v>
      </c>
      <c r="T10" s="155"/>
      <c r="U10" s="501"/>
    </row>
    <row r="11" spans="1:21">
      <c r="A11" s="27" t="s">
        <v>193</v>
      </c>
      <c r="B11" s="205"/>
      <c r="C11" s="132"/>
      <c r="D11" s="132"/>
      <c r="E11" s="88"/>
      <c r="F11" s="132"/>
      <c r="G11" s="132"/>
      <c r="H11" s="88"/>
      <c r="I11" s="132"/>
      <c r="J11" s="132"/>
      <c r="K11" s="88"/>
      <c r="L11" s="132"/>
      <c r="M11" s="191"/>
      <c r="N11" s="155"/>
      <c r="O11" s="88">
        <f t="shared" si="0"/>
        <v>0</v>
      </c>
      <c r="P11" s="132">
        <f t="shared" si="1"/>
        <v>0</v>
      </c>
      <c r="Q11" s="132">
        <f t="shared" si="2"/>
        <v>0</v>
      </c>
      <c r="R11" s="132">
        <f t="shared" si="3"/>
        <v>0</v>
      </c>
      <c r="S11" s="172">
        <f t="shared" si="4"/>
        <v>0</v>
      </c>
      <c r="T11" s="155"/>
      <c r="U11" s="501"/>
    </row>
    <row r="12" spans="1:21">
      <c r="A12" s="24"/>
      <c r="B12" s="203"/>
      <c r="C12" s="202"/>
      <c r="D12" s="202"/>
      <c r="E12" s="88"/>
      <c r="F12" s="132"/>
      <c r="G12" s="132"/>
      <c r="H12" s="88"/>
      <c r="I12" s="132"/>
      <c r="J12" s="132"/>
      <c r="K12" s="88"/>
      <c r="L12" s="132"/>
      <c r="M12" s="191"/>
      <c r="N12" s="155"/>
      <c r="O12" s="88"/>
      <c r="P12" s="132"/>
      <c r="Q12" s="132"/>
      <c r="R12" s="132"/>
      <c r="S12" s="192"/>
      <c r="T12" s="155"/>
      <c r="U12" s="501"/>
    </row>
    <row r="13" spans="1:21">
      <c r="A13" s="13"/>
      <c r="B13" s="88"/>
      <c r="C13" s="132"/>
      <c r="D13" s="132"/>
      <c r="E13" s="88"/>
      <c r="F13" s="132"/>
      <c r="G13" s="132"/>
      <c r="H13" s="88"/>
      <c r="I13" s="132"/>
      <c r="J13" s="132"/>
      <c r="K13" s="88"/>
      <c r="L13" s="132"/>
      <c r="M13" s="191"/>
      <c r="N13" s="155"/>
      <c r="O13" s="88"/>
      <c r="P13" s="132"/>
      <c r="Q13" s="132"/>
      <c r="R13" s="132"/>
      <c r="S13" s="192"/>
      <c r="T13" s="155"/>
      <c r="U13" s="501"/>
    </row>
    <row r="14" spans="1:21">
      <c r="A14" s="13"/>
      <c r="B14" s="88"/>
      <c r="C14" s="132"/>
      <c r="D14" s="132"/>
      <c r="E14" s="88"/>
      <c r="F14" s="132"/>
      <c r="G14" s="132"/>
      <c r="H14" s="88"/>
      <c r="I14" s="132"/>
      <c r="J14" s="132"/>
      <c r="K14" s="88"/>
      <c r="L14" s="132"/>
      <c r="M14" s="191"/>
      <c r="N14" s="155"/>
      <c r="O14" s="88"/>
      <c r="P14" s="132"/>
      <c r="Q14" s="132"/>
      <c r="R14" s="132"/>
      <c r="S14" s="192"/>
      <c r="T14" s="155"/>
      <c r="U14" s="501"/>
    </row>
    <row r="15" spans="1:21" ht="15.75" thickBot="1">
      <c r="A15" s="20"/>
      <c r="B15" s="174"/>
      <c r="C15" s="175"/>
      <c r="D15" s="175"/>
      <c r="E15" s="189"/>
      <c r="F15" s="190"/>
      <c r="G15" s="236"/>
      <c r="H15" s="174"/>
      <c r="I15" s="175"/>
      <c r="J15" s="175"/>
      <c r="K15" s="174"/>
      <c r="L15" s="175"/>
      <c r="M15" s="237"/>
      <c r="N15" s="155"/>
      <c r="O15" s="189"/>
      <c r="P15" s="190"/>
      <c r="Q15" s="190"/>
      <c r="R15" s="190"/>
      <c r="S15" s="207"/>
      <c r="T15" s="155"/>
      <c r="U15" s="501"/>
    </row>
    <row r="16" spans="1:21" s="95" customFormat="1">
      <c r="A16" s="35" t="s">
        <v>3</v>
      </c>
      <c r="B16" s="225">
        <f t="shared" ref="B16:M16" si="5">SUM(B6:B15)</f>
        <v>23</v>
      </c>
      <c r="C16" s="226">
        <f t="shared" si="5"/>
        <v>42</v>
      </c>
      <c r="D16" s="226">
        <f t="shared" si="5"/>
        <v>45</v>
      </c>
      <c r="E16" s="176">
        <f t="shared" si="5"/>
        <v>43</v>
      </c>
      <c r="F16" s="177">
        <f t="shared" si="5"/>
        <v>56</v>
      </c>
      <c r="G16" s="177">
        <f t="shared" si="5"/>
        <v>48</v>
      </c>
      <c r="H16" s="225">
        <f t="shared" si="5"/>
        <v>49</v>
      </c>
      <c r="I16" s="226">
        <f t="shared" si="5"/>
        <v>51</v>
      </c>
      <c r="J16" s="226">
        <f t="shared" si="5"/>
        <v>55</v>
      </c>
      <c r="K16" s="225">
        <f t="shared" si="5"/>
        <v>53</v>
      </c>
      <c r="L16" s="226">
        <f t="shared" si="5"/>
        <v>61</v>
      </c>
      <c r="M16" s="210">
        <f t="shared" si="5"/>
        <v>63</v>
      </c>
      <c r="N16" s="178"/>
      <c r="O16" s="176">
        <f>SUM(B16:D16)</f>
        <v>110</v>
      </c>
      <c r="P16" s="177">
        <f>SUM(E16:G16)</f>
        <v>147</v>
      </c>
      <c r="Q16" s="177">
        <f>SUM(H16:J16)</f>
        <v>155</v>
      </c>
      <c r="R16" s="177">
        <f>SUM(K16:M16)</f>
        <v>177</v>
      </c>
      <c r="S16" s="210">
        <f>SUM(O16:R16)</f>
        <v>589</v>
      </c>
      <c r="U16" s="501"/>
    </row>
    <row r="17" spans="1:21" s="95" customFormat="1">
      <c r="A17" s="161" t="s">
        <v>39</v>
      </c>
      <c r="B17" s="577">
        <f t="shared" ref="B17:M17" si="6">B16</f>
        <v>23</v>
      </c>
      <c r="C17" s="244">
        <f t="shared" si="6"/>
        <v>42</v>
      </c>
      <c r="D17" s="244">
        <f t="shared" si="6"/>
        <v>45</v>
      </c>
      <c r="E17" s="244">
        <f t="shared" si="6"/>
        <v>43</v>
      </c>
      <c r="F17" s="244">
        <f t="shared" si="6"/>
        <v>56</v>
      </c>
      <c r="G17" s="244">
        <f t="shared" si="6"/>
        <v>48</v>
      </c>
      <c r="H17" s="244">
        <f t="shared" si="6"/>
        <v>49</v>
      </c>
      <c r="I17" s="244">
        <f t="shared" si="6"/>
        <v>51</v>
      </c>
      <c r="J17" s="244">
        <f t="shared" si="6"/>
        <v>55</v>
      </c>
      <c r="K17" s="244">
        <f t="shared" si="6"/>
        <v>53</v>
      </c>
      <c r="L17" s="244">
        <f t="shared" si="6"/>
        <v>61</v>
      </c>
      <c r="M17" s="244">
        <f t="shared" si="6"/>
        <v>63</v>
      </c>
      <c r="N17" s="178"/>
      <c r="O17" s="181">
        <f>SUM(B17:D17)</f>
        <v>110</v>
      </c>
      <c r="P17" s="180">
        <f>SUM(E17:G17)</f>
        <v>147</v>
      </c>
      <c r="Q17" s="180">
        <f>SUM(H17:J17)</f>
        <v>155</v>
      </c>
      <c r="R17" s="180">
        <f>SUM(K17:M17)</f>
        <v>177</v>
      </c>
      <c r="S17" s="172">
        <f>SUM(O17:R17)</f>
        <v>589</v>
      </c>
      <c r="U17" s="182"/>
    </row>
    <row r="18" spans="1:21">
      <c r="O18" s="10">
        <f>O16/S16</f>
        <v>0.18675721561969441</v>
      </c>
      <c r="P18" s="10">
        <f>P16/S16</f>
        <v>0.24957555178268251</v>
      </c>
      <c r="Q18" s="10">
        <f>Q16/S16</f>
        <v>0.26315789473684209</v>
      </c>
      <c r="R18" s="10">
        <f>R16/S16</f>
        <v>0.30050933786078099</v>
      </c>
      <c r="S18" s="9">
        <f>SUM(O18:R18)</f>
        <v>1</v>
      </c>
      <c r="T18" s="8"/>
      <c r="U18" s="7">
        <f>S18</f>
        <v>1</v>
      </c>
    </row>
    <row r="19" spans="1:21">
      <c r="E19" s="99"/>
      <c r="F19" s="99"/>
      <c r="G19" s="99"/>
      <c r="H19" s="99"/>
      <c r="I19" s="99"/>
      <c r="J19" s="99"/>
      <c r="K19" s="99"/>
      <c r="L19" s="99"/>
      <c r="M19" s="99"/>
      <c r="O19" s="82">
        <f>O17/S17</f>
        <v>0.18675721561969441</v>
      </c>
      <c r="P19" s="82">
        <f>P17/S17</f>
        <v>0.24957555178268251</v>
      </c>
      <c r="Q19" s="82">
        <f>Q17/S17</f>
        <v>0.26315789473684209</v>
      </c>
      <c r="R19" s="82">
        <f>R17/S17</f>
        <v>0.30050933786078099</v>
      </c>
      <c r="S19" s="98">
        <f>SUM(O19:R19)</f>
        <v>1</v>
      </c>
      <c r="U19" s="97"/>
    </row>
    <row r="20" spans="1:21" s="95" customFormat="1">
      <c r="B20" s="95" t="s">
        <v>146</v>
      </c>
      <c r="G20" s="559"/>
      <c r="H20" s="559"/>
      <c r="I20" s="559"/>
      <c r="J20" s="559"/>
    </row>
    <row r="21" spans="1:21" s="95" customFormat="1">
      <c r="G21" s="559"/>
      <c r="H21" s="559"/>
      <c r="I21" s="559"/>
      <c r="J21" s="559"/>
    </row>
    <row r="22" spans="1:21" s="95" customFormat="1">
      <c r="B22" s="3"/>
      <c r="C22" s="3"/>
      <c r="D22" s="3"/>
      <c r="G22" s="559"/>
      <c r="H22" s="559"/>
      <c r="I22" s="559"/>
      <c r="J22" s="559"/>
    </row>
    <row r="23" spans="1:21" s="95" customFormat="1">
      <c r="B23" s="96" t="s">
        <v>27</v>
      </c>
      <c r="G23" s="559"/>
      <c r="H23" s="559"/>
      <c r="I23" s="559"/>
      <c r="J23" s="559"/>
    </row>
    <row r="24" spans="1:21" s="95" customFormat="1">
      <c r="B24" s="95" t="s">
        <v>222</v>
      </c>
      <c r="G24" s="559"/>
      <c r="H24" s="559"/>
      <c r="I24" s="559"/>
      <c r="J24" s="559"/>
    </row>
    <row r="25" spans="1:21">
      <c r="G25" s="149"/>
      <c r="H25" s="149"/>
      <c r="I25" s="149"/>
      <c r="J25" s="149"/>
    </row>
  </sheetData>
  <mergeCells count="25">
    <mergeCell ref="J4:J5"/>
    <mergeCell ref="A1:U1"/>
    <mergeCell ref="A3:A5"/>
    <mergeCell ref="B3:D3"/>
    <mergeCell ref="E3:G3"/>
    <mergeCell ref="H3:J3"/>
    <mergeCell ref="K3:M3"/>
    <mergeCell ref="O3:S3"/>
    <mergeCell ref="B4:B5"/>
    <mergeCell ref="C4:C5"/>
    <mergeCell ref="D4:D5"/>
    <mergeCell ref="E4:E5"/>
    <mergeCell ref="F4:F5"/>
    <mergeCell ref="G4:G5"/>
    <mergeCell ref="H4:H5"/>
    <mergeCell ref="I4:I5"/>
    <mergeCell ref="R4:R5"/>
    <mergeCell ref="S4:S5"/>
    <mergeCell ref="U4:U5"/>
    <mergeCell ref="K4:K5"/>
    <mergeCell ref="L4:L5"/>
    <mergeCell ref="M4:M5"/>
    <mergeCell ref="O4:O5"/>
    <mergeCell ref="P4:P5"/>
    <mergeCell ref="Q4:Q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workbookViewId="0">
      <selection activeCell="B25" sqref="B25"/>
    </sheetView>
  </sheetViews>
  <sheetFormatPr defaultRowHeight="15"/>
  <cols>
    <col min="1" max="1" width="22.140625" style="545" bestFit="1" customWidth="1"/>
    <col min="2" max="13" width="6.28515625" style="545" customWidth="1"/>
    <col min="14" max="14" width="1.42578125" style="545" customWidth="1"/>
    <col min="15" max="19" width="7.7109375" style="545" bestFit="1" customWidth="1"/>
    <col min="20" max="20" width="1.42578125" style="545" customWidth="1"/>
    <col min="21" max="21" width="8.140625" style="545" customWidth="1"/>
    <col min="22" max="16384" width="9.140625" style="545"/>
  </cols>
  <sheetData>
    <row r="1" spans="1:21" ht="23.25">
      <c r="A1" s="733" t="s">
        <v>207</v>
      </c>
      <c r="B1" s="733"/>
      <c r="C1" s="733"/>
      <c r="D1" s="733"/>
      <c r="E1" s="733"/>
      <c r="F1" s="733"/>
      <c r="G1" s="733"/>
      <c r="H1" s="733"/>
      <c r="I1" s="733"/>
      <c r="J1" s="733"/>
      <c r="K1" s="733"/>
      <c r="L1" s="733"/>
      <c r="M1" s="733"/>
      <c r="N1" s="733"/>
      <c r="O1" s="733"/>
      <c r="P1" s="733"/>
      <c r="Q1" s="733"/>
      <c r="R1" s="733"/>
      <c r="S1" s="733"/>
      <c r="T1" s="733"/>
      <c r="U1" s="733"/>
    </row>
    <row r="2" spans="1:21" ht="15.75" thickBot="1"/>
    <row r="3" spans="1:21">
      <c r="A3" s="748" t="s">
        <v>26</v>
      </c>
      <c r="B3" s="751" t="s">
        <v>25</v>
      </c>
      <c r="C3" s="752"/>
      <c r="D3" s="752"/>
      <c r="E3" s="753" t="s">
        <v>24</v>
      </c>
      <c r="F3" s="754"/>
      <c r="G3" s="754"/>
      <c r="H3" s="753" t="s">
        <v>23</v>
      </c>
      <c r="I3" s="754"/>
      <c r="J3" s="754"/>
      <c r="K3" s="751" t="s">
        <v>22</v>
      </c>
      <c r="L3" s="752"/>
      <c r="M3" s="755"/>
      <c r="N3" s="546"/>
      <c r="O3" s="751" t="s">
        <v>4</v>
      </c>
      <c r="P3" s="752"/>
      <c r="Q3" s="752"/>
      <c r="R3" s="752"/>
      <c r="S3" s="755"/>
      <c r="T3" s="546"/>
      <c r="U3" s="658"/>
    </row>
    <row r="4" spans="1:21">
      <c r="A4" s="749"/>
      <c r="B4" s="737" t="s">
        <v>21</v>
      </c>
      <c r="C4" s="739" t="s">
        <v>20</v>
      </c>
      <c r="D4" s="739" t="s">
        <v>19</v>
      </c>
      <c r="E4" s="737" t="s">
        <v>18</v>
      </c>
      <c r="F4" s="739" t="s">
        <v>17</v>
      </c>
      <c r="G4" s="739" t="s">
        <v>16</v>
      </c>
      <c r="H4" s="737" t="s">
        <v>15</v>
      </c>
      <c r="I4" s="739" t="s">
        <v>14</v>
      </c>
      <c r="J4" s="739" t="s">
        <v>13</v>
      </c>
      <c r="K4" s="737" t="s">
        <v>12</v>
      </c>
      <c r="L4" s="739" t="s">
        <v>11</v>
      </c>
      <c r="M4" s="744" t="s">
        <v>10</v>
      </c>
      <c r="N4" s="547"/>
      <c r="O4" s="737" t="s">
        <v>9</v>
      </c>
      <c r="P4" s="739" t="s">
        <v>8</v>
      </c>
      <c r="Q4" s="739" t="s">
        <v>7</v>
      </c>
      <c r="R4" s="739" t="s">
        <v>6</v>
      </c>
      <c r="S4" s="744" t="s">
        <v>5</v>
      </c>
      <c r="T4" s="547"/>
      <c r="U4" s="743"/>
    </row>
    <row r="5" spans="1:21" ht="15.75" thickBot="1">
      <c r="A5" s="750"/>
      <c r="B5" s="738"/>
      <c r="C5" s="740"/>
      <c r="D5" s="740"/>
      <c r="E5" s="738"/>
      <c r="F5" s="740"/>
      <c r="G5" s="740"/>
      <c r="H5" s="738"/>
      <c r="I5" s="740"/>
      <c r="J5" s="740"/>
      <c r="K5" s="738"/>
      <c r="L5" s="740"/>
      <c r="M5" s="745"/>
      <c r="N5" s="547"/>
      <c r="O5" s="747"/>
      <c r="P5" s="732"/>
      <c r="Q5" s="732"/>
      <c r="R5" s="732"/>
      <c r="S5" s="742"/>
      <c r="T5" s="547"/>
      <c r="U5" s="743"/>
    </row>
    <row r="6" spans="1:21">
      <c r="A6" s="490" t="s">
        <v>209</v>
      </c>
      <c r="B6" s="578"/>
      <c r="C6" s="579">
        <v>20</v>
      </c>
      <c r="D6" s="580">
        <v>20</v>
      </c>
      <c r="E6" s="581">
        <v>25</v>
      </c>
      <c r="F6" s="579">
        <v>25</v>
      </c>
      <c r="G6" s="580">
        <v>20</v>
      </c>
      <c r="H6" s="581">
        <v>20</v>
      </c>
      <c r="I6" s="579">
        <v>20</v>
      </c>
      <c r="J6" s="580">
        <v>25</v>
      </c>
      <c r="K6" s="581">
        <v>25</v>
      </c>
      <c r="L6" s="579">
        <v>25</v>
      </c>
      <c r="M6" s="580">
        <v>25</v>
      </c>
      <c r="N6" s="560"/>
      <c r="O6" s="562">
        <f t="shared" ref="O6:O11" si="0">SUM(B6:D6)</f>
        <v>40</v>
      </c>
      <c r="P6" s="561">
        <f t="shared" ref="P6:P11" si="1">SUM(E6:G6)</f>
        <v>70</v>
      </c>
      <c r="Q6" s="561">
        <f t="shared" ref="Q6:Q11" si="2">SUM(H6:J6)</f>
        <v>65</v>
      </c>
      <c r="R6" s="561">
        <f t="shared" ref="R6:R11" si="3">SUM(K6:M6)</f>
        <v>75</v>
      </c>
      <c r="S6" s="491">
        <f t="shared" ref="S6:S11" si="4">SUM(O6:R6)</f>
        <v>250</v>
      </c>
      <c r="T6" s="560"/>
      <c r="U6" s="501"/>
    </row>
    <row r="7" spans="1:21" ht="15.75" thickBot="1">
      <c r="A7" s="490" t="s">
        <v>208</v>
      </c>
      <c r="B7" s="582"/>
      <c r="C7" s="586"/>
      <c r="D7" s="587"/>
      <c r="E7" s="582"/>
      <c r="F7" s="586"/>
      <c r="G7" s="587"/>
      <c r="H7" s="585">
        <v>20</v>
      </c>
      <c r="I7" s="583">
        <v>20</v>
      </c>
      <c r="J7" s="584">
        <v>25</v>
      </c>
      <c r="K7" s="585">
        <v>25</v>
      </c>
      <c r="L7" s="583">
        <v>30</v>
      </c>
      <c r="M7" s="584">
        <v>30</v>
      </c>
      <c r="N7" s="560"/>
      <c r="O7" s="562">
        <f t="shared" si="0"/>
        <v>0</v>
      </c>
      <c r="P7" s="561">
        <f t="shared" si="1"/>
        <v>0</v>
      </c>
      <c r="Q7" s="561">
        <f t="shared" si="2"/>
        <v>65</v>
      </c>
      <c r="R7" s="561">
        <f t="shared" si="3"/>
        <v>85</v>
      </c>
      <c r="S7" s="491">
        <f t="shared" si="4"/>
        <v>150</v>
      </c>
      <c r="T7" s="560"/>
      <c r="U7" s="501"/>
    </row>
    <row r="8" spans="1:21">
      <c r="A8" s="490" t="s">
        <v>210</v>
      </c>
      <c r="B8" s="588"/>
      <c r="C8" s="589"/>
      <c r="D8" s="590"/>
      <c r="E8" s="588"/>
      <c r="F8" s="589"/>
      <c r="G8" s="590"/>
      <c r="H8" s="588"/>
      <c r="I8" s="589"/>
      <c r="J8" s="590"/>
      <c r="K8" s="591">
        <v>25</v>
      </c>
      <c r="L8" s="592">
        <v>25</v>
      </c>
      <c r="M8" s="593">
        <v>25</v>
      </c>
      <c r="N8" s="560"/>
      <c r="O8" s="562">
        <f t="shared" si="0"/>
        <v>0</v>
      </c>
      <c r="P8" s="561">
        <f t="shared" si="1"/>
        <v>0</v>
      </c>
      <c r="Q8" s="561">
        <f t="shared" si="2"/>
        <v>0</v>
      </c>
      <c r="R8" s="561">
        <f t="shared" si="3"/>
        <v>75</v>
      </c>
      <c r="S8" s="491">
        <f t="shared" si="4"/>
        <v>75</v>
      </c>
      <c r="T8" s="560"/>
      <c r="U8" s="501"/>
    </row>
    <row r="9" spans="1:21">
      <c r="A9" s="490"/>
      <c r="B9" s="205"/>
      <c r="C9" s="561"/>
      <c r="D9" s="561"/>
      <c r="E9" s="562"/>
      <c r="F9" s="561"/>
      <c r="G9" s="561"/>
      <c r="H9" s="562"/>
      <c r="I9" s="561"/>
      <c r="J9" s="561"/>
      <c r="K9" s="562"/>
      <c r="L9" s="561"/>
      <c r="M9" s="563"/>
      <c r="N9" s="560"/>
      <c r="O9" s="562">
        <f t="shared" si="0"/>
        <v>0</v>
      </c>
      <c r="P9" s="561">
        <f t="shared" si="1"/>
        <v>0</v>
      </c>
      <c r="Q9" s="561">
        <f t="shared" si="2"/>
        <v>0</v>
      </c>
      <c r="R9" s="561">
        <f t="shared" si="3"/>
        <v>0</v>
      </c>
      <c r="S9" s="491">
        <f t="shared" si="4"/>
        <v>0</v>
      </c>
      <c r="T9" s="560"/>
      <c r="U9" s="501"/>
    </row>
    <row r="10" spans="1:21">
      <c r="A10" s="490"/>
      <c r="B10" s="205"/>
      <c r="C10" s="561"/>
      <c r="D10" s="561"/>
      <c r="E10" s="562"/>
      <c r="F10" s="561"/>
      <c r="G10" s="561"/>
      <c r="H10" s="562"/>
      <c r="I10" s="561"/>
      <c r="J10" s="561"/>
      <c r="K10" s="562"/>
      <c r="L10" s="561"/>
      <c r="M10" s="563"/>
      <c r="N10" s="560"/>
      <c r="O10" s="562">
        <f t="shared" si="0"/>
        <v>0</v>
      </c>
      <c r="P10" s="561">
        <f t="shared" si="1"/>
        <v>0</v>
      </c>
      <c r="Q10" s="561">
        <f t="shared" si="2"/>
        <v>0</v>
      </c>
      <c r="R10" s="561">
        <f t="shared" si="3"/>
        <v>0</v>
      </c>
      <c r="S10" s="491">
        <f t="shared" si="4"/>
        <v>0</v>
      </c>
      <c r="T10" s="560"/>
      <c r="U10" s="501"/>
    </row>
    <row r="11" spans="1:21">
      <c r="A11" s="490"/>
      <c r="B11" s="205"/>
      <c r="C11" s="561"/>
      <c r="D11" s="561"/>
      <c r="E11" s="562"/>
      <c r="F11" s="561"/>
      <c r="G11" s="561"/>
      <c r="H11" s="562"/>
      <c r="I11" s="561"/>
      <c r="J11" s="561"/>
      <c r="K11" s="562"/>
      <c r="L11" s="561"/>
      <c r="M11" s="563"/>
      <c r="N11" s="560"/>
      <c r="O11" s="562">
        <f t="shared" si="0"/>
        <v>0</v>
      </c>
      <c r="P11" s="561">
        <f t="shared" si="1"/>
        <v>0</v>
      </c>
      <c r="Q11" s="561">
        <f t="shared" si="2"/>
        <v>0</v>
      </c>
      <c r="R11" s="561">
        <f t="shared" si="3"/>
        <v>0</v>
      </c>
      <c r="S11" s="491">
        <f t="shared" si="4"/>
        <v>0</v>
      </c>
      <c r="T11" s="560"/>
      <c r="U11" s="501"/>
    </row>
    <row r="12" spans="1:21">
      <c r="A12" s="492"/>
      <c r="B12" s="203"/>
      <c r="C12" s="493"/>
      <c r="D12" s="493"/>
      <c r="E12" s="562"/>
      <c r="F12" s="561"/>
      <c r="G12" s="561"/>
      <c r="H12" s="562"/>
      <c r="I12" s="561"/>
      <c r="J12" s="561"/>
      <c r="K12" s="562"/>
      <c r="L12" s="561"/>
      <c r="M12" s="563"/>
      <c r="N12" s="560"/>
      <c r="O12" s="562"/>
      <c r="P12" s="561"/>
      <c r="Q12" s="561"/>
      <c r="R12" s="561"/>
      <c r="S12" s="564"/>
      <c r="T12" s="560"/>
      <c r="U12" s="501"/>
    </row>
    <row r="13" spans="1:21">
      <c r="A13" s="548"/>
      <c r="B13" s="562"/>
      <c r="C13" s="561"/>
      <c r="D13" s="561"/>
      <c r="E13" s="562"/>
      <c r="F13" s="561"/>
      <c r="G13" s="561"/>
      <c r="H13" s="562"/>
      <c r="I13" s="561"/>
      <c r="J13" s="561"/>
      <c r="K13" s="562"/>
      <c r="L13" s="561"/>
      <c r="M13" s="563"/>
      <c r="N13" s="560"/>
      <c r="O13" s="562"/>
      <c r="P13" s="561"/>
      <c r="Q13" s="561"/>
      <c r="R13" s="561"/>
      <c r="S13" s="564"/>
      <c r="T13" s="560"/>
      <c r="U13" s="501"/>
    </row>
    <row r="14" spans="1:21">
      <c r="A14" s="548"/>
      <c r="B14" s="562"/>
      <c r="C14" s="561"/>
      <c r="D14" s="561"/>
      <c r="E14" s="562"/>
      <c r="F14" s="561"/>
      <c r="G14" s="561"/>
      <c r="H14" s="562"/>
      <c r="I14" s="561"/>
      <c r="J14" s="561"/>
      <c r="K14" s="562"/>
      <c r="L14" s="561"/>
      <c r="M14" s="563"/>
      <c r="N14" s="560"/>
      <c r="O14" s="562"/>
      <c r="P14" s="561"/>
      <c r="Q14" s="561"/>
      <c r="R14" s="561"/>
      <c r="S14" s="564"/>
      <c r="T14" s="560"/>
      <c r="U14" s="501"/>
    </row>
    <row r="15" spans="1:21" ht="15.75" thickBot="1">
      <c r="A15" s="20"/>
      <c r="B15" s="569"/>
      <c r="C15" s="565"/>
      <c r="D15" s="565"/>
      <c r="E15" s="566"/>
      <c r="F15" s="567"/>
      <c r="G15" s="568"/>
      <c r="H15" s="569"/>
      <c r="I15" s="565"/>
      <c r="J15" s="565"/>
      <c r="K15" s="569"/>
      <c r="L15" s="565"/>
      <c r="M15" s="570"/>
      <c r="N15" s="560"/>
      <c r="O15" s="566"/>
      <c r="P15" s="567"/>
      <c r="Q15" s="567"/>
      <c r="R15" s="567"/>
      <c r="S15" s="207"/>
      <c r="T15" s="560"/>
      <c r="U15" s="501"/>
    </row>
    <row r="16" spans="1:21" s="549" customFormat="1">
      <c r="A16" s="486" t="s">
        <v>3</v>
      </c>
      <c r="B16" s="494">
        <f t="shared" ref="B16:M16" si="5">SUM(B6:B15)</f>
        <v>0</v>
      </c>
      <c r="C16" s="495">
        <f t="shared" si="5"/>
        <v>20</v>
      </c>
      <c r="D16" s="495">
        <f t="shared" si="5"/>
        <v>20</v>
      </c>
      <c r="E16" s="496">
        <f t="shared" si="5"/>
        <v>25</v>
      </c>
      <c r="F16" s="497">
        <f t="shared" si="5"/>
        <v>25</v>
      </c>
      <c r="G16" s="497">
        <f t="shared" si="5"/>
        <v>20</v>
      </c>
      <c r="H16" s="494">
        <f t="shared" si="5"/>
        <v>40</v>
      </c>
      <c r="I16" s="495">
        <f t="shared" si="5"/>
        <v>40</v>
      </c>
      <c r="J16" s="495">
        <f t="shared" si="5"/>
        <v>50</v>
      </c>
      <c r="K16" s="494">
        <f t="shared" si="5"/>
        <v>75</v>
      </c>
      <c r="L16" s="495">
        <f t="shared" si="5"/>
        <v>80</v>
      </c>
      <c r="M16" s="498">
        <f t="shared" si="5"/>
        <v>80</v>
      </c>
      <c r="N16" s="499"/>
      <c r="O16" s="496">
        <f>SUM(B16:D16)</f>
        <v>40</v>
      </c>
      <c r="P16" s="497">
        <f>SUM(E16:G16)</f>
        <v>70</v>
      </c>
      <c r="Q16" s="497">
        <f>SUM(H16:J16)</f>
        <v>130</v>
      </c>
      <c r="R16" s="497">
        <f>SUM(K16:M16)</f>
        <v>235</v>
      </c>
      <c r="S16" s="498">
        <f>SUM(O16:R16)</f>
        <v>475</v>
      </c>
      <c r="U16" s="501"/>
    </row>
    <row r="17" spans="1:21" s="549" customFormat="1">
      <c r="A17" s="161" t="s">
        <v>39</v>
      </c>
      <c r="B17" s="577">
        <f t="shared" ref="B17:M17" si="6">B16</f>
        <v>0</v>
      </c>
      <c r="C17" s="574">
        <f t="shared" si="6"/>
        <v>20</v>
      </c>
      <c r="D17" s="574">
        <f t="shared" si="6"/>
        <v>20</v>
      </c>
      <c r="E17" s="574">
        <f t="shared" si="6"/>
        <v>25</v>
      </c>
      <c r="F17" s="574">
        <f t="shared" si="6"/>
        <v>25</v>
      </c>
      <c r="G17" s="575">
        <f t="shared" si="6"/>
        <v>20</v>
      </c>
      <c r="H17" s="577">
        <f t="shared" si="6"/>
        <v>40</v>
      </c>
      <c r="I17" s="574">
        <f t="shared" si="6"/>
        <v>40</v>
      </c>
      <c r="J17" s="574">
        <f t="shared" si="6"/>
        <v>50</v>
      </c>
      <c r="K17" s="574">
        <f t="shared" si="6"/>
        <v>75</v>
      </c>
      <c r="L17" s="574">
        <f t="shared" si="6"/>
        <v>80</v>
      </c>
      <c r="M17" s="575">
        <f t="shared" si="6"/>
        <v>80</v>
      </c>
      <c r="N17" s="499"/>
      <c r="O17" s="181">
        <f>SUM(B17:D17)</f>
        <v>40</v>
      </c>
      <c r="P17" s="500">
        <f>SUM(E17:G17)</f>
        <v>70</v>
      </c>
      <c r="Q17" s="500">
        <f>SUM(H17:J17)</f>
        <v>130</v>
      </c>
      <c r="R17" s="500">
        <f>SUM(K17:M17)</f>
        <v>235</v>
      </c>
      <c r="S17" s="491">
        <f>SUM(O17:R17)</f>
        <v>475</v>
      </c>
      <c r="U17" s="501"/>
    </row>
    <row r="18" spans="1:21">
      <c r="O18" s="550">
        <f>O16/S16</f>
        <v>8.4210526315789472E-2</v>
      </c>
      <c r="P18" s="550">
        <f>P16/S16</f>
        <v>0.14736842105263157</v>
      </c>
      <c r="Q18" s="550">
        <f>Q16/S16</f>
        <v>0.27368421052631581</v>
      </c>
      <c r="R18" s="550">
        <f>R16/S16</f>
        <v>0.49473684210526314</v>
      </c>
      <c r="S18" s="551">
        <f>SUM(O18:R18)</f>
        <v>1</v>
      </c>
      <c r="T18" s="552"/>
      <c r="U18" s="553">
        <f>S18</f>
        <v>1</v>
      </c>
    </row>
    <row r="19" spans="1:21">
      <c r="E19" s="554"/>
      <c r="F19" s="554"/>
      <c r="G19" s="554"/>
      <c r="H19" s="554"/>
      <c r="I19" s="554"/>
      <c r="J19" s="554"/>
      <c r="K19" s="554"/>
      <c r="L19" s="554"/>
      <c r="M19" s="554"/>
      <c r="O19" s="555">
        <f>O17/S17</f>
        <v>8.4210526315789472E-2</v>
      </c>
      <c r="P19" s="555">
        <f>P17/S17</f>
        <v>0.14736842105263157</v>
      </c>
      <c r="Q19" s="555">
        <f>Q17/S17</f>
        <v>0.27368421052631581</v>
      </c>
      <c r="R19" s="555">
        <f>R17/S17</f>
        <v>0.49473684210526314</v>
      </c>
      <c r="S19" s="556">
        <f>SUM(O19:R19)</f>
        <v>1</v>
      </c>
      <c r="U19" s="557"/>
    </row>
    <row r="20" spans="1:21" s="549" customFormat="1">
      <c r="B20" s="549" t="s">
        <v>146</v>
      </c>
      <c r="G20" s="559"/>
      <c r="H20" s="559"/>
      <c r="I20" s="559"/>
      <c r="J20" s="559"/>
    </row>
    <row r="21" spans="1:21" s="549" customFormat="1">
      <c r="G21" s="559"/>
      <c r="H21" s="559"/>
      <c r="I21" s="559"/>
      <c r="J21" s="559"/>
    </row>
    <row r="22" spans="1:21" s="549" customFormat="1">
      <c r="B22" s="558"/>
      <c r="C22" s="558"/>
      <c r="D22" s="558"/>
      <c r="G22" s="559"/>
      <c r="H22" s="559"/>
      <c r="I22" s="559"/>
      <c r="J22" s="559"/>
    </row>
    <row r="23" spans="1:21" s="549" customFormat="1">
      <c r="B23" s="559" t="s">
        <v>27</v>
      </c>
      <c r="G23" s="559"/>
      <c r="H23" s="559"/>
      <c r="I23" s="559"/>
      <c r="J23" s="559"/>
    </row>
    <row r="24" spans="1:21" s="549" customFormat="1">
      <c r="B24" s="549" t="s">
        <v>222</v>
      </c>
      <c r="G24" s="559"/>
      <c r="H24" s="559"/>
      <c r="I24" s="559"/>
      <c r="J24" s="559"/>
    </row>
    <row r="25" spans="1:21">
      <c r="G25" s="149"/>
      <c r="H25" s="149"/>
      <c r="I25" s="149"/>
      <c r="J25" s="149"/>
    </row>
    <row r="26" spans="1:21">
      <c r="G26" s="149"/>
      <c r="H26" s="149"/>
      <c r="I26" s="149"/>
      <c r="J26" s="149"/>
    </row>
    <row r="27" spans="1:21">
      <c r="G27" s="149"/>
      <c r="H27" s="149"/>
      <c r="I27" s="149"/>
      <c r="J27" s="149"/>
    </row>
  </sheetData>
  <mergeCells count="25">
    <mergeCell ref="R4:R5"/>
    <mergeCell ref="S4:S5"/>
    <mergeCell ref="U4:U5"/>
    <mergeCell ref="K4:K5"/>
    <mergeCell ref="L4:L5"/>
    <mergeCell ref="M4:M5"/>
    <mergeCell ref="O4:O5"/>
    <mergeCell ref="P4:P5"/>
    <mergeCell ref="Q4:Q5"/>
    <mergeCell ref="J4:J5"/>
    <mergeCell ref="A1:U1"/>
    <mergeCell ref="A3:A5"/>
    <mergeCell ref="B3:D3"/>
    <mergeCell ref="E3:G3"/>
    <mergeCell ref="H3:J3"/>
    <mergeCell ref="K3:M3"/>
    <mergeCell ref="O3:S3"/>
    <mergeCell ref="B4:B5"/>
    <mergeCell ref="C4:C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GM</vt:lpstr>
      <vt:lpstr>A1</vt:lpstr>
      <vt:lpstr>A2</vt:lpstr>
      <vt:lpstr>A3</vt:lpstr>
      <vt:lpstr>A4</vt:lpstr>
      <vt:lpstr>A5</vt:lpstr>
      <vt:lpstr>A6</vt:lpstr>
      <vt:lpstr>A7</vt:lpstr>
      <vt:lpstr>A8</vt:lpstr>
      <vt:lpstr>A9</vt:lpstr>
      <vt:lpstr>A10</vt:lpstr>
      <vt:lpstr>A11</vt:lpstr>
      <vt:lpstr>A12</vt:lpstr>
      <vt:lpstr>A13</vt:lpstr>
      <vt:lpstr>Daet CN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RSA</dc:creator>
  <cp:lastModifiedBy>asus</cp:lastModifiedBy>
  <cp:lastPrinted>2018-01-16T01:25:50Z</cp:lastPrinted>
  <dcterms:created xsi:type="dcterms:W3CDTF">2015-01-03T05:59:18Z</dcterms:created>
  <dcterms:modified xsi:type="dcterms:W3CDTF">2019-01-30T07:04:08Z</dcterms:modified>
</cp:coreProperties>
</file>